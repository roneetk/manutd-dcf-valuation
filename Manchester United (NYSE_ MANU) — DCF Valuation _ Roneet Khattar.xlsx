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Quarterly Actuals" sheetId="2" r:id="rId5"/>
    <sheet state="visible" name="Assumptions" sheetId="3" r:id="rId6"/>
    <sheet state="visible" name="WACC Build" sheetId="4" r:id="rId7"/>
    <sheet state="visible" name="Revenue Build" sheetId="5" r:id="rId8"/>
    <sheet state="visible" name="P&amp;L to FCF" sheetId="6" r:id="rId9"/>
    <sheet state="visible" name="DCF" sheetId="7" r:id="rId10"/>
    <sheet state="visible" name="Validation" sheetId="8" r:id="rId11"/>
    <sheet state="visible" name="Trading Comps" sheetId="9" r:id="rId12"/>
    <sheet state="visible" name="Operating Comps" sheetId="10" r:id="rId13"/>
    <sheet state="visible" name="Sensitivity" sheetId="11" r:id="rId14"/>
    <sheet state="visible" name="Monte Carlo" sheetId="12" r:id="rId15"/>
  </sheets>
  <definedNames/>
  <calcPr/>
  <extLst>
    <ext uri="GoogleSheetsCustomDataVersion2">
      <go:sheetsCustomData xmlns:go="http://customooxmlschemas.google.com/" r:id="rId16" roundtripDataChecksum="ObwREdci7V1Xv7nSfXRkeTiJYjS37CCkf2zlRWTMb5U="/>
    </ext>
  </extLst>
</workbook>
</file>

<file path=xl/sharedStrings.xml><?xml version="1.0" encoding="utf-8"?>
<sst xmlns="http://schemas.openxmlformats.org/spreadsheetml/2006/main" count="396" uniqueCount="316">
  <si>
    <t>FY2025/26 QUARTERLY ACTUALS</t>
  </si>
  <si>
    <t xml:space="preserve">ASSUMPTIONS  </t>
  </si>
  <si>
    <t xml:space="preserve">WACC BUILD  </t>
  </si>
  <si>
    <t>Manchester United  ·  Valuation Model</t>
  </si>
  <si>
    <t>Every input that drives the model. Blue = hardcoded input. Green = calculated elsewhere. Change a blue cell and the whole model recalculates.</t>
  </si>
  <si>
    <t>REVENUE</t>
  </si>
  <si>
    <t>GBP millions, unaudited. Green cells are reported actuals from NYSE filings. Q4 (yellow) is the only estimate.</t>
  </si>
  <si>
    <t>NYSE: MANU     Roneet Khattar     July 2026     Independent research, not investment advice</t>
  </si>
  <si>
    <t>Cost of equity via CAPM with beta regressed from 105 weekly returns (Jul 2024-Jul 2026). Blue = input. Black = formula.</t>
  </si>
  <si>
    <t>Input</t>
  </si>
  <si>
    <t>Segment</t>
  </si>
  <si>
    <t>WHY I BUILT THIS</t>
  </si>
  <si>
    <t>SECTION 1 — COST OF EQUITY (CAPM)</t>
  </si>
  <si>
    <t>Value</t>
  </si>
  <si>
    <t>Component</t>
  </si>
  <si>
    <t>Unit</t>
  </si>
  <si>
    <t>Q1 (Sep 25)</t>
  </si>
  <si>
    <t>Q2 (Dec 25)</t>
  </si>
  <si>
    <t>Base revenue (FY26)</t>
  </si>
  <si>
    <t>Risk-free rate (US 10Y Treasury)</t>
  </si>
  <si>
    <t>Q3 (Mar 26)</t>
  </si>
  <si>
    <t>I've supported Manchester United my whole life, which means I've spent the last few years watching the club get picked apart, on the pitch and in the accounts. Somewhere in the middle of all that I noticed the share price just sitting there around $22, and nobody, not the fan channels, not the finance press, could actually tell me what was holding it up. So I built this to find out for myself. One question, stripped of all the emotion I normally watch this club with: if you ignore the badge and the history and just value the cash United generates, what is it actually worth?</t>
  </si>
  <si>
    <t>Q4E (Jun 26)</t>
  </si>
  <si>
    <t>WHAT I FOUND</t>
  </si>
  <si>
    <t>9M Actual</t>
  </si>
  <si>
    <t>£m</t>
  </si>
  <si>
    <t>FY26E</t>
  </si>
  <si>
    <t>On cash flows alone the club is worth roughly $4 to $5 a share. The market says $22. That gap is not the model being broken. It is everything a five year cash flow forecast cannot price: the 100,000 seat stadium in development, a 1.1 billion person fanbase, the squad as a tradeable asset, and the possibility that somebody buys the club outright at a premium.
The finding that actually surprised me was how fragile the equity is. Every May, one binary outcome resets the entire valuation: Champions League or not. Miss it, and the broadcast money goes, sponsors trigger step down clauses, and the wage bill does not move because contracts are fixed. In my bear case that combination takes the equity below zero against £691.7m of net debt. That is the story of this model.</t>
  </si>
  <si>
    <t>Raw beta (2Y weekly regression)</t>
  </si>
  <si>
    <t>Commercial</t>
  </si>
  <si>
    <t>Commercial share</t>
  </si>
  <si>
    <t>HEADLINE NUMBERS</t>
  </si>
  <si>
    <t>%</t>
  </si>
  <si>
    <t>DCF value</t>
  </si>
  <si>
    <t>Vasicek-adjusted beta</t>
  </si>
  <si>
    <t>$4.34 per share</t>
  </si>
  <si>
    <t>Broadcasting share</t>
  </si>
  <si>
    <t>Matchday share</t>
  </si>
  <si>
    <t>Commercial growth</t>
  </si>
  <si>
    <t>Market price</t>
  </si>
  <si>
    <t>$22.23  (17 July 2026)</t>
  </si>
  <si>
    <t>WACC</t>
  </si>
  <si>
    <t>9.63%</t>
  </si>
  <si>
    <t>Broadcast base growth</t>
  </si>
  <si>
    <t>Beta</t>
  </si>
  <si>
    <t>0.65 regressed, 0.77 adjusted</t>
  </si>
  <si>
    <t>Matchday growth</t>
  </si>
  <si>
    <t>Scenarios</t>
  </si>
  <si>
    <t>Bear  -$1.26      Base  $4.34      Bull  $6.78</t>
  </si>
  <si>
    <t>Monte Carlo</t>
  </si>
  <si>
    <t>1,000 runs, roughly a third end in wipeout</t>
  </si>
  <si>
    <t>CHAMPIONS LEAGUE (probability-weighted)</t>
  </si>
  <si>
    <t>ON THE BETA</t>
  </si>
  <si>
    <t>I did not want to lift a beta off a website, so I pulled two years of weekly closing prices for MANU and the S&amp;P 500, built the return series, and ran the regression myself. Raw slope came out at 0.65. Because MANU trades only around 350,000 shares a day, thin trading suppresses the measured beta, so I applied the standard Vasicek adjustment toward the market mean and used 0.77. Every number in the WACC build follows from that.</t>
  </si>
  <si>
    <t>HOW THE TABS FIT TOGETHER</t>
  </si>
  <si>
    <t>UCL broadcast uplift</t>
  </si>
  <si>
    <t>Assumptions is the control panel. Change a blue cell there and the whole model moves.
WACC Build turns the regressed beta into the 9.63% discount rate.
Revenue Build projects five years, with the Champions League uplift weighted by the odds of qualifying rather than assumed forever.
P&amp;L to FCF converts revenue into cash and applies the wage feedback loop.
DCF discounts the cash and bridges through net debt to a per share number.
Validation, Trading Comps, Operating Comps, Sensitivity and Monte Carlo each test that number from a different direction.</t>
  </si>
  <si>
    <t>Equity risk premium (ERP)</t>
  </si>
  <si>
    <t>Broadcasting</t>
  </si>
  <si>
    <t>COLOUR KEY</t>
  </si>
  <si>
    <t>UCL prob  Year 1 (FY27)</t>
  </si>
  <si>
    <t>Blue is an input you can change.    Black is a formula.    Green is pulled from another tab.
Yellow is a key assumption.    Green fill is a reported actual from the filings.</t>
  </si>
  <si>
    <t>Size premium (micro-cap)</t>
  </si>
  <si>
    <t>DATA</t>
  </si>
  <si>
    <t>Company-specific premium</t>
  </si>
  <si>
    <t>Built on Manchester United's Q1 to Q3 FY2026 results, the most recent being Q3 released 27 May 2026, plus full year guidance of £655m to £665m and the confirmed third place finish. Share price, exchange rate and net debt are current as of 17 July 2026. Audited full year accounts are due around September 2026.</t>
  </si>
  <si>
    <t>UCL prob  Year 2 (FY28)</t>
  </si>
  <si>
    <t xml:space="preserve"> = COST OF EQUITY</t>
  </si>
  <si>
    <t>Matchday</t>
  </si>
  <si>
    <t>UCL prob  Year 3 (FY29)</t>
  </si>
  <si>
    <t>UCL prob  Year 4 (FY30)</t>
  </si>
  <si>
    <t>Total revenue</t>
  </si>
  <si>
    <t>UCL prob  Year 5 (FY31)</t>
  </si>
  <si>
    <t>SECTION 2 — COST OF DEBT</t>
  </si>
  <si>
    <t>COSTS</t>
  </si>
  <si>
    <t>Pre-tax cost of debt</t>
  </si>
  <si>
    <t>Tax rate</t>
  </si>
  <si>
    <t>Wages % revenue (base)</t>
  </si>
  <si>
    <t xml:space="preserve"> = AFTER-TAX COST OF DEBT</t>
  </si>
  <si>
    <t>Wage stickiness factor</t>
  </si>
  <si>
    <t>Other opex % revenue</t>
  </si>
  <si>
    <t>9-month reported total: £520.1m. FY26 guidance £655-665m (raised 27 May 2026). Q4 to hit the £660m midpoint is ~£140m.</t>
  </si>
  <si>
    <t>Player amortisation</t>
  </si>
  <si>
    <t>SECTION 3 — CAPITAL STRUCTURE &amp; WACC</t>
  </si>
  <si>
    <t>Net transfer capex</t>
  </si>
  <si>
    <t>Market cap (£m)</t>
  </si>
  <si>
    <t>NWC change % revenue</t>
  </si>
  <si>
    <t>VALUATION</t>
  </si>
  <si>
    <t>Net debt (£m)</t>
  </si>
  <si>
    <t>Terminal growth rate</t>
  </si>
  <si>
    <t>Total capital (£m)</t>
  </si>
  <si>
    <t>Net debt</t>
  </si>
  <si>
    <t>Weight of equity</t>
  </si>
  <si>
    <t>Shares outstanding</t>
  </si>
  <si>
    <t>m</t>
  </si>
  <si>
    <t>Share price (USD)</t>
  </si>
  <si>
    <t>Weight of debt</t>
  </si>
  <si>
    <t>$</t>
  </si>
  <si>
    <t>USD to GBP</t>
  </si>
  <si>
    <t>x</t>
  </si>
  <si>
    <t xml:space="preserve"> = WACC</t>
  </si>
  <si>
    <t>REVENUE BUILD</t>
  </si>
  <si>
    <t>GBP millions. FY25/26 is the reported base year; FY26/27 onward projected. Broadcasting includes the probability-weighted Champions League uplift.</t>
  </si>
  <si>
    <t>FY25/26</t>
  </si>
  <si>
    <t>FY26/27E</t>
  </si>
  <si>
    <t>FY27/28E</t>
  </si>
  <si>
    <t>FY28/29E</t>
  </si>
  <si>
    <t>FY29/30E</t>
  </si>
  <si>
    <t>FY30/31E</t>
  </si>
  <si>
    <t>UCL qualification probability</t>
  </si>
  <si>
    <t>P&amp;L TO FREE CASH FLOW</t>
  </si>
  <si>
    <t>DCF VALUATION</t>
  </si>
  <si>
    <t>Base case DCF with terminal value and equity bridge. Green = links.</t>
  </si>
  <si>
    <t>Base case with wage-stickiness feedback: wages % rises as UCL probability falls. All £m.</t>
  </si>
  <si>
    <t>Line</t>
  </si>
  <si>
    <t>Free cash flow</t>
  </si>
  <si>
    <t>Revenue</t>
  </si>
  <si>
    <t>Broadcasting (incl. UCL)</t>
  </si>
  <si>
    <t>Discount factor</t>
  </si>
  <si>
    <t>Wage % (feedback-adjusted)</t>
  </si>
  <si>
    <t>VALIDATION : MODEL vs MARKET</t>
  </si>
  <si>
    <t>PV of FCF</t>
  </si>
  <si>
    <t>Cross-check of DCF intrinsic value against the live NYSE price and what the model omits.</t>
  </si>
  <si>
    <t>MODEL vs MARKET</t>
  </si>
  <si>
    <t>Less: Wages</t>
  </si>
  <si>
    <t>Metric</t>
  </si>
  <si>
    <t>Note</t>
  </si>
  <si>
    <t>DCF intrinsic value / share</t>
  </si>
  <si>
    <t>Sum of PV of FCFs (£m)</t>
  </si>
  <si>
    <t>Less: Other opex</t>
  </si>
  <si>
    <t>Terminal value (£m)</t>
  </si>
  <si>
    <t>Base case, probability-weighted UCL</t>
  </si>
  <si>
    <t>TOTAL REVENUE</t>
  </si>
  <si>
    <t>Current NYSE price</t>
  </si>
  <si>
    <t>17 Jul 2026 close</t>
  </si>
  <si>
    <t>Upside / (downside)</t>
  </si>
  <si>
    <t>PV of terminal value (£m)</t>
  </si>
  <si>
    <t>Revenue growth YoY</t>
  </si>
  <si>
    <t>Model vs market</t>
  </si>
  <si>
    <t>52-week range</t>
  </si>
  <si>
    <t>$14.59 - $24.22</t>
  </si>
  <si>
    <t>EBITDA</t>
  </si>
  <si>
    <t>Current price near top of range</t>
  </si>
  <si>
    <t>ENTERPRISE VALUE (£m)</t>
  </si>
  <si>
    <t>EPS (TTM)</t>
  </si>
  <si>
    <t>-$0.14</t>
  </si>
  <si>
    <t>Loss-making; no meaningful P/E</t>
  </si>
  <si>
    <t>Sell-side 1Y target</t>
  </si>
  <si>
    <t>$23.74</t>
  </si>
  <si>
    <t>FY25/26 is the base year: United finished 3rd but was NOT in the Champions League that season, so its broadcasting excludes the UCL uplift. From FY26/27 the uplift is added, weighted by qualification probability which is 100% year one (confirmed), then declining.</t>
  </si>
  <si>
    <t>Less: Net debt (£m)</t>
  </si>
  <si>
    <t>Consensus above current price</t>
  </si>
  <si>
    <t>WHAT THIS MODEL DOES NOT CAPTURE</t>
  </si>
  <si>
    <t>EQUITY VALUE (£m)</t>
  </si>
  <si>
    <t>1. New 100,000-seat stadium: Q3 filing confirms it is in development. Would lift matchday capacity ~35% (£50m+ annual revenue at current per-seat economics). Not in base FCF.</t>
  </si>
  <si>
    <t>Less: Player amortisation</t>
  </si>
  <si>
    <t>Equity value (USD m)</t>
  </si>
  <si>
    <t>2. Player asset value : Q3 balance sheet shows £520.8m unamortised registrations. A DCF on operating cash flow does not value the squad as a tradable asset base.</t>
  </si>
  <si>
    <t>3. Takeover / control premium : strategic buyers pay above intrinsic value for trophy assets. Glazer ownership keeps bid speculation alive.</t>
  </si>
  <si>
    <t>VALUE PER SHARE (USD)</t>
  </si>
  <si>
    <t>4. Brand optionality : 1.1bn global fans (2019 survey). Commercial monetisation runway beyond the explicit 5-year window.</t>
  </si>
  <si>
    <t>Current market price (USD)</t>
  </si>
  <si>
    <t>5. FX translation risk: evenue largely GBP, listed in USD. Q3 showed a £10.3m unrealised FX loss on USD borrowings in a single quarter.</t>
  </si>
  <si>
    <t>EBIT</t>
  </si>
  <si>
    <t>SCENARIOS</t>
  </si>
  <si>
    <t>Less: Tax</t>
  </si>
  <si>
    <t>Driver</t>
  </si>
  <si>
    <t>Bear</t>
  </si>
  <si>
    <t>Base</t>
  </si>
  <si>
    <t>Bull</t>
  </si>
  <si>
    <t>Wages as % of revenue</t>
  </si>
  <si>
    <t>Commercial growth haircut</t>
  </si>
  <si>
    <t>Add: Amortisation (non-cash)</t>
  </si>
  <si>
    <t>UCL qualification by year</t>
  </si>
  <si>
    <t>Yr 1 only</t>
  </si>
  <si>
    <t>Probability-weighted</t>
  </si>
  <si>
    <t>Every year</t>
  </si>
  <si>
    <t>SCENARIO CALCULATIONS</t>
  </si>
  <si>
    <t>Less: Transfer capex</t>
  </si>
  <si>
    <t>Yr1</t>
  </si>
  <si>
    <t>Yr2</t>
  </si>
  <si>
    <t>Yr3</t>
  </si>
  <si>
    <t>Yr4</t>
  </si>
  <si>
    <t>Yr5</t>
  </si>
  <si>
    <t>Result</t>
  </si>
  <si>
    <t>Bear - UCL indicator</t>
  </si>
  <si>
    <t>Less: NWC change</t>
  </si>
  <si>
    <t>Bear - revenue</t>
  </si>
  <si>
    <t>FREE CASH FLOW</t>
  </si>
  <si>
    <t>TRADING COMPARABLES : PREMIER LEAGUE</t>
  </si>
  <si>
    <t>United market cap is LIVE (NYSE public float). Peers are ESTIMATED private valuations that are not directly comparable at the market-cap level. Compare at EV/Revenue instead. All £m.</t>
  </si>
  <si>
    <t>Club</t>
  </si>
  <si>
    <t>Mkt Cap</t>
  </si>
  <si>
    <t>Net Debt</t>
  </si>
  <si>
    <t>EV</t>
  </si>
  <si>
    <t>EV/Rev</t>
  </si>
  <si>
    <t>EV/EBITDA</t>
  </si>
  <si>
    <t>UCL 26/27</t>
  </si>
  <si>
    <t>Ownership</t>
  </si>
  <si>
    <t>Manchester United</t>
  </si>
  <si>
    <t>Bear - free cash flow</t>
  </si>
  <si>
    <t>OPERATING COMPARABLES</t>
  </si>
  <si>
    <t>How United's business model compares operationally to peers. All £m unless %.</t>
  </si>
  <si>
    <t>REVENUE MIX (% of total)</t>
  </si>
  <si>
    <t>Yes</t>
  </si>
  <si>
    <t>Public (NYSE)</t>
  </si>
  <si>
    <t>Total Rev</t>
  </si>
  <si>
    <t>Commercial %</t>
  </si>
  <si>
    <t>Arsenal</t>
  </si>
  <si>
    <t>Broadcast %</t>
  </si>
  <si>
    <t>Matchday %</t>
  </si>
  <si>
    <t>Comm £m</t>
  </si>
  <si>
    <t>Broad £m</t>
  </si>
  <si>
    <t>Match £m</t>
  </si>
  <si>
    <t>Private (KSE)</t>
  </si>
  <si>
    <t>Liverpool</t>
  </si>
  <si>
    <t>Private (FSG)</t>
  </si>
  <si>
    <t>Chelsea</t>
  </si>
  <si>
    <t>No</t>
  </si>
  <si>
    <t>Private (Clearlake)</t>
  </si>
  <si>
    <t>Tottenham</t>
  </si>
  <si>
    <t>Private (ENIC)</t>
  </si>
  <si>
    <t>Median (ex-United)</t>
  </si>
  <si>
    <t>COST STRUCTURE</t>
  </si>
  <si>
    <t>Wages %</t>
  </si>
  <si>
    <t>Wages £m</t>
  </si>
  <si>
    <t>Amort £m</t>
  </si>
  <si>
    <t>EBITDA margin</t>
  </si>
  <si>
    <t>EBIT margin</t>
  </si>
  <si>
    <t>Net transfers</t>
  </si>
  <si>
    <t>Bull -  UCL indicator</t>
  </si>
  <si>
    <t>SENSITIVITY  : VALUE PER SHARE (USD)</t>
  </si>
  <si>
    <t>Bull  - revenue</t>
  </si>
  <si>
    <t>Every cell is a live DCF rerun using the free cash flows from the P&amp;L tab. Change any operating assumption and this whole grid moves. Base case shaded.</t>
  </si>
  <si>
    <t>WACC \ TGR</t>
  </si>
  <si>
    <t>KEY TAKEAWAYS</t>
  </si>
  <si>
    <t>1. United's commercial share (51%) is the highest in the group the most stable, least UCL-dependent revenue stream. A genuine structural strength.</t>
  </si>
  <si>
    <t>2. United's wage ratio (52%) is now the BEST in the peer set post-Ratcliffe down from ~76% in the Glazer era. Chelsea (68%) is the outlier on the wrong side.</t>
  </si>
  <si>
    <t>3. United's broadcast share (26%) is lowest  a direct scar from the 2024/25 UCL absence. Normalises toward 33%+ with requalification.</t>
  </si>
  <si>
    <t>4. Chelsea: 68% wages + £260m net transfers + no European football = visible PSR risk. This is the amortisation-driven squad-cost story in real time.</t>
  </si>
  <si>
    <t>Bull -  free cash flow</t>
  </si>
  <si>
    <t>EQUITY VALUE PER SHARE</t>
  </si>
  <si>
    <t>vs market price</t>
  </si>
  <si>
    <t>MONTE CARLO SIMULATION</t>
  </si>
  <si>
    <t>Live engine. Every path below draws its own random inputs and runs a complete DCF in-row. Nothing is pasted in. Press F9 in Excel to re-run all 1,000 paths.</t>
  </si>
  <si>
    <t>DISTRIBUTION PARAMETERS</t>
  </si>
  <si>
    <t>Variable</t>
  </si>
  <si>
    <t>Shape</t>
  </si>
  <si>
    <t>Low</t>
  </si>
  <si>
    <t>Mode</t>
  </si>
  <si>
    <t>High</t>
  </si>
  <si>
    <t>Triangular</t>
  </si>
  <si>
    <t>Terminal growth</t>
  </si>
  <si>
    <t>Uniform</t>
  </si>
  <si>
    <t>n/a</t>
  </si>
  <si>
    <t>UCL qualification probability by season (drawn as a coin flip each year)</t>
  </si>
  <si>
    <t>Year 1</t>
  </si>
  <si>
    <t>Year 2</t>
  </si>
  <si>
    <t>Year 3</t>
  </si>
  <si>
    <t>Year 4</t>
  </si>
  <si>
    <t>Year 5</t>
  </si>
  <si>
    <t>Year 1 is fixed at 100% because qualification is already confirmed.</t>
  </si>
  <si>
    <t>RESULTS</t>
  </si>
  <si>
    <t>Statistic</t>
  </si>
  <si>
    <t>Paths simulated</t>
  </si>
  <si>
    <t>Mean value per share</t>
  </si>
  <si>
    <t>Median</t>
  </si>
  <si>
    <t>10th percentile (bear)</t>
  </si>
  <si>
    <t>25th percentile</t>
  </si>
  <si>
    <t>75th percentile</t>
  </si>
  <si>
    <t>90th percentile (bull)</t>
  </si>
  <si>
    <t>Standard deviation</t>
  </si>
  <si>
    <t>% paths above market</t>
  </si>
  <si>
    <t>% paths equity wiped out</t>
  </si>
  <si>
    <t>DISTRIBUTION OF OUTCOMES</t>
  </si>
  <si>
    <t>Value per share</t>
  </si>
  <si>
    <t>Paths</t>
  </si>
  <si>
    <t>Share</t>
  </si>
  <si>
    <t>Histogram</t>
  </si>
  <si>
    <t>Wiped out</t>
  </si>
  <si>
    <t>Survives</t>
  </si>
  <si>
    <t>-3 to -2</t>
  </si>
  <si>
    <t>-2 to -1</t>
  </si>
  <si>
    <t>-1 to 0</t>
  </si>
  <si>
    <t>0 to 1</t>
  </si>
  <si>
    <t>1 to 2</t>
  </si>
  <si>
    <t>2 to 3</t>
  </si>
  <si>
    <t>3 to 4</t>
  </si>
  <si>
    <t>4 to 5</t>
  </si>
  <si>
    <t>5 to 6</t>
  </si>
  <si>
    <t>6 to 7</t>
  </si>
  <si>
    <t>7 to 8</t>
  </si>
  <si>
    <t>8 to 9</t>
  </si>
  <si>
    <t>9 to 10</t>
  </si>
  <si>
    <t>Total</t>
  </si>
  <si>
    <t>Monte Carlo Simulation Engine</t>
  </si>
  <si>
    <t>Each row is one independent simulated future. Random draws on the left, resulting cash flows in the middle, equity value per share on the right.</t>
  </si>
  <si>
    <t>Path</t>
  </si>
  <si>
    <t>u</t>
  </si>
  <si>
    <t>TGR</t>
  </si>
  <si>
    <t>Comm g</t>
  </si>
  <si>
    <t>UCL2</t>
  </si>
  <si>
    <t>UCL3</t>
  </si>
  <si>
    <t>UCL4</t>
  </si>
  <si>
    <t>UCL5</t>
  </si>
  <si>
    <t>Rev1</t>
  </si>
  <si>
    <t>Rev2</t>
  </si>
  <si>
    <t>Rev3</t>
  </si>
  <si>
    <t>Rev4</t>
  </si>
  <si>
    <t>Rev5</t>
  </si>
  <si>
    <t>FCF1</t>
  </si>
  <si>
    <t>FCF2</t>
  </si>
  <si>
    <t>FCF3</t>
  </si>
  <si>
    <t>FCF4</t>
  </si>
  <si>
    <t>FCF5</t>
  </si>
  <si>
    <t>$/share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</si>
</sst>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
    <numFmt numFmtId="166" formatCode="\$#,##0.00"/>
    <numFmt numFmtId="167" formatCode="0.000"/>
    <numFmt numFmtId="168" formatCode="0.0\x"/>
  </numFmts>
  <fonts count="38">
    <font>
      <sz val="11.0"/>
      <color theme="1"/>
      <name val="Calibri"/>
      <scheme val="minor"/>
    </font>
    <font>
      <b/>
      <sz val="11.0"/>
      <color rgb="FFFFFFFF"/>
      <name val="Arial"/>
    </font>
    <font/>
    <font>
      <b/>
      <sz val="20.0"/>
      <color rgb="FFFFFFFF"/>
      <name val="Calibri"/>
    </font>
    <font>
      <sz val="9.0"/>
      <color rgb="FF595959"/>
      <name val="Arial"/>
    </font>
    <font>
      <b/>
      <sz val="10.0"/>
      <color rgb="FFFFFFFF"/>
      <name val="Arial"/>
    </font>
    <font>
      <sz val="10.0"/>
      <color rgb="FF6B6B6B"/>
      <name val="Calibri"/>
    </font>
    <font>
      <b/>
      <sz val="9.0"/>
      <color rgb="FFFFFFFF"/>
      <name val="Arial"/>
    </font>
    <font>
      <b/>
      <sz val="10.0"/>
      <color rgb="FFDA291C"/>
      <name val="Calibri"/>
    </font>
    <font>
      <sz val="11.0"/>
      <color theme="1"/>
      <name val="Calibri"/>
    </font>
    <font>
      <sz val="10.0"/>
      <color rgb="FF000000"/>
      <name val="Arial"/>
    </font>
    <font>
      <sz val="11.0"/>
      <color rgb="FF000000"/>
      <name val="Calibri"/>
    </font>
    <font>
      <sz val="10.0"/>
      <color rgb="FF0000FF"/>
      <name val="Arial"/>
    </font>
    <font>
      <sz val="9.0"/>
      <color rgb="FF000000"/>
      <name val="Arial"/>
    </font>
    <font>
      <b/>
      <sz val="10.0"/>
      <color rgb="FF000000"/>
      <name val="Arial"/>
    </font>
    <font>
      <b/>
      <sz val="11.0"/>
      <color rgb="FF000000"/>
      <name val="Calibri"/>
    </font>
    <font>
      <b/>
      <sz val="10.0"/>
      <color rgb="FF008000"/>
      <name val="Arial"/>
    </font>
    <font>
      <b/>
      <sz val="10.0"/>
      <color theme="1"/>
      <name val="Arial"/>
    </font>
    <font>
      <sz val="10.0"/>
      <color rgb="FF008000"/>
      <name val="Arial"/>
    </font>
    <font>
      <b/>
      <sz val="11.0"/>
      <color rgb="FF000000"/>
      <name val="Arial"/>
    </font>
    <font>
      <b/>
      <sz val="11.0"/>
      <color theme="1"/>
      <name val="Arial"/>
    </font>
    <font>
      <i/>
      <sz val="9.0"/>
      <color rgb="FF000000"/>
      <name val="Arial"/>
    </font>
    <font>
      <b/>
      <sz val="9.0"/>
      <color rgb="FF000000"/>
      <name val="Arial"/>
    </font>
    <font>
      <b/>
      <sz val="10.0"/>
      <color rgb="FF006400"/>
      <name val="Arial"/>
    </font>
    <font>
      <sz val="10.0"/>
      <color rgb="FF006400"/>
      <name val="Arial"/>
    </font>
    <font>
      <sz val="10.0"/>
      <color rgb="FFCC0000"/>
      <name val="Arial"/>
    </font>
    <font>
      <sz val="8.0"/>
      <color rgb="FF808080"/>
      <name val="Arial"/>
    </font>
    <font>
      <sz val="10.0"/>
      <color theme="1"/>
      <name val="Arial"/>
    </font>
    <font>
      <b/>
      <sz val="11.0"/>
      <color rgb="FFC00000"/>
      <name val="Arial"/>
    </font>
    <font>
      <b/>
      <sz val="11.0"/>
      <color rgb="FF006400"/>
      <name val="Arial"/>
    </font>
    <font>
      <b/>
      <sz val="13.0"/>
      <color rgb="FFFFFFFF"/>
      <name val="Arial"/>
    </font>
    <font>
      <sz val="9.0"/>
      <color rgb="FF999999"/>
      <name val="Arial"/>
    </font>
    <font>
      <b/>
      <sz val="8.0"/>
      <color rgb="FFFFFFFF"/>
      <name val="Arial"/>
    </font>
    <font>
      <sz val="11.0"/>
      <color rgb="FFC00000"/>
      <name val="Consolas"/>
    </font>
    <font>
      <sz val="8.0"/>
      <color rgb="FFAAAAAA"/>
      <name val="Arial"/>
    </font>
    <font>
      <sz val="11.0"/>
      <color rgb="FF1F2D3D"/>
      <name val="Consolas"/>
    </font>
    <font>
      <sz val="8.0"/>
      <color rgb="FF000000"/>
      <name val="Arial"/>
    </font>
    <font>
      <b/>
      <sz val="8.0"/>
      <color theme="1"/>
      <name val="Arial"/>
    </font>
  </fonts>
  <fills count="13">
    <fill>
      <patternFill patternType="none"/>
    </fill>
    <fill>
      <patternFill patternType="lightGray"/>
    </fill>
    <fill>
      <patternFill patternType="solid">
        <fgColor rgb="FF1F2D3D"/>
        <bgColor rgb="FF1F2D3D"/>
      </patternFill>
    </fill>
    <fill>
      <patternFill patternType="solid">
        <fgColor rgb="FFDA291C"/>
        <bgColor rgb="FFDA291C"/>
      </patternFill>
    </fill>
    <fill>
      <patternFill patternType="solid">
        <fgColor rgb="FF2E4057"/>
        <bgColor rgb="FF2E4057"/>
      </patternFill>
    </fill>
    <fill>
      <patternFill patternType="solid">
        <fgColor rgb="FFEBF5FB"/>
        <bgColor rgb="FFEBF5FB"/>
      </patternFill>
    </fill>
    <fill>
      <patternFill patternType="solid">
        <fgColor rgb="FFFFF8E1"/>
        <bgColor rgb="FFFFF8E1"/>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FFC7CE"/>
        <bgColor rgb="FFFFC7CE"/>
      </patternFill>
    </fill>
    <fill>
      <patternFill patternType="solid">
        <fgColor rgb="FFFFE5E5"/>
        <bgColor rgb="FFFFE5E5"/>
      </patternFill>
    </fill>
    <fill>
      <patternFill patternType="solid">
        <fgColor rgb="FFFCE4D6"/>
        <bgColor rgb="FFFCE4D6"/>
      </patternFill>
    </fill>
  </fills>
  <borders count="10">
    <border/>
    <border>
      <left/>
      <top/>
      <bottom/>
    </border>
    <border>
      <left/>
      <right/>
      <top/>
      <bottom/>
    </border>
    <border>
      <top/>
      <bottom/>
    </border>
    <border>
      <right/>
      <top/>
      <bottom/>
    </border>
    <border>
      <left style="thin">
        <color rgb="FFBFBFBF"/>
      </left>
      <right style="thin">
        <color rgb="FFBFBFBF"/>
      </right>
      <top style="thin">
        <color rgb="FFBFBFBF"/>
      </top>
      <bottom style="thin">
        <color rgb="FFBFBFBF"/>
      </bottom>
    </border>
    <border>
      <bottom style="thin">
        <color rgb="FFD0D0D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readingOrder="0" vertical="center"/>
    </xf>
    <xf borderId="3" fillId="0" fontId="2" numFmtId="0" xfId="0" applyBorder="1" applyFont="1"/>
    <xf borderId="1" fillId="3" fontId="3" numFmtId="0" xfId="0" applyAlignment="1" applyBorder="1" applyFill="1" applyFont="1">
      <alignment horizontal="left" vertical="center"/>
    </xf>
    <xf borderId="0" fillId="0" fontId="4" numFmtId="0" xfId="0" applyAlignment="1" applyFont="1">
      <alignment horizontal="left" shrinkToFit="0" vertical="center" wrapText="1"/>
    </xf>
    <xf borderId="4" fillId="0" fontId="2" numFmtId="0" xfId="0" applyBorder="1" applyFont="1"/>
    <xf borderId="2" fillId="4" fontId="5" numFmtId="0" xfId="0" applyAlignment="1" applyBorder="1" applyFill="1" applyFont="1">
      <alignment horizontal="center" vertical="center"/>
    </xf>
    <xf borderId="0" fillId="0" fontId="6" numFmtId="0" xfId="0" applyAlignment="1" applyFont="1">
      <alignment horizontal="left" vertical="center"/>
    </xf>
    <xf borderId="5" fillId="4" fontId="7" numFmtId="0" xfId="0" applyAlignment="1" applyBorder="1" applyFont="1">
      <alignment horizontal="center" vertical="center"/>
    </xf>
    <xf borderId="5" fillId="2" fontId="7" numFmtId="0" xfId="0" applyAlignment="1" applyBorder="1" applyFont="1">
      <alignment horizontal="left" vertical="center"/>
    </xf>
    <xf borderId="6" fillId="0" fontId="8" numFmtId="0" xfId="0" applyAlignment="1" applyBorder="1" applyFont="1">
      <alignment horizontal="left" vertical="center"/>
    </xf>
    <xf borderId="5" fillId="2" fontId="7" numFmtId="0" xfId="0" applyAlignment="1" applyBorder="1" applyFont="1">
      <alignment horizontal="center" vertical="center"/>
    </xf>
    <xf borderId="0" fillId="0" fontId="7" numFmtId="0" xfId="0" applyAlignment="1" applyFont="1">
      <alignment horizontal="center" vertical="center"/>
    </xf>
    <xf borderId="6" fillId="0" fontId="9" numFmtId="0" xfId="0" applyBorder="1" applyFont="1"/>
    <xf borderId="5" fillId="0" fontId="10" numFmtId="0" xfId="0" applyAlignment="1" applyBorder="1" applyFont="1">
      <alignment horizontal="left" vertical="center"/>
    </xf>
    <xf borderId="0" fillId="0" fontId="11" numFmtId="0" xfId="0" applyAlignment="1" applyFont="1">
      <alignment horizontal="left" readingOrder="0" shrinkToFit="0" vertical="top" wrapText="1"/>
    </xf>
    <xf borderId="5" fillId="5" fontId="12" numFmtId="3" xfId="0" applyAlignment="1" applyBorder="1" applyFill="1" applyFont="1" applyNumberFormat="1">
      <alignment horizontal="center" vertical="center"/>
    </xf>
    <xf borderId="5" fillId="5" fontId="12" numFmtId="164" xfId="0" applyAlignment="1" applyBorder="1" applyFont="1" applyNumberFormat="1">
      <alignment horizontal="center" vertical="center"/>
    </xf>
    <xf borderId="5" fillId="0" fontId="13" numFmtId="0" xfId="0" applyAlignment="1" applyBorder="1" applyFont="1">
      <alignment horizontal="center" vertical="center"/>
    </xf>
    <xf borderId="2" fillId="6" fontId="11" numFmtId="0" xfId="0" applyAlignment="1" applyBorder="1" applyFill="1" applyFont="1">
      <alignment horizontal="left" shrinkToFit="0" vertical="top" wrapText="1"/>
    </xf>
    <xf borderId="5" fillId="0" fontId="14" numFmtId="0" xfId="0" applyAlignment="1" applyBorder="1" applyFont="1">
      <alignment horizontal="left" vertical="center"/>
    </xf>
    <xf borderId="5" fillId="5" fontId="12" numFmtId="165" xfId="0" applyAlignment="1" applyBorder="1" applyFont="1" applyNumberFormat="1">
      <alignment horizontal="center" vertical="center"/>
    </xf>
    <xf borderId="5" fillId="7" fontId="10" numFmtId="3" xfId="0" applyAlignment="1" applyBorder="1" applyFill="1" applyFont="1" applyNumberFormat="1">
      <alignment horizontal="center" vertical="center"/>
    </xf>
    <xf borderId="0" fillId="0" fontId="15" numFmtId="0" xfId="0" applyAlignment="1" applyFont="1">
      <alignment horizontal="left" vertical="center"/>
    </xf>
    <xf borderId="5" fillId="8" fontId="12" numFmtId="3" xfId="0" applyAlignment="1" applyBorder="1" applyFill="1" applyFont="1" applyNumberFormat="1">
      <alignment horizontal="center" vertical="center"/>
    </xf>
    <xf borderId="5" fillId="0" fontId="16" numFmtId="3" xfId="0" applyAlignment="1" applyBorder="1" applyFont="1" applyNumberFormat="1">
      <alignment horizontal="center" vertical="center"/>
    </xf>
    <xf borderId="5" fillId="8" fontId="14" numFmtId="165" xfId="0" applyAlignment="1" applyBorder="1" applyFont="1" applyNumberFormat="1">
      <alignment horizontal="center" vertical="center"/>
    </xf>
    <xf borderId="0" fillId="0" fontId="11" numFmtId="0" xfId="0" applyAlignment="1" applyFont="1">
      <alignment horizontal="left" shrinkToFit="0" vertical="top" wrapText="1"/>
    </xf>
    <xf borderId="5" fillId="0" fontId="10" numFmtId="3" xfId="0" applyAlignment="1" applyBorder="1" applyFont="1" applyNumberFormat="1">
      <alignment horizontal="center" vertical="center"/>
    </xf>
    <xf borderId="5" fillId="0" fontId="10" numFmtId="0" xfId="0" applyAlignment="1" applyBorder="1" applyFont="1">
      <alignment horizontal="left" readingOrder="0" vertical="center"/>
    </xf>
    <xf borderId="5" fillId="8" fontId="12" numFmtId="164" xfId="0" applyAlignment="1" applyBorder="1" applyFont="1" applyNumberFormat="1">
      <alignment horizontal="center" vertical="center"/>
    </xf>
    <xf borderId="5" fillId="7" fontId="14" numFmtId="0" xfId="0" applyAlignment="1" applyBorder="1" applyFont="1">
      <alignment horizontal="left" vertical="center"/>
    </xf>
    <xf borderId="5" fillId="7" fontId="17" numFmtId="164" xfId="0" applyAlignment="1" applyBorder="1" applyFont="1" applyNumberFormat="1">
      <alignment horizontal="center" vertical="center"/>
    </xf>
    <xf borderId="5" fillId="7" fontId="17" numFmtId="3" xfId="0" applyAlignment="1" applyBorder="1" applyFont="1" applyNumberFormat="1">
      <alignment horizontal="center" vertical="center"/>
    </xf>
    <xf borderId="5" fillId="0" fontId="18" numFmtId="3" xfId="0" applyAlignment="1" applyBorder="1" applyFont="1" applyNumberFormat="1">
      <alignment horizontal="center" vertical="center"/>
    </xf>
    <xf borderId="5" fillId="0" fontId="10" numFmtId="164" xfId="0" applyAlignment="1" applyBorder="1" applyFont="1" applyNumberFormat="1">
      <alignment horizontal="center" vertical="center"/>
    </xf>
    <xf borderId="5" fillId="5" fontId="12" numFmtId="166" xfId="0" applyAlignment="1" applyBorder="1" applyFont="1" applyNumberFormat="1">
      <alignment horizontal="center" vertical="center"/>
    </xf>
    <xf borderId="5" fillId="5" fontId="12" numFmtId="167" xfId="0" applyAlignment="1" applyBorder="1" applyFont="1" applyNumberFormat="1">
      <alignment horizontal="center" vertical="center"/>
    </xf>
    <xf borderId="5" fillId="8" fontId="19" numFmtId="0" xfId="0" applyAlignment="1" applyBorder="1" applyFont="1">
      <alignment horizontal="left" vertical="center"/>
    </xf>
    <xf borderId="5" fillId="8" fontId="20" numFmtId="164" xfId="0" applyAlignment="1" applyBorder="1" applyFont="1" applyNumberFormat="1">
      <alignment horizontal="center" vertical="center"/>
    </xf>
    <xf borderId="5" fillId="4" fontId="7" numFmtId="0" xfId="0" applyAlignment="1" applyBorder="1" applyFont="1">
      <alignment horizontal="left" vertical="center"/>
    </xf>
    <xf borderId="5" fillId="9" fontId="10" numFmtId="164" xfId="0" applyAlignment="1" applyBorder="1" applyFill="1" applyFont="1" applyNumberFormat="1">
      <alignment horizontal="center" vertical="center"/>
    </xf>
    <xf borderId="5" fillId="8" fontId="18" numFmtId="164" xfId="0" applyAlignment="1" applyBorder="1" applyFont="1" applyNumberFormat="1">
      <alignment horizontal="center" vertical="center"/>
    </xf>
    <xf borderId="5" fillId="0" fontId="21" numFmtId="0" xfId="0" applyAlignment="1" applyBorder="1" applyFont="1">
      <alignment horizontal="left" vertical="center"/>
    </xf>
    <xf borderId="5" fillId="0" fontId="10" numFmtId="167" xfId="0" applyAlignment="1" applyBorder="1" applyFont="1" applyNumberFormat="1">
      <alignment horizontal="center" vertical="center"/>
    </xf>
    <xf borderId="5" fillId="0" fontId="21" numFmtId="164" xfId="0" applyAlignment="1" applyBorder="1" applyFont="1" applyNumberFormat="1">
      <alignment horizontal="center" vertical="center"/>
    </xf>
    <xf borderId="1" fillId="2" fontId="1" numFmtId="0" xfId="0" applyAlignment="1" applyBorder="1" applyFont="1">
      <alignment horizontal="center" readingOrder="0" vertical="center"/>
    </xf>
    <xf borderId="1" fillId="4" fontId="5" numFmtId="0" xfId="0" applyAlignment="1" applyBorder="1" applyFont="1">
      <alignment horizontal="center" vertical="center"/>
    </xf>
    <xf borderId="5" fillId="8" fontId="16" numFmtId="166" xfId="0" applyAlignment="1" applyBorder="1" applyFont="1" applyNumberFormat="1">
      <alignment horizontal="center" vertical="center"/>
    </xf>
    <xf borderId="5" fillId="0" fontId="4" numFmtId="0" xfId="0" applyAlignment="1" applyBorder="1" applyFont="1">
      <alignment horizontal="left" shrinkToFit="0" vertical="center" wrapText="1"/>
    </xf>
    <xf borderId="5" fillId="0" fontId="16" numFmtId="166" xfId="0" applyAlignment="1" applyBorder="1" applyFont="1" applyNumberFormat="1">
      <alignment horizontal="center" vertical="center"/>
    </xf>
    <xf borderId="5" fillId="8" fontId="16" numFmtId="164" xfId="0" applyAlignment="1" applyBorder="1" applyFont="1" applyNumberFormat="1">
      <alignment horizontal="center" vertical="center"/>
    </xf>
    <xf borderId="5" fillId="5" fontId="12" numFmtId="0" xfId="0" applyAlignment="1" applyBorder="1" applyFont="1">
      <alignment horizontal="center" vertical="center"/>
    </xf>
    <xf borderId="7" fillId="9" fontId="13" numFmtId="0" xfId="0" applyAlignment="1" applyBorder="1" applyFont="1">
      <alignment horizontal="left" shrinkToFit="0" vertical="center" wrapText="1"/>
    </xf>
    <xf borderId="8" fillId="0" fontId="2" numFmtId="0" xfId="0" applyBorder="1" applyFont="1"/>
    <xf borderId="9" fillId="0" fontId="2" numFmtId="0" xfId="0" applyBorder="1" applyFont="1"/>
    <xf borderId="7" fillId="0" fontId="13" numFmtId="0" xfId="0" applyAlignment="1" applyBorder="1" applyFont="1">
      <alignment horizontal="left" shrinkToFit="0" vertical="center" wrapText="1"/>
    </xf>
    <xf borderId="5" fillId="8" fontId="20" numFmtId="166" xfId="0" applyAlignment="1" applyBorder="1" applyFont="1" applyNumberFormat="1">
      <alignment horizontal="center" vertical="center"/>
    </xf>
    <xf borderId="5" fillId="0" fontId="18" numFmtId="166" xfId="0" applyAlignment="1" applyBorder="1" applyFont="1" applyNumberFormat="1">
      <alignment horizontal="center" vertical="center"/>
    </xf>
    <xf borderId="5" fillId="0" fontId="14" numFmtId="164" xfId="0" applyAlignment="1" applyBorder="1" applyFont="1" applyNumberFormat="1">
      <alignment horizontal="center" vertical="center"/>
    </xf>
    <xf borderId="5" fillId="10" fontId="12" numFmtId="9" xfId="0" applyAlignment="1" applyBorder="1" applyFill="1" applyFont="1" applyNumberFormat="1">
      <alignment horizontal="center" vertical="center"/>
    </xf>
    <xf borderId="5" fillId="8" fontId="18" numFmtId="9" xfId="0" applyAlignment="1" applyBorder="1" applyFont="1" applyNumberFormat="1">
      <alignment horizontal="center" vertical="center"/>
    </xf>
    <xf borderId="5" fillId="7" fontId="12" numFmtId="9" xfId="0" applyAlignment="1" applyBorder="1" applyFont="1" applyNumberFormat="1">
      <alignment horizontal="center" vertical="center"/>
    </xf>
    <xf borderId="5" fillId="8" fontId="10" numFmtId="9" xfId="0" applyAlignment="1" applyBorder="1" applyFont="1" applyNumberFormat="1">
      <alignment horizontal="center" vertical="center"/>
    </xf>
    <xf borderId="5" fillId="9" fontId="14" numFmtId="0" xfId="0" applyAlignment="1" applyBorder="1" applyFont="1">
      <alignment horizontal="left" vertical="center"/>
    </xf>
    <xf borderId="5" fillId="9" fontId="13" numFmtId="0" xfId="0" applyAlignment="1" applyBorder="1" applyFont="1">
      <alignment horizontal="center" vertical="center"/>
    </xf>
    <xf borderId="1" fillId="4" fontId="7" numFmtId="0" xfId="0" applyAlignment="1" applyBorder="1" applyFont="1">
      <alignment horizontal="center" vertical="center"/>
    </xf>
    <xf borderId="5" fillId="10" fontId="21" numFmtId="0" xfId="0" applyAlignment="1" applyBorder="1" applyFont="1">
      <alignment horizontal="left" vertical="center"/>
    </xf>
    <xf borderId="5" fillId="10" fontId="13" numFmtId="1" xfId="0" applyAlignment="1" applyBorder="1" applyFont="1" applyNumberFormat="1">
      <alignment horizontal="center" vertical="center"/>
    </xf>
    <xf borderId="5" fillId="10" fontId="13" numFmtId="0" xfId="0" applyAlignment="1" applyBorder="1" applyFont="1">
      <alignment horizontal="left" vertical="center"/>
    </xf>
    <xf borderId="5" fillId="10" fontId="13" numFmtId="3" xfId="0" applyAlignment="1" applyBorder="1" applyFont="1" applyNumberFormat="1">
      <alignment horizontal="center" vertical="center"/>
    </xf>
    <xf borderId="5" fillId="8" fontId="20" numFmtId="3" xfId="0" applyAlignment="1" applyBorder="1" applyFont="1" applyNumberFormat="1">
      <alignment horizontal="center" vertical="center"/>
    </xf>
    <xf borderId="5" fillId="11" fontId="14" numFmtId="0" xfId="0" applyAlignment="1" applyBorder="1" applyFill="1" applyFont="1">
      <alignment horizontal="left" vertical="center"/>
    </xf>
    <xf borderId="5" fillId="11" fontId="16" numFmtId="3" xfId="0" applyAlignment="1" applyBorder="1" applyFont="1" applyNumberFormat="1">
      <alignment horizontal="center" vertical="center"/>
    </xf>
    <xf borderId="5" fillId="11" fontId="18" numFmtId="3" xfId="0" applyAlignment="1" applyBorder="1" applyFont="1" applyNumberFormat="1">
      <alignment horizontal="center" vertical="center"/>
    </xf>
    <xf borderId="5" fillId="11" fontId="14" numFmtId="3" xfId="0" applyAlignment="1" applyBorder="1" applyFont="1" applyNumberFormat="1">
      <alignment horizontal="center" vertical="center"/>
    </xf>
    <xf borderId="5" fillId="10" fontId="22" numFmtId="0" xfId="0" applyAlignment="1" applyBorder="1" applyFont="1">
      <alignment horizontal="left" vertical="center"/>
    </xf>
    <xf borderId="5" fillId="11" fontId="14" numFmtId="168" xfId="0" applyAlignment="1" applyBorder="1" applyFont="1" applyNumberFormat="1">
      <alignment horizontal="center" vertical="center"/>
    </xf>
    <xf borderId="5" fillId="7" fontId="23" numFmtId="0" xfId="0" applyAlignment="1" applyBorder="1" applyFont="1">
      <alignment horizontal="center" vertical="center"/>
    </xf>
    <xf borderId="5" fillId="11" fontId="4" numFmtId="0" xfId="0" applyAlignment="1" applyBorder="1" applyFont="1">
      <alignment horizontal="left" shrinkToFit="0" vertical="center" wrapText="1"/>
    </xf>
    <xf borderId="5" fillId="9" fontId="10" numFmtId="0" xfId="0" applyAlignment="1" applyBorder="1" applyFont="1">
      <alignment horizontal="left" vertical="center"/>
    </xf>
    <xf borderId="5" fillId="10" fontId="22" numFmtId="3" xfId="0" applyAlignment="1" applyBorder="1" applyFont="1" applyNumberFormat="1">
      <alignment horizontal="center" vertical="center"/>
    </xf>
    <xf borderId="5" fillId="9" fontId="10" numFmtId="3" xfId="0" applyAlignment="1" applyBorder="1" applyFont="1" applyNumberFormat="1">
      <alignment horizontal="center" vertical="center"/>
    </xf>
    <xf borderId="5" fillId="9" fontId="10" numFmtId="168" xfId="0" applyAlignment="1" applyBorder="1" applyFont="1" applyNumberFormat="1">
      <alignment horizontal="center" vertical="center"/>
    </xf>
    <xf borderId="5" fillId="11" fontId="14" numFmtId="9" xfId="0" applyAlignment="1" applyBorder="1" applyFont="1" applyNumberFormat="1">
      <alignment horizontal="center" vertical="center"/>
    </xf>
    <xf borderId="5" fillId="7" fontId="24" numFmtId="0" xfId="0" applyAlignment="1" applyBorder="1" applyFont="1">
      <alignment horizontal="center" vertical="center"/>
    </xf>
    <xf borderId="5" fillId="9" fontId="4" numFmtId="0" xfId="0" applyAlignment="1" applyBorder="1" applyFont="1">
      <alignment horizontal="left" shrinkToFit="0" vertical="center" wrapText="1"/>
    </xf>
    <xf borderId="5" fillId="0" fontId="10" numFmtId="168" xfId="0" applyAlignment="1" applyBorder="1" applyFont="1" applyNumberFormat="1">
      <alignment horizontal="center" vertical="center"/>
    </xf>
    <xf borderId="5" fillId="9" fontId="10" numFmtId="9" xfId="0" applyAlignment="1" applyBorder="1" applyFont="1" applyNumberFormat="1">
      <alignment horizontal="center" vertical="center"/>
    </xf>
    <xf borderId="5" fillId="10" fontId="25" numFmtId="0" xfId="0" applyAlignment="1" applyBorder="1" applyFont="1">
      <alignment horizontal="center" vertical="center"/>
    </xf>
    <xf borderId="5" fillId="0" fontId="10" numFmtId="9" xfId="0" applyAlignment="1" applyBorder="1" applyFont="1" applyNumberFormat="1">
      <alignment horizontal="center" vertical="center"/>
    </xf>
    <xf borderId="5" fillId="8" fontId="14" numFmtId="0" xfId="0" applyAlignment="1" applyBorder="1" applyFont="1">
      <alignment horizontal="left" vertical="center"/>
    </xf>
    <xf borderId="5" fillId="8" fontId="14" numFmtId="168" xfId="0" applyAlignment="1" applyBorder="1" applyFont="1" applyNumberFormat="1">
      <alignment horizontal="center" vertical="center"/>
    </xf>
    <xf borderId="0" fillId="0" fontId="26" numFmtId="0" xfId="0" applyAlignment="1" applyFont="1">
      <alignment horizontal="left" shrinkToFit="0" vertical="center" wrapText="1"/>
    </xf>
    <xf borderId="5" fillId="10" fontId="17" numFmtId="166" xfId="0" applyAlignment="1" applyBorder="1" applyFont="1" applyNumberFormat="1">
      <alignment horizontal="center" vertical="center"/>
    </xf>
    <xf borderId="5" fillId="7" fontId="21" numFmtId="0" xfId="0" applyAlignment="1" applyBorder="1" applyFont="1">
      <alignment horizontal="left" vertical="center"/>
    </xf>
    <xf borderId="5" fillId="7" fontId="13" numFmtId="1" xfId="0" applyAlignment="1" applyBorder="1" applyFont="1" applyNumberFormat="1">
      <alignment horizontal="center" vertical="center"/>
    </xf>
    <xf borderId="5" fillId="11" fontId="14" numFmtId="164" xfId="0" applyAlignment="1" applyBorder="1" applyFont="1" applyNumberFormat="1">
      <alignment horizontal="center" vertical="center"/>
    </xf>
    <xf borderId="5" fillId="7" fontId="13" numFmtId="0" xfId="0" applyAlignment="1" applyBorder="1" applyFont="1">
      <alignment horizontal="left" vertical="center"/>
    </xf>
    <xf borderId="5" fillId="2" fontId="5" numFmtId="10" xfId="0" applyAlignment="1" applyBorder="1" applyFont="1" applyNumberFormat="1">
      <alignment horizontal="center" vertical="center"/>
    </xf>
    <xf borderId="5" fillId="4" fontId="5" numFmtId="10" xfId="0" applyAlignment="1" applyBorder="1" applyFont="1" applyNumberFormat="1">
      <alignment horizontal="center" vertical="center"/>
    </xf>
    <xf borderId="5" fillId="7" fontId="13" numFmtId="3" xfId="0" applyAlignment="1" applyBorder="1" applyFont="1" applyNumberFormat="1">
      <alignment horizontal="center" vertical="center"/>
    </xf>
    <xf borderId="5" fillId="10" fontId="25" numFmtId="164" xfId="0" applyAlignment="1" applyBorder="1" applyFont="1" applyNumberFormat="1">
      <alignment horizontal="center" vertical="center"/>
    </xf>
    <xf borderId="5" fillId="12" fontId="10" numFmtId="3" xfId="0" applyAlignment="1" applyBorder="1" applyFill="1" applyFont="1" applyNumberFormat="1">
      <alignment horizontal="center" vertical="center"/>
    </xf>
    <xf borderId="5" fillId="0" fontId="27" numFmtId="166" xfId="0" applyAlignment="1" applyBorder="1" applyFont="1" applyNumberFormat="1">
      <alignment horizontal="center" vertical="center"/>
    </xf>
    <xf borderId="5" fillId="7" fontId="22" numFmtId="0" xfId="0" applyAlignment="1" applyBorder="1" applyFont="1">
      <alignment horizontal="left" vertical="center"/>
    </xf>
    <xf borderId="5" fillId="7" fontId="22" numFmtId="3" xfId="0" applyAlignment="1" applyBorder="1" applyFont="1" applyNumberFormat="1">
      <alignment horizontal="center" vertical="center"/>
    </xf>
    <xf borderId="5" fillId="7" fontId="17" numFmtId="166" xfId="0" applyAlignment="1" applyBorder="1" applyFont="1" applyNumberFormat="1">
      <alignment horizontal="center" vertical="center"/>
    </xf>
    <xf borderId="5" fillId="2" fontId="5" numFmtId="0" xfId="0" applyAlignment="1" applyBorder="1" applyFont="1">
      <alignment horizontal="left" vertical="center"/>
    </xf>
    <xf borderId="5" fillId="10" fontId="28" numFmtId="166" xfId="0" applyAlignment="1" applyBorder="1" applyFont="1" applyNumberFormat="1">
      <alignment horizontal="center" vertical="center"/>
    </xf>
    <xf borderId="5" fillId="7" fontId="29" numFmtId="166" xfId="0" applyAlignment="1" applyBorder="1" applyFont="1" applyNumberFormat="1">
      <alignment horizontal="center" vertical="center"/>
    </xf>
    <xf borderId="5" fillId="0" fontId="13" numFmtId="0" xfId="0" applyAlignment="1" applyBorder="1" applyFont="1">
      <alignment horizontal="left" vertical="center"/>
    </xf>
    <xf borderId="5" fillId="0" fontId="13" numFmtId="164" xfId="0" applyAlignment="1" applyBorder="1" applyFont="1" applyNumberFormat="1">
      <alignment horizontal="center" vertical="center"/>
    </xf>
    <xf borderId="5" fillId="8" fontId="17" numFmtId="166" xfId="0" applyAlignment="1" applyBorder="1" applyFont="1" applyNumberFormat="1">
      <alignment horizontal="center" vertical="center"/>
    </xf>
    <xf borderId="1" fillId="2" fontId="30" numFmtId="0" xfId="0" applyAlignment="1" applyBorder="1" applyFont="1">
      <alignment horizontal="center" vertical="center"/>
    </xf>
    <xf borderId="5" fillId="0" fontId="10" numFmtId="0" xfId="0" applyAlignment="1" applyBorder="1" applyFont="1">
      <alignment horizontal="center" vertical="center"/>
    </xf>
    <xf borderId="5" fillId="8" fontId="12" numFmtId="10" xfId="0" applyAlignment="1" applyBorder="1" applyFont="1" applyNumberFormat="1">
      <alignment horizontal="center" vertical="center"/>
    </xf>
    <xf borderId="5" fillId="0" fontId="31" numFmtId="0" xfId="0" applyAlignment="1" applyBorder="1" applyFont="1">
      <alignment horizontal="center" vertical="center"/>
    </xf>
    <xf borderId="0" fillId="0" fontId="4" numFmtId="0" xfId="0" applyAlignment="1" applyFont="1">
      <alignment horizontal="left" vertical="center"/>
    </xf>
    <xf borderId="5" fillId="7" fontId="14" numFmtId="9" xfId="0" applyAlignment="1" applyBorder="1" applyFont="1" applyNumberFormat="1">
      <alignment horizontal="center" vertical="center"/>
    </xf>
    <xf borderId="5" fillId="8" fontId="14" numFmtId="166" xfId="0" applyAlignment="1" applyBorder="1" applyFont="1" applyNumberFormat="1">
      <alignment horizontal="center" vertical="center"/>
    </xf>
    <xf borderId="5" fillId="9" fontId="10" numFmtId="166" xfId="0" applyAlignment="1" applyBorder="1" applyFont="1" applyNumberFormat="1">
      <alignment horizontal="center" vertical="center"/>
    </xf>
    <xf borderId="5" fillId="0" fontId="10" numFmtId="166" xfId="0" applyAlignment="1" applyBorder="1" applyFont="1" applyNumberFormat="1">
      <alignment horizontal="center" vertical="center"/>
    </xf>
    <xf borderId="5" fillId="8" fontId="14" numFmtId="164" xfId="0" applyAlignment="1" applyBorder="1" applyFont="1" applyNumberFormat="1">
      <alignment horizontal="center" vertical="center"/>
    </xf>
    <xf borderId="5" fillId="10" fontId="14" numFmtId="164" xfId="0" applyAlignment="1" applyBorder="1" applyFont="1" applyNumberFormat="1">
      <alignment horizontal="center" vertical="center"/>
    </xf>
    <xf borderId="5" fillId="4" fontId="32" numFmtId="0" xfId="0" applyAlignment="1" applyBorder="1" applyFont="1">
      <alignment horizontal="center"/>
    </xf>
    <xf borderId="5" fillId="10" fontId="10" numFmtId="0" xfId="0" applyAlignment="1" applyBorder="1" applyFont="1">
      <alignment horizontal="center" vertical="center"/>
    </xf>
    <xf borderId="5" fillId="10" fontId="14" numFmtId="3" xfId="0" applyAlignment="1" applyBorder="1" applyFont="1" applyNumberFormat="1">
      <alignment horizontal="center" vertical="center"/>
    </xf>
    <xf borderId="5" fillId="10" fontId="10" numFmtId="164" xfId="0" applyAlignment="1" applyBorder="1" applyFont="1" applyNumberFormat="1">
      <alignment horizontal="center" vertical="center"/>
    </xf>
    <xf borderId="5" fillId="0" fontId="33" numFmtId="0" xfId="0" applyAlignment="1" applyBorder="1" applyFont="1">
      <alignment horizontal="left" vertical="center"/>
    </xf>
    <xf borderId="5" fillId="0" fontId="34" numFmtId="3" xfId="0" applyAlignment="1" applyBorder="1" applyFont="1" applyNumberFormat="1">
      <alignment horizontal="center"/>
    </xf>
    <xf borderId="5" fillId="0" fontId="14" numFmtId="3" xfId="0" applyAlignment="1" applyBorder="1" applyFont="1" applyNumberFormat="1">
      <alignment horizontal="center" vertical="center"/>
    </xf>
    <xf borderId="5" fillId="0" fontId="35" numFmtId="0" xfId="0" applyAlignment="1" applyBorder="1" applyFont="1">
      <alignment horizontal="left" vertical="center"/>
    </xf>
    <xf borderId="5" fillId="9" fontId="10" numFmtId="0" xfId="0" applyAlignment="1" applyBorder="1" applyFont="1">
      <alignment horizontal="center" vertical="center"/>
    </xf>
    <xf borderId="5" fillId="9" fontId="14" numFmtId="3" xfId="0" applyAlignment="1" applyBorder="1" applyFont="1" applyNumberFormat="1">
      <alignment horizontal="center" vertical="center"/>
    </xf>
    <xf borderId="5" fillId="0" fontId="14" numFmtId="0" xfId="0" applyAlignment="1" applyBorder="1" applyFont="1">
      <alignment horizontal="center" vertical="center"/>
    </xf>
    <xf borderId="1" fillId="4" fontId="5" numFmtId="0" xfId="0" applyAlignment="1" applyBorder="1" applyFont="1">
      <alignment horizontal="center" readingOrder="0" vertical="center"/>
    </xf>
    <xf borderId="5" fillId="2" fontId="32" numFmtId="0" xfId="0" applyAlignment="1" applyBorder="1" applyFont="1">
      <alignment horizontal="center" vertical="center"/>
    </xf>
    <xf borderId="5" fillId="0" fontId="36" numFmtId="3" xfId="0" applyAlignment="1" applyBorder="1" applyFont="1" applyNumberFormat="1">
      <alignment horizontal="center" vertical="center"/>
    </xf>
    <xf borderId="5" fillId="0" fontId="36" numFmtId="165" xfId="0" applyAlignment="1" applyBorder="1" applyFont="1" applyNumberFormat="1">
      <alignment horizontal="center" vertical="center"/>
    </xf>
    <xf borderId="5" fillId="0" fontId="36" numFmtId="10" xfId="0" applyAlignment="1" applyBorder="1" applyFont="1" applyNumberFormat="1">
      <alignment horizontal="center" vertical="center"/>
    </xf>
    <xf borderId="5" fillId="0" fontId="36" numFmtId="1" xfId="0" applyAlignment="1" applyBorder="1" applyFont="1" applyNumberFormat="1">
      <alignment horizontal="center" vertical="center"/>
    </xf>
    <xf borderId="5" fillId="0" fontId="37" numFmtId="166"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Equity value per share — 1,000 simulated paths</a:t>
            </a:r>
          </a:p>
        </c:rich>
      </c:tx>
      <c:overlay val="0"/>
    </c:title>
    <c:plotArea>
      <c:layout/>
      <c:barChart>
        <c:barDir val="col"/>
        <c:grouping val="stacked"/>
        <c:ser>
          <c:idx val="0"/>
          <c:order val="0"/>
          <c:tx>
            <c:v>Wiped out</c:v>
          </c:tx>
          <c:spPr>
            <a:solidFill>
              <a:srgbClr val="C00000"/>
            </a:solidFill>
            <a:ln cmpd="sng">
              <a:noFill/>
            </a:ln>
          </c:spPr>
          <c:cat>
            <c:strRef>
              <c:f>'Monte Carlo'!$B$36:$B$48</c:f>
            </c:strRef>
          </c:cat>
          <c:val>
            <c:numRef>
              <c:f>'Monte Carlo'!$G$36:$G$48</c:f>
              <c:numCache/>
            </c:numRef>
          </c:val>
        </c:ser>
        <c:ser>
          <c:idx val="1"/>
          <c:order val="1"/>
          <c:tx>
            <c:v>Survives</c:v>
          </c:tx>
          <c:spPr>
            <a:solidFill>
              <a:srgbClr val="1F2D3D"/>
            </a:solidFill>
            <a:ln cmpd="sng">
              <a:noFill/>
            </a:ln>
          </c:spPr>
          <c:cat>
            <c:strRef>
              <c:f>'Monte Carlo'!$B$36:$B$48</c:f>
            </c:strRef>
          </c:cat>
          <c:val>
            <c:numRef>
              <c:f>'Monte Carlo'!$H$36:$H$48</c:f>
              <c:numCache/>
            </c:numRef>
          </c:val>
        </c:ser>
        <c:overlap val="100"/>
        <c:axId val="554626583"/>
        <c:axId val="634150309"/>
      </c:barChart>
      <c:catAx>
        <c:axId val="554626583"/>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Value per share (USD)</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34150309"/>
      </c:catAx>
      <c:valAx>
        <c:axId val="63415030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Paths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554626583"/>
      </c:valAx>
    </c:plotArea>
    <c:plotVisOnly val="1"/>
  </c:chart>
  <c:spPr>
    <a:solidFill>
      <a:srgbClr val="FFFFFF"/>
    </a:solidFill>
  </c:spPr>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33</xdr:row>
      <xdr:rowOff>0</xdr:rowOff>
    </xdr:from>
    <xdr:ext cx="6477000" cy="3419475"/>
    <xdr:graphicFrame>
      <xdr:nvGraphicFramePr>
        <xdr:cNvPr id="91223940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6.0"/>
    <col customWidth="1" min="3" max="3" width="88.0"/>
    <col customWidth="1" min="4" max="4" width="4.0"/>
    <col customWidth="1" min="5" max="26" width="8.71"/>
  </cols>
  <sheetData>
    <row r="1" ht="25.5" customHeight="1"/>
    <row r="2" ht="37.5" customHeight="1">
      <c r="B2" s="4" t="s">
        <v>3</v>
      </c>
      <c r="C2" s="6"/>
    </row>
    <row r="3" ht="19.5" customHeight="1">
      <c r="B3" s="8" t="s">
        <v>7</v>
      </c>
    </row>
    <row r="4" ht="19.5" customHeight="1"/>
    <row r="5" ht="19.5" customHeight="1">
      <c r="B5" s="11" t="s">
        <v>11</v>
      </c>
      <c r="C5" s="14"/>
    </row>
    <row r="6" ht="75.75" customHeight="1">
      <c r="C6" s="16" t="s">
        <v>21</v>
      </c>
    </row>
    <row r="7" ht="19.5" customHeight="1"/>
    <row r="8" ht="19.5" customHeight="1">
      <c r="B8" s="11" t="s">
        <v>23</v>
      </c>
      <c r="C8" s="14"/>
    </row>
    <row r="9" ht="150.0" customHeight="1">
      <c r="C9" s="20" t="s">
        <v>27</v>
      </c>
    </row>
    <row r="10" ht="19.5" customHeight="1"/>
    <row r="11" ht="19.5" customHeight="1">
      <c r="B11" s="11" t="s">
        <v>31</v>
      </c>
      <c r="C11" s="14"/>
    </row>
    <row r="12" ht="18.0" customHeight="1">
      <c r="B12" s="8" t="s">
        <v>33</v>
      </c>
      <c r="C12" s="24" t="s">
        <v>35</v>
      </c>
    </row>
    <row r="13" ht="18.0" customHeight="1">
      <c r="B13" s="8" t="s">
        <v>39</v>
      </c>
      <c r="C13" s="24" t="s">
        <v>40</v>
      </c>
    </row>
    <row r="14" ht="18.0" customHeight="1">
      <c r="B14" s="8" t="s">
        <v>41</v>
      </c>
      <c r="C14" s="24" t="s">
        <v>42</v>
      </c>
    </row>
    <row r="15" ht="18.0" customHeight="1">
      <c r="B15" s="8" t="s">
        <v>44</v>
      </c>
      <c r="C15" s="24" t="s">
        <v>45</v>
      </c>
    </row>
    <row r="16" ht="18.0" customHeight="1">
      <c r="B16" s="8" t="s">
        <v>47</v>
      </c>
      <c r="C16" s="24" t="s">
        <v>48</v>
      </c>
    </row>
    <row r="17" ht="18.0" customHeight="1">
      <c r="B17" s="8" t="s">
        <v>49</v>
      </c>
      <c r="C17" s="24" t="s">
        <v>50</v>
      </c>
    </row>
    <row r="18" ht="57.75" customHeight="1"/>
    <row r="19" ht="19.5" customHeight="1">
      <c r="B19" s="11" t="s">
        <v>52</v>
      </c>
      <c r="C19" s="14"/>
    </row>
    <row r="20" ht="75.75" customHeight="1">
      <c r="C20" s="28" t="s">
        <v>53</v>
      </c>
    </row>
    <row r="21" ht="27.75" customHeight="1"/>
    <row r="22" ht="19.5" customHeight="1">
      <c r="B22" s="11" t="s">
        <v>54</v>
      </c>
      <c r="C22" s="14"/>
    </row>
    <row r="23" ht="117.75" customHeight="1">
      <c r="C23" s="28" t="s">
        <v>56</v>
      </c>
    </row>
    <row r="24" ht="43.5" customHeight="1"/>
    <row r="25" ht="19.5" customHeight="1">
      <c r="B25" s="11" t="s">
        <v>59</v>
      </c>
      <c r="C25" s="14"/>
    </row>
    <row r="26" ht="33.75" customHeight="1">
      <c r="C26" s="28" t="s">
        <v>61</v>
      </c>
    </row>
    <row r="27" ht="15.75" customHeight="1"/>
    <row r="28" ht="19.5" customHeight="1">
      <c r="B28" s="11" t="s">
        <v>63</v>
      </c>
      <c r="C28" s="14"/>
    </row>
    <row r="29" ht="60.0" customHeight="1">
      <c r="C29" s="28" t="s">
        <v>65</v>
      </c>
    </row>
    <row r="30" ht="15.75" customHeight="1"/>
    <row r="31" ht="21.75" customHeight="1"/>
    <row r="32" ht="15.0" customHeight="1"/>
    <row r="33" ht="15.75" customHeight="1"/>
    <row r="34" ht="19.5" customHeight="1"/>
    <row r="35" ht="60.0" customHeight="1"/>
    <row r="36" ht="15.75" customHeight="1"/>
    <row r="37" ht="19.5" customHeight="1"/>
    <row r="38" ht="15.0" customHeight="1"/>
    <row r="39" ht="15.0" customHeight="1"/>
    <row r="40" ht="15.0" customHeight="1"/>
    <row r="41" ht="15.0" customHeight="1"/>
    <row r="42" ht="15.0" customHeight="1"/>
    <row r="43" ht="15.75" customHeight="1"/>
    <row r="44" ht="19.5" customHeight="1"/>
    <row r="45" ht="43.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3:C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0.0"/>
    <col customWidth="1" min="3" max="8" width="13.0"/>
    <col customWidth="1" min="9" max="26" width="8.71"/>
  </cols>
  <sheetData>
    <row r="1" ht="21.75" customHeight="1">
      <c r="B1" s="1" t="s">
        <v>0</v>
      </c>
      <c r="C1" s="3"/>
      <c r="D1" s="3"/>
      <c r="E1" s="3"/>
      <c r="F1" s="3"/>
      <c r="G1" s="3"/>
      <c r="H1" s="6"/>
    </row>
    <row r="2" ht="25.5" customHeight="1">
      <c r="B2" s="5" t="s">
        <v>6</v>
      </c>
    </row>
    <row r="3" ht="15.0" customHeight="1"/>
    <row r="4" ht="15.0" customHeight="1">
      <c r="B4" s="10" t="s">
        <v>10</v>
      </c>
      <c r="C4" s="12" t="s">
        <v>16</v>
      </c>
      <c r="D4" s="12" t="s">
        <v>17</v>
      </c>
      <c r="E4" s="12" t="s">
        <v>20</v>
      </c>
      <c r="F4" s="12" t="s">
        <v>22</v>
      </c>
      <c r="G4" s="12" t="s">
        <v>24</v>
      </c>
      <c r="H4" s="12" t="s">
        <v>26</v>
      </c>
    </row>
    <row r="5" ht="15.0" customHeight="1">
      <c r="B5" s="21" t="s">
        <v>29</v>
      </c>
      <c r="C5" s="23">
        <v>84.2</v>
      </c>
      <c r="D5" s="23">
        <v>78.5</v>
      </c>
      <c r="E5" s="23">
        <v>82.4</v>
      </c>
      <c r="F5" s="25">
        <v>85.0</v>
      </c>
      <c r="G5" s="26">
        <f t="shared" ref="G5:G7" si="1">SUM(C5:E5)</f>
        <v>245.1</v>
      </c>
      <c r="H5" s="29">
        <f t="shared" ref="H5:H7" si="2">G5+F5</f>
        <v>330.1</v>
      </c>
    </row>
    <row r="6" ht="15.0" customHeight="1">
      <c r="B6" s="21" t="s">
        <v>58</v>
      </c>
      <c r="C6" s="23">
        <v>29.9</v>
      </c>
      <c r="D6" s="23">
        <v>62.3</v>
      </c>
      <c r="E6" s="23">
        <v>64.9</v>
      </c>
      <c r="F6" s="25">
        <v>30.0</v>
      </c>
      <c r="G6" s="26">
        <f t="shared" si="1"/>
        <v>157.1</v>
      </c>
      <c r="H6" s="29">
        <f t="shared" si="2"/>
        <v>187.1</v>
      </c>
    </row>
    <row r="7" ht="15.0" customHeight="1">
      <c r="B7" s="21" t="s">
        <v>68</v>
      </c>
      <c r="C7" s="23">
        <v>26.2</v>
      </c>
      <c r="D7" s="23">
        <v>49.5</v>
      </c>
      <c r="E7" s="23">
        <v>42.2</v>
      </c>
      <c r="F7" s="25">
        <v>25.0</v>
      </c>
      <c r="G7" s="26">
        <f t="shared" si="1"/>
        <v>117.9</v>
      </c>
      <c r="H7" s="29">
        <f t="shared" si="2"/>
        <v>142.9</v>
      </c>
    </row>
    <row r="8" ht="15.0" customHeight="1">
      <c r="B8" s="32" t="s">
        <v>71</v>
      </c>
      <c r="C8" s="34">
        <f t="shared" ref="C8:H8" si="3">SUM(C5:C7)</f>
        <v>140.3</v>
      </c>
      <c r="D8" s="34">
        <f t="shared" si="3"/>
        <v>190.3</v>
      </c>
      <c r="E8" s="34">
        <f t="shared" si="3"/>
        <v>189.5</v>
      </c>
      <c r="F8" s="34">
        <f t="shared" si="3"/>
        <v>140</v>
      </c>
      <c r="G8" s="34">
        <f t="shared" si="3"/>
        <v>520.1</v>
      </c>
      <c r="H8" s="34">
        <f t="shared" si="3"/>
        <v>660.1</v>
      </c>
    </row>
    <row r="9" ht="15.0" customHeight="1"/>
    <row r="10" ht="25.5" customHeight="1">
      <c r="B10" s="5" t="s">
        <v>81</v>
      </c>
    </row>
    <row r="11" ht="15.0" customHeight="1"/>
    <row r="12" ht="15.0" customHeight="1"/>
    <row r="13" ht="15.0" customHeight="1"/>
    <row r="14"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H1"/>
    <mergeCell ref="B2:H2"/>
    <mergeCell ref="B10:H1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4.0"/>
    <col customWidth="1" min="3" max="4" width="14.0"/>
    <col customWidth="1" min="5" max="6" width="3.0"/>
    <col customWidth="1" min="7" max="26" width="8.71"/>
  </cols>
  <sheetData>
    <row r="1" ht="21.75" customHeight="1">
      <c r="B1" s="2" t="s">
        <v>1</v>
      </c>
    </row>
    <row r="2" ht="21.75" customHeight="1">
      <c r="B2" s="5" t="s">
        <v>4</v>
      </c>
    </row>
    <row r="3" ht="15.0" customHeight="1"/>
    <row r="4" ht="18.0" customHeight="1">
      <c r="B4" s="7" t="s">
        <v>5</v>
      </c>
    </row>
    <row r="5" ht="15.0" customHeight="1">
      <c r="B5" s="9" t="s">
        <v>9</v>
      </c>
      <c r="C5" s="9" t="s">
        <v>13</v>
      </c>
      <c r="D5" s="9" t="s">
        <v>15</v>
      </c>
      <c r="E5" s="13"/>
    </row>
    <row r="6" ht="21.75" customHeight="1">
      <c r="B6" s="15" t="s">
        <v>18</v>
      </c>
      <c r="C6" s="17">
        <v>660.0</v>
      </c>
      <c r="D6" s="19" t="s">
        <v>25</v>
      </c>
      <c r="E6" s="5"/>
    </row>
    <row r="7" ht="21.75" customHeight="1">
      <c r="B7" s="15" t="s">
        <v>30</v>
      </c>
      <c r="C7" s="18">
        <v>0.51</v>
      </c>
      <c r="D7" s="19" t="s">
        <v>32</v>
      </c>
      <c r="E7" s="5"/>
    </row>
    <row r="8" ht="15.0" customHeight="1">
      <c r="B8" s="15" t="s">
        <v>36</v>
      </c>
      <c r="C8" s="18">
        <v>0.26</v>
      </c>
      <c r="D8" s="19" t="s">
        <v>32</v>
      </c>
      <c r="E8" s="5"/>
    </row>
    <row r="9" ht="15.0" customHeight="1">
      <c r="B9" s="15" t="s">
        <v>37</v>
      </c>
      <c r="C9" s="18">
        <v>0.23</v>
      </c>
      <c r="D9" s="19" t="s">
        <v>32</v>
      </c>
      <c r="E9" s="5"/>
    </row>
    <row r="10" ht="15.0" customHeight="1">
      <c r="B10" s="15" t="s">
        <v>38</v>
      </c>
      <c r="C10" s="18">
        <v>0.06</v>
      </c>
      <c r="D10" s="19" t="s">
        <v>32</v>
      </c>
      <c r="E10" s="5"/>
    </row>
    <row r="11" ht="15.0" customHeight="1">
      <c r="B11" s="15" t="s">
        <v>43</v>
      </c>
      <c r="C11" s="18">
        <v>0.02</v>
      </c>
      <c r="D11" s="19" t="s">
        <v>32</v>
      </c>
      <c r="E11" s="5"/>
    </row>
    <row r="12" ht="15.0" customHeight="1">
      <c r="B12" s="15" t="s">
        <v>46</v>
      </c>
      <c r="C12" s="18">
        <v>0.02</v>
      </c>
      <c r="D12" s="19" t="s">
        <v>32</v>
      </c>
      <c r="E12" s="5"/>
    </row>
    <row r="13" ht="15.0" customHeight="1"/>
    <row r="14" ht="18.0" customHeight="1">
      <c r="B14" s="7" t="s">
        <v>51</v>
      </c>
    </row>
    <row r="15" ht="15.0" customHeight="1">
      <c r="B15" s="9" t="s">
        <v>9</v>
      </c>
      <c r="C15" s="9" t="s">
        <v>13</v>
      </c>
      <c r="D15" s="9" t="s">
        <v>15</v>
      </c>
      <c r="E15" s="13"/>
    </row>
    <row r="16" ht="15.0" customHeight="1">
      <c r="B16" s="15" t="s">
        <v>55</v>
      </c>
      <c r="C16" s="25">
        <v>60.0</v>
      </c>
      <c r="D16" s="19" t="s">
        <v>25</v>
      </c>
      <c r="E16" s="5"/>
    </row>
    <row r="17" ht="15.0" customHeight="1">
      <c r="B17" s="30" t="s">
        <v>60</v>
      </c>
      <c r="C17" s="31">
        <v>1.0</v>
      </c>
      <c r="D17" s="19" t="s">
        <v>32</v>
      </c>
      <c r="E17" s="5"/>
    </row>
    <row r="18" ht="15.0" customHeight="1">
      <c r="B18" s="30" t="s">
        <v>66</v>
      </c>
      <c r="C18" s="31">
        <v>0.65</v>
      </c>
      <c r="D18" s="19" t="s">
        <v>32</v>
      </c>
      <c r="E18" s="5"/>
    </row>
    <row r="19" ht="15.0" customHeight="1">
      <c r="B19" s="30" t="s">
        <v>69</v>
      </c>
      <c r="C19" s="31">
        <v>0.6</v>
      </c>
      <c r="D19" s="19" t="s">
        <v>32</v>
      </c>
      <c r="E19" s="5"/>
    </row>
    <row r="20" ht="15.0" customHeight="1">
      <c r="B20" s="30" t="s">
        <v>70</v>
      </c>
      <c r="C20" s="31">
        <v>0.57</v>
      </c>
      <c r="D20" s="19" t="s">
        <v>32</v>
      </c>
      <c r="E20" s="5"/>
    </row>
    <row r="21" ht="15.0" customHeight="1">
      <c r="B21" s="30" t="s">
        <v>72</v>
      </c>
      <c r="C21" s="31">
        <v>0.55</v>
      </c>
      <c r="D21" s="19" t="s">
        <v>32</v>
      </c>
      <c r="E21" s="5"/>
    </row>
    <row r="22" ht="15.0" customHeight="1"/>
    <row r="23" ht="18.0" customHeight="1">
      <c r="B23" s="7" t="s">
        <v>74</v>
      </c>
    </row>
    <row r="24" ht="15.0" customHeight="1">
      <c r="B24" s="9" t="s">
        <v>9</v>
      </c>
      <c r="C24" s="9" t="s">
        <v>13</v>
      </c>
      <c r="D24" s="9" t="s">
        <v>15</v>
      </c>
      <c r="E24" s="13"/>
    </row>
    <row r="25" ht="15.0" customHeight="1">
      <c r="B25" s="15" t="s">
        <v>77</v>
      </c>
      <c r="C25" s="18">
        <v>0.52</v>
      </c>
      <c r="D25" s="19" t="s">
        <v>32</v>
      </c>
      <c r="E25" s="5"/>
    </row>
    <row r="26" ht="21.75" customHeight="1">
      <c r="B26" s="15" t="s">
        <v>79</v>
      </c>
      <c r="C26" s="18">
        <v>0.03</v>
      </c>
      <c r="D26" s="19" t="s">
        <v>32</v>
      </c>
      <c r="E26" s="5"/>
    </row>
    <row r="27" ht="15.0" customHeight="1">
      <c r="B27" s="15" t="s">
        <v>80</v>
      </c>
      <c r="C27" s="18">
        <v>0.18</v>
      </c>
      <c r="D27" s="19" t="s">
        <v>32</v>
      </c>
      <c r="E27" s="5"/>
    </row>
    <row r="28" ht="15.0" customHeight="1">
      <c r="B28" s="15" t="s">
        <v>82</v>
      </c>
      <c r="C28" s="17">
        <v>210.0</v>
      </c>
      <c r="D28" s="19" t="s">
        <v>25</v>
      </c>
      <c r="E28" s="5"/>
    </row>
    <row r="29" ht="15.0" customHeight="1">
      <c r="B29" s="15" t="s">
        <v>84</v>
      </c>
      <c r="C29" s="17">
        <v>120.0</v>
      </c>
      <c r="D29" s="19" t="s">
        <v>25</v>
      </c>
      <c r="E29" s="5"/>
    </row>
    <row r="30" ht="15.0" customHeight="1">
      <c r="B30" s="15" t="s">
        <v>86</v>
      </c>
      <c r="C30" s="18">
        <v>0.01</v>
      </c>
      <c r="D30" s="19" t="s">
        <v>32</v>
      </c>
      <c r="E30" s="5"/>
    </row>
    <row r="31" ht="15.0" customHeight="1">
      <c r="B31" s="15" t="s">
        <v>76</v>
      </c>
      <c r="C31" s="18">
        <v>0.25</v>
      </c>
      <c r="D31" s="19" t="s">
        <v>32</v>
      </c>
      <c r="E31" s="5"/>
    </row>
    <row r="32" ht="15.0" customHeight="1"/>
    <row r="33" ht="18.0" customHeight="1">
      <c r="B33" s="7" t="s">
        <v>87</v>
      </c>
    </row>
    <row r="34" ht="15.0" customHeight="1">
      <c r="B34" s="9" t="s">
        <v>9</v>
      </c>
      <c r="C34" s="9" t="s">
        <v>13</v>
      </c>
      <c r="D34" s="9" t="s">
        <v>15</v>
      </c>
      <c r="E34" s="13"/>
    </row>
    <row r="35" ht="21.75" customHeight="1">
      <c r="B35" s="15" t="s">
        <v>41</v>
      </c>
      <c r="C35" s="31">
        <v>0.0963</v>
      </c>
      <c r="D35" s="19" t="s">
        <v>32</v>
      </c>
      <c r="E35" s="5"/>
    </row>
    <row r="36" ht="15.0" customHeight="1">
      <c r="B36" s="15" t="s">
        <v>89</v>
      </c>
      <c r="C36" s="31">
        <v>0.02</v>
      </c>
      <c r="D36" s="19" t="s">
        <v>32</v>
      </c>
      <c r="E36" s="5"/>
    </row>
    <row r="37" ht="15.0" customHeight="1">
      <c r="B37" s="15" t="s">
        <v>91</v>
      </c>
      <c r="C37" s="17">
        <v>691.7</v>
      </c>
      <c r="D37" s="19" t="s">
        <v>25</v>
      </c>
      <c r="E37" s="5"/>
    </row>
    <row r="38" ht="15.0" customHeight="1">
      <c r="B38" s="15" t="s">
        <v>93</v>
      </c>
      <c r="C38" s="17">
        <v>172.0</v>
      </c>
      <c r="D38" s="19" t="s">
        <v>94</v>
      </c>
      <c r="E38" s="5"/>
    </row>
    <row r="39" ht="15.0" customHeight="1">
      <c r="B39" s="15" t="s">
        <v>95</v>
      </c>
      <c r="C39" s="37">
        <v>22.23</v>
      </c>
      <c r="D39" s="19" t="s">
        <v>97</v>
      </c>
      <c r="E39" s="5"/>
    </row>
    <row r="40" ht="15.0" customHeight="1">
      <c r="B40" s="15" t="s">
        <v>98</v>
      </c>
      <c r="C40" s="38">
        <v>0.745</v>
      </c>
      <c r="D40" s="19" t="s">
        <v>99</v>
      </c>
      <c r="E40" s="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4.0"/>
    <col customWidth="1" min="3" max="3" width="16.0"/>
    <col customWidth="1" min="4" max="5" width="3.0"/>
    <col customWidth="1" min="6" max="26" width="8.71"/>
  </cols>
  <sheetData>
    <row r="1" ht="21.75" customHeight="1">
      <c r="B1" s="2" t="s">
        <v>2</v>
      </c>
    </row>
    <row r="2" ht="15.0" customHeight="1">
      <c r="B2" s="5" t="s">
        <v>8</v>
      </c>
    </row>
    <row r="3" ht="15.0" customHeight="1"/>
    <row r="4" ht="18.0" customHeight="1">
      <c r="B4" s="7" t="s">
        <v>12</v>
      </c>
    </row>
    <row r="5" ht="15.0" customHeight="1">
      <c r="B5" s="9" t="s">
        <v>14</v>
      </c>
      <c r="C5" s="9" t="s">
        <v>13</v>
      </c>
      <c r="D5" s="13"/>
    </row>
    <row r="6" ht="15.0" customHeight="1">
      <c r="B6" s="15" t="s">
        <v>19</v>
      </c>
      <c r="C6" s="18">
        <v>0.0435</v>
      </c>
      <c r="D6" s="5"/>
    </row>
    <row r="7" ht="21.75" customHeight="1">
      <c r="B7" s="15" t="s">
        <v>28</v>
      </c>
      <c r="C7" s="22">
        <v>0.6497</v>
      </c>
      <c r="D7" s="5"/>
    </row>
    <row r="8" ht="21.75" customHeight="1">
      <c r="B8" s="15" t="s">
        <v>34</v>
      </c>
      <c r="C8" s="27">
        <f>(2/3)*C7+(1/3)*1</f>
        <v>0.7664666667</v>
      </c>
      <c r="D8" s="5"/>
    </row>
    <row r="9" ht="15.0" customHeight="1">
      <c r="B9" s="15" t="s">
        <v>57</v>
      </c>
      <c r="C9" s="18">
        <v>0.052</v>
      </c>
      <c r="D9" s="5"/>
    </row>
    <row r="10" ht="15.0" customHeight="1">
      <c r="B10" s="15" t="s">
        <v>62</v>
      </c>
      <c r="C10" s="18">
        <v>0.015</v>
      </c>
      <c r="D10" s="5"/>
    </row>
    <row r="11" ht="15.0" customHeight="1">
      <c r="B11" s="15" t="s">
        <v>64</v>
      </c>
      <c r="C11" s="18">
        <v>0.01</v>
      </c>
      <c r="D11" s="5"/>
    </row>
    <row r="12" ht="15.0" customHeight="1">
      <c r="B12" s="32" t="s">
        <v>67</v>
      </c>
      <c r="C12" s="33">
        <f>C6+C8*C9+C10+C11</f>
        <v>0.1083562667</v>
      </c>
      <c r="D12" s="5"/>
    </row>
    <row r="13" ht="15.0" customHeight="1"/>
    <row r="14" ht="18.0" customHeight="1">
      <c r="B14" s="7" t="s">
        <v>73</v>
      </c>
    </row>
    <row r="15" ht="15.0" customHeight="1">
      <c r="B15" s="9" t="s">
        <v>14</v>
      </c>
      <c r="C15" s="9" t="s">
        <v>13</v>
      </c>
      <c r="D15" s="13"/>
    </row>
    <row r="16" ht="15.0" customHeight="1">
      <c r="B16" s="15" t="s">
        <v>75</v>
      </c>
      <c r="C16" s="18">
        <v>0.0625</v>
      </c>
      <c r="D16" s="5"/>
    </row>
    <row r="17" ht="15.0" customHeight="1">
      <c r="B17" s="15" t="s">
        <v>76</v>
      </c>
      <c r="C17" s="18">
        <v>0.25</v>
      </c>
      <c r="D17" s="5"/>
    </row>
    <row r="18" ht="15.0" customHeight="1">
      <c r="B18" s="32" t="s">
        <v>78</v>
      </c>
      <c r="C18" s="33">
        <f>C16*(1-C17)</f>
        <v>0.046875</v>
      </c>
      <c r="D18" s="5"/>
    </row>
    <row r="19" ht="15.0" customHeight="1"/>
    <row r="20" ht="18.0" customHeight="1">
      <c r="B20" s="7" t="s">
        <v>83</v>
      </c>
    </row>
    <row r="21" ht="15.0" customHeight="1">
      <c r="B21" s="9" t="s">
        <v>14</v>
      </c>
      <c r="C21" s="9" t="s">
        <v>13</v>
      </c>
      <c r="D21" s="13"/>
    </row>
    <row r="22" ht="15.0" customHeight="1">
      <c r="B22" s="15" t="s">
        <v>85</v>
      </c>
      <c r="C22" s="35">
        <f>Assumptions!$C$38*Assumptions!$C$39*Assumptions!$C$40</f>
        <v>2848.5522</v>
      </c>
      <c r="D22" s="5"/>
    </row>
    <row r="23" ht="15.0" customHeight="1">
      <c r="B23" s="15" t="s">
        <v>88</v>
      </c>
      <c r="C23" s="35">
        <f>Assumptions!$C$37</f>
        <v>691.7</v>
      </c>
      <c r="D23" s="5"/>
    </row>
    <row r="24" ht="15.0" customHeight="1">
      <c r="B24" s="15" t="s">
        <v>90</v>
      </c>
      <c r="C24" s="29">
        <f>C22+C23</f>
        <v>3540.2522</v>
      </c>
      <c r="D24" s="5"/>
    </row>
    <row r="25" ht="15.0" customHeight="1">
      <c r="B25" s="15" t="s">
        <v>92</v>
      </c>
      <c r="C25" s="36">
        <f>C22/C24</f>
        <v>0.8046184393</v>
      </c>
      <c r="D25" s="5"/>
    </row>
    <row r="26" ht="15.0" customHeight="1">
      <c r="B26" s="15" t="s">
        <v>96</v>
      </c>
      <c r="C26" s="36">
        <f>C23/C24</f>
        <v>0.1953815607</v>
      </c>
      <c r="D26" s="5"/>
    </row>
    <row r="27" ht="15.0" customHeight="1">
      <c r="B27" s="39" t="s">
        <v>100</v>
      </c>
      <c r="C27" s="40">
        <f>C25*C12+C26*C18</f>
        <v>0.09634396083</v>
      </c>
      <c r="D27" s="5"/>
    </row>
    <row r="28" ht="15.75" customHeight="1"/>
    <row r="29" ht="15.75" customHeight="1"/>
    <row r="30" ht="15.0" customHeight="1"/>
    <row r="31" ht="69.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8.0"/>
    <col customWidth="1" min="3" max="8" width="13.0"/>
    <col customWidth="1" min="9" max="26" width="8.71"/>
  </cols>
  <sheetData>
    <row r="1" ht="21.75" customHeight="1">
      <c r="B1" s="1" t="s">
        <v>101</v>
      </c>
      <c r="C1" s="3"/>
      <c r="D1" s="3"/>
      <c r="E1" s="3"/>
      <c r="F1" s="3"/>
      <c r="G1" s="3"/>
      <c r="H1" s="6"/>
    </row>
    <row r="2" ht="25.5" customHeight="1">
      <c r="B2" s="5" t="s">
        <v>102</v>
      </c>
    </row>
    <row r="4" ht="15.0" customHeight="1">
      <c r="B4" s="41" t="s">
        <v>10</v>
      </c>
      <c r="C4" s="9" t="s">
        <v>103</v>
      </c>
      <c r="D4" s="9" t="s">
        <v>104</v>
      </c>
      <c r="E4" s="9" t="s">
        <v>105</v>
      </c>
      <c r="F4" s="9" t="s">
        <v>106</v>
      </c>
      <c r="G4" s="9" t="s">
        <v>107</v>
      </c>
      <c r="H4" s="9" t="s">
        <v>108</v>
      </c>
    </row>
    <row r="5" ht="15.0" customHeight="1">
      <c r="B5" s="21" t="s">
        <v>109</v>
      </c>
      <c r="C5" s="42">
        <v>0.0</v>
      </c>
      <c r="D5" s="43">
        <f>Assumptions!$C$17</f>
        <v>1</v>
      </c>
      <c r="E5" s="43">
        <f>Assumptions!$C$18</f>
        <v>0.65</v>
      </c>
      <c r="F5" s="43">
        <f>Assumptions!$C$19</f>
        <v>0.6</v>
      </c>
      <c r="G5" s="43">
        <f>Assumptions!$C$20</f>
        <v>0.57</v>
      </c>
      <c r="H5" s="43">
        <f>Assumptions!$C$21</f>
        <v>0.55</v>
      </c>
    </row>
    <row r="6" ht="15.0" customHeight="1">
      <c r="B6" s="15" t="s">
        <v>29</v>
      </c>
      <c r="C6" s="35">
        <f>Assumptions!$C$6*Assumptions!$C$7</f>
        <v>336.6</v>
      </c>
      <c r="D6" s="35">
        <f>Assumptions!$C$6*Assumptions!$C$7*(1+Assumptions!$C$10)^1</f>
        <v>356.796</v>
      </c>
      <c r="E6" s="35">
        <f>Assumptions!$C$6*Assumptions!$C$7*(1+Assumptions!$C$10)^2</f>
        <v>378.20376</v>
      </c>
      <c r="F6" s="35">
        <f>Assumptions!$C$6*Assumptions!$C$7*(1+Assumptions!$C$10)^3</f>
        <v>400.8959856</v>
      </c>
      <c r="G6" s="35">
        <f>Assumptions!$C$6*Assumptions!$C$7*(1+Assumptions!$C$10)^4</f>
        <v>424.9497447</v>
      </c>
      <c r="H6" s="35">
        <f>Assumptions!$C$6*Assumptions!$C$7*(1+Assumptions!$C$10)^5</f>
        <v>450.4467294</v>
      </c>
    </row>
    <row r="7" ht="15.0" customHeight="1">
      <c r="B7" s="15" t="s">
        <v>117</v>
      </c>
      <c r="C7" s="35">
        <f>Assumptions!$C$6*Assumptions!$C$8</f>
        <v>171.6</v>
      </c>
      <c r="D7" s="35">
        <f>Assumptions!$C$6*Assumptions!$C$8*(1+Assumptions!$C$11)^1+Assumptions!$C$16*D5</f>
        <v>235.032</v>
      </c>
      <c r="E7" s="35">
        <f>Assumptions!$C$6*Assumptions!$C$8*(1+Assumptions!$C$11)^2+Assumptions!$C$16*E5</f>
        <v>217.53264</v>
      </c>
      <c r="F7" s="35">
        <f>Assumptions!$C$6*Assumptions!$C$8*(1+Assumptions!$C$11)^3+Assumptions!$C$16*F5</f>
        <v>218.1032928</v>
      </c>
      <c r="G7" s="35">
        <f>Assumptions!$C$6*Assumptions!$C$8*(1+Assumptions!$C$11)^4+Assumptions!$C$16*G5</f>
        <v>219.9453587</v>
      </c>
      <c r="H7" s="35">
        <f>Assumptions!$C$6*Assumptions!$C$8*(1+Assumptions!$C$11)^5+Assumptions!$C$16*H5</f>
        <v>222.4602658</v>
      </c>
    </row>
    <row r="8" ht="15.0" customHeight="1">
      <c r="B8" s="15" t="s">
        <v>68</v>
      </c>
      <c r="C8" s="35">
        <f>Assumptions!$C$6*Assumptions!$C$9</f>
        <v>151.8</v>
      </c>
      <c r="D8" s="35">
        <f>Assumptions!$C$6*Assumptions!$C$9*(1+Assumptions!$C$12)^1</f>
        <v>154.836</v>
      </c>
      <c r="E8" s="35">
        <f>Assumptions!$C$6*Assumptions!$C$9*(1+Assumptions!$C$12)^2</f>
        <v>157.93272</v>
      </c>
      <c r="F8" s="35">
        <f>Assumptions!$C$6*Assumptions!$C$9*(1+Assumptions!$C$12)^3</f>
        <v>161.0913744</v>
      </c>
      <c r="G8" s="35">
        <f>Assumptions!$C$6*Assumptions!$C$9*(1+Assumptions!$C$12)^4</f>
        <v>164.3132019</v>
      </c>
      <c r="H8" s="35">
        <f>Assumptions!$C$6*Assumptions!$C$9*(1+Assumptions!$C$12)^5</f>
        <v>167.5994659</v>
      </c>
    </row>
    <row r="9" ht="15.0" customHeight="1">
      <c r="B9" s="32" t="s">
        <v>132</v>
      </c>
      <c r="C9" s="34">
        <f t="shared" ref="C9:H9" si="1">SUM(C6:C8)</f>
        <v>660</v>
      </c>
      <c r="D9" s="34">
        <f t="shared" si="1"/>
        <v>746.664</v>
      </c>
      <c r="E9" s="34">
        <f t="shared" si="1"/>
        <v>753.66912</v>
      </c>
      <c r="F9" s="34">
        <f t="shared" si="1"/>
        <v>780.0906528</v>
      </c>
      <c r="G9" s="34">
        <f t="shared" si="1"/>
        <v>809.2083053</v>
      </c>
      <c r="H9" s="34">
        <f t="shared" si="1"/>
        <v>840.5064612</v>
      </c>
    </row>
    <row r="10" ht="15.0" customHeight="1">
      <c r="B10" s="44" t="s">
        <v>137</v>
      </c>
      <c r="D10" s="46">
        <f t="shared" ref="D10:H10" si="2">D9/C9-1</f>
        <v>0.1313090909</v>
      </c>
      <c r="E10" s="46">
        <f t="shared" si="2"/>
        <v>0.00938189065</v>
      </c>
      <c r="F10" s="46">
        <f t="shared" si="2"/>
        <v>0.03505720494</v>
      </c>
      <c r="G10" s="46">
        <f t="shared" si="2"/>
        <v>0.03732598561</v>
      </c>
      <c r="H10" s="46">
        <f t="shared" si="2"/>
        <v>0.03867750206</v>
      </c>
    </row>
    <row r="11" ht="30.0" customHeight="1"/>
    <row r="12" ht="30.0" customHeight="1">
      <c r="B12" s="5" t="s">
        <v>149</v>
      </c>
    </row>
    <row r="13"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H1"/>
    <mergeCell ref="B2:H2"/>
    <mergeCell ref="B12:H1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0.0"/>
    <col customWidth="1" min="3" max="8" width="14.0"/>
    <col customWidth="1" min="9" max="26" width="8.71"/>
  </cols>
  <sheetData>
    <row r="1" ht="21.75" customHeight="1">
      <c r="B1" s="1" t="s">
        <v>110</v>
      </c>
      <c r="C1" s="3"/>
      <c r="D1" s="3"/>
      <c r="E1" s="3"/>
      <c r="F1" s="3"/>
      <c r="G1" s="3"/>
      <c r="H1" s="6"/>
    </row>
    <row r="2" ht="15.0" customHeight="1">
      <c r="B2" s="5" t="s">
        <v>113</v>
      </c>
    </row>
    <row r="4" ht="15.0" customHeight="1">
      <c r="B4" s="41" t="s">
        <v>114</v>
      </c>
      <c r="C4" s="9" t="s">
        <v>104</v>
      </c>
      <c r="D4" s="9" t="s">
        <v>105</v>
      </c>
      <c r="E4" s="9" t="s">
        <v>106</v>
      </c>
      <c r="F4" s="9" t="s">
        <v>107</v>
      </c>
      <c r="G4" s="9" t="s">
        <v>108</v>
      </c>
    </row>
    <row r="5" ht="15.0" customHeight="1">
      <c r="B5" s="15" t="s">
        <v>116</v>
      </c>
      <c r="C5" s="35">
        <f>'Revenue Build'!D9</f>
        <v>746.664</v>
      </c>
      <c r="D5" s="35">
        <f>'Revenue Build'!E9</f>
        <v>753.66912</v>
      </c>
      <c r="E5" s="35">
        <f>'Revenue Build'!F9</f>
        <v>780.0906528</v>
      </c>
      <c r="F5" s="35">
        <f>'Revenue Build'!G9</f>
        <v>809.2083053</v>
      </c>
      <c r="G5" s="35">
        <f>'Revenue Build'!H9</f>
        <v>840.5064612</v>
      </c>
    </row>
    <row r="6" ht="15.0" customHeight="1">
      <c r="B6" s="44" t="s">
        <v>119</v>
      </c>
      <c r="C6" s="46">
        <f>Assumptions!$C$25+Assumptions!$C$26*(1-'Revenue Build'!D5)</f>
        <v>0.52</v>
      </c>
      <c r="D6" s="46">
        <f>Assumptions!$C$25+Assumptions!$C$26*(1-'Revenue Build'!E5)</f>
        <v>0.5305</v>
      </c>
      <c r="E6" s="46">
        <f>Assumptions!$C$25+Assumptions!$C$26*(1-'Revenue Build'!F5)</f>
        <v>0.532</v>
      </c>
      <c r="F6" s="46">
        <f>Assumptions!$C$25+Assumptions!$C$26*(1-'Revenue Build'!G5)</f>
        <v>0.5329</v>
      </c>
      <c r="G6" s="46">
        <f>Assumptions!$C$25+Assumptions!$C$26*(1-'Revenue Build'!H5)</f>
        <v>0.5335</v>
      </c>
    </row>
    <row r="7" ht="15.0" customHeight="1">
      <c r="B7" s="15" t="s">
        <v>124</v>
      </c>
      <c r="C7" s="29">
        <f t="shared" ref="C7:G7" si="1">-C5*C6</f>
        <v>-388.26528</v>
      </c>
      <c r="D7" s="29">
        <f t="shared" si="1"/>
        <v>-399.8214682</v>
      </c>
      <c r="E7" s="29">
        <f t="shared" si="1"/>
        <v>-415.0082273</v>
      </c>
      <c r="F7" s="29">
        <f t="shared" si="1"/>
        <v>-431.2271059</v>
      </c>
      <c r="G7" s="29">
        <f t="shared" si="1"/>
        <v>-448.410197</v>
      </c>
    </row>
    <row r="8" ht="15.0" customHeight="1">
      <c r="B8" s="15" t="s">
        <v>129</v>
      </c>
      <c r="C8" s="29">
        <f>-C5*Assumptions!$C$27</f>
        <v>-134.39952</v>
      </c>
      <c r="D8" s="29">
        <f>-D5*Assumptions!$C$27</f>
        <v>-135.6604416</v>
      </c>
      <c r="E8" s="29">
        <f>-E5*Assumptions!$C$27</f>
        <v>-140.4163175</v>
      </c>
      <c r="F8" s="29">
        <f>-F5*Assumptions!$C$27</f>
        <v>-145.657495</v>
      </c>
      <c r="G8" s="29">
        <f>-G5*Assumptions!$C$27</f>
        <v>-151.291163</v>
      </c>
    </row>
    <row r="9" ht="15.0" customHeight="1">
      <c r="B9" s="32" t="s">
        <v>141</v>
      </c>
      <c r="C9" s="34">
        <f t="shared" ref="C9:G9" si="2">C5+C7+C8</f>
        <v>223.9992</v>
      </c>
      <c r="D9" s="34">
        <f t="shared" si="2"/>
        <v>218.1872102</v>
      </c>
      <c r="E9" s="34">
        <f t="shared" si="2"/>
        <v>224.666108</v>
      </c>
      <c r="F9" s="34">
        <f t="shared" si="2"/>
        <v>232.3237044</v>
      </c>
      <c r="G9" s="34">
        <f t="shared" si="2"/>
        <v>240.8051011</v>
      </c>
    </row>
    <row r="10" ht="15.0" customHeight="1">
      <c r="B10" s="15" t="s">
        <v>155</v>
      </c>
      <c r="C10" s="29">
        <f>-Assumptions!$C$28</f>
        <v>-210</v>
      </c>
      <c r="D10" s="29">
        <f>-Assumptions!$C$28</f>
        <v>-210</v>
      </c>
      <c r="E10" s="29">
        <f>-Assumptions!$C$28</f>
        <v>-210</v>
      </c>
      <c r="F10" s="29">
        <f>-Assumptions!$C$28</f>
        <v>-210</v>
      </c>
      <c r="G10" s="29">
        <f>-Assumptions!$C$28</f>
        <v>-210</v>
      </c>
    </row>
    <row r="11" ht="15.0" customHeight="1">
      <c r="B11" s="32" t="s">
        <v>163</v>
      </c>
      <c r="C11" s="34">
        <f t="shared" ref="C11:G11" si="3">C9+C10</f>
        <v>13.9992</v>
      </c>
      <c r="D11" s="34">
        <f t="shared" si="3"/>
        <v>8.18721024</v>
      </c>
      <c r="E11" s="34">
        <f t="shared" si="3"/>
        <v>14.66610801</v>
      </c>
      <c r="F11" s="34">
        <f t="shared" si="3"/>
        <v>22.32370445</v>
      </c>
      <c r="G11" s="34">
        <f t="shared" si="3"/>
        <v>30.80510113</v>
      </c>
    </row>
    <row r="12" ht="15.0" customHeight="1">
      <c r="B12" s="15" t="s">
        <v>165</v>
      </c>
      <c r="C12" s="29">
        <f>-MAX(0,C11*Assumptions!$C$31)</f>
        <v>-3.4998</v>
      </c>
      <c r="D12" s="29">
        <f>-MAX(0,D11*Assumptions!$C$31)</f>
        <v>-2.04680256</v>
      </c>
      <c r="E12" s="29">
        <f>-MAX(0,E11*Assumptions!$C$31)</f>
        <v>-3.666527002</v>
      </c>
      <c r="F12" s="29">
        <f>-MAX(0,F11*Assumptions!$C$31)</f>
        <v>-5.580926111</v>
      </c>
      <c r="G12" s="29">
        <f>-MAX(0,G11*Assumptions!$C$31)</f>
        <v>-7.701275282</v>
      </c>
    </row>
    <row r="13" ht="15.0" customHeight="1">
      <c r="B13" s="15" t="s">
        <v>172</v>
      </c>
      <c r="C13" s="29">
        <f>Assumptions!$C$28</f>
        <v>210</v>
      </c>
      <c r="D13" s="29">
        <f>Assumptions!$C$28</f>
        <v>210</v>
      </c>
      <c r="E13" s="29">
        <f>Assumptions!$C$28</f>
        <v>210</v>
      </c>
      <c r="F13" s="29">
        <f>Assumptions!$C$28</f>
        <v>210</v>
      </c>
      <c r="G13" s="29">
        <f>Assumptions!$C$28</f>
        <v>210</v>
      </c>
    </row>
    <row r="14" ht="15.0" customHeight="1">
      <c r="B14" s="15" t="s">
        <v>178</v>
      </c>
      <c r="C14" s="29">
        <f>-Assumptions!$C$29</f>
        <v>-120</v>
      </c>
      <c r="D14" s="29">
        <f>-Assumptions!$C$29</f>
        <v>-120</v>
      </c>
      <c r="E14" s="29">
        <f>-Assumptions!$C$29</f>
        <v>-120</v>
      </c>
      <c r="F14" s="29">
        <f>-Assumptions!$C$29</f>
        <v>-120</v>
      </c>
      <c r="G14" s="29">
        <f>-Assumptions!$C$29</f>
        <v>-120</v>
      </c>
    </row>
    <row r="15" ht="15.0" customHeight="1">
      <c r="B15" s="15" t="s">
        <v>186</v>
      </c>
      <c r="C15" s="29">
        <f>-C5*Assumptions!$C$30</f>
        <v>-7.46664</v>
      </c>
      <c r="D15" s="29">
        <f>-D5*Assumptions!$C$30</f>
        <v>-7.5366912</v>
      </c>
      <c r="E15" s="29">
        <f>-E5*Assumptions!$C$30</f>
        <v>-7.800906528</v>
      </c>
      <c r="F15" s="29">
        <f>-F5*Assumptions!$C$30</f>
        <v>-8.092083053</v>
      </c>
      <c r="G15" s="29">
        <f>-G5*Assumptions!$C$30</f>
        <v>-8.405064612</v>
      </c>
    </row>
    <row r="16" ht="15.0" customHeight="1">
      <c r="B16" s="39" t="s">
        <v>188</v>
      </c>
      <c r="C16" s="72">
        <f t="shared" ref="C16:G16" si="4">C11+C12+C13+C14+C15</f>
        <v>93.03276</v>
      </c>
      <c r="D16" s="72">
        <f t="shared" si="4"/>
        <v>88.60371648</v>
      </c>
      <c r="E16" s="72">
        <f t="shared" si="4"/>
        <v>93.19867448</v>
      </c>
      <c r="F16" s="72">
        <f t="shared" si="4"/>
        <v>98.65069528</v>
      </c>
      <c r="G16" s="72">
        <f t="shared" si="4"/>
        <v>104.6987612</v>
      </c>
    </row>
    <row r="18" ht="30.0" customHeight="1">
      <c r="B18" s="5"/>
    </row>
    <row r="19"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H1"/>
    <mergeCell ref="B2:H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0.0"/>
    <col customWidth="1" min="3" max="8" width="14.0"/>
    <col customWidth="1" min="9" max="26" width="8.71"/>
  </cols>
  <sheetData>
    <row r="1" ht="21.75" customHeight="1">
      <c r="B1" s="1" t="s">
        <v>111</v>
      </c>
      <c r="C1" s="3"/>
      <c r="D1" s="3"/>
      <c r="E1" s="3"/>
      <c r="F1" s="3"/>
      <c r="G1" s="3"/>
      <c r="H1" s="6"/>
    </row>
    <row r="2" ht="15.0" customHeight="1">
      <c r="B2" s="5" t="s">
        <v>112</v>
      </c>
    </row>
    <row r="4" ht="15.0" customHeight="1">
      <c r="B4" s="41" t="s">
        <v>114</v>
      </c>
      <c r="C4" s="9" t="s">
        <v>104</v>
      </c>
      <c r="D4" s="9" t="s">
        <v>105</v>
      </c>
      <c r="E4" s="9" t="s">
        <v>106</v>
      </c>
      <c r="F4" s="9" t="s">
        <v>107</v>
      </c>
      <c r="G4" s="9" t="s">
        <v>108</v>
      </c>
    </row>
    <row r="5" ht="15.0" customHeight="1">
      <c r="B5" s="15" t="s">
        <v>115</v>
      </c>
      <c r="C5" s="35">
        <f>'P&amp;L to FCF'!C16</f>
        <v>93.03276</v>
      </c>
      <c r="D5" s="35">
        <f>'P&amp;L to FCF'!D16</f>
        <v>88.60371648</v>
      </c>
      <c r="E5" s="35">
        <f>'P&amp;L to FCF'!E16</f>
        <v>93.19867448</v>
      </c>
      <c r="F5" s="35">
        <f>'P&amp;L to FCF'!F16</f>
        <v>98.65069528</v>
      </c>
      <c r="G5" s="35">
        <f>'P&amp;L to FCF'!G16</f>
        <v>104.6987612</v>
      </c>
    </row>
    <row r="6" ht="15.0" customHeight="1">
      <c r="B6" s="15" t="s">
        <v>118</v>
      </c>
      <c r="C6" s="45">
        <f>1/(1+Assumptions!$C$35)^1</f>
        <v>0.9121590805</v>
      </c>
      <c r="D6" s="45">
        <f>1/(1+Assumptions!$C$35)^2</f>
        <v>0.8320341882</v>
      </c>
      <c r="E6" s="45">
        <f>1/(1+Assumptions!$C$35)^3</f>
        <v>0.7589475401</v>
      </c>
      <c r="F6" s="45">
        <f>1/(1+Assumptions!$C$35)^4</f>
        <v>0.6922808904</v>
      </c>
      <c r="G6" s="45">
        <f>1/(1+Assumptions!$C$35)^5</f>
        <v>0.6314703004</v>
      </c>
    </row>
    <row r="7" ht="15.0" customHeight="1">
      <c r="B7" s="15" t="s">
        <v>121</v>
      </c>
      <c r="C7" s="29">
        <f t="shared" ref="C7:G7" si="1">C5*C6</f>
        <v>84.86067682</v>
      </c>
      <c r="D7" s="29">
        <f t="shared" si="1"/>
        <v>73.72132131</v>
      </c>
      <c r="E7" s="29">
        <f t="shared" si="1"/>
        <v>70.73290474</v>
      </c>
      <c r="F7" s="29">
        <f t="shared" si="1"/>
        <v>68.29399116</v>
      </c>
      <c r="G7" s="29">
        <f t="shared" si="1"/>
        <v>66.11415821</v>
      </c>
    </row>
    <row r="9" ht="18.0" customHeight="1">
      <c r="B9" s="48" t="s">
        <v>87</v>
      </c>
      <c r="C9" s="6"/>
    </row>
    <row r="10" ht="15.0" customHeight="1">
      <c r="B10" s="15" t="s">
        <v>128</v>
      </c>
      <c r="C10" s="29">
        <f>SUM(C7:G7)</f>
        <v>363.7230522</v>
      </c>
    </row>
    <row r="11" ht="15.0" customHeight="1">
      <c r="B11" s="15" t="s">
        <v>130</v>
      </c>
      <c r="C11" s="29">
        <f>G5*(1+Assumptions!$C$36)/(Assumptions!$C$35-Assumptions!$C$36)</f>
        <v>1399.64268</v>
      </c>
    </row>
    <row r="12" ht="15.0" customHeight="1">
      <c r="B12" s="15" t="s">
        <v>136</v>
      </c>
      <c r="C12" s="29">
        <f>C11/(1+Assumptions!$C$35)^5</f>
        <v>883.8327834</v>
      </c>
    </row>
    <row r="13" ht="15.0" customHeight="1">
      <c r="B13" s="32" t="s">
        <v>143</v>
      </c>
      <c r="C13" s="34">
        <f>C10+C12</f>
        <v>1247.555836</v>
      </c>
    </row>
    <row r="14" ht="15.0" customHeight="1">
      <c r="B14" s="15" t="s">
        <v>150</v>
      </c>
      <c r="C14" s="29">
        <f>-Assumptions!$C$37</f>
        <v>-691.7</v>
      </c>
    </row>
    <row r="15" ht="15.0" customHeight="1">
      <c r="B15" s="32" t="s">
        <v>153</v>
      </c>
      <c r="C15" s="34">
        <f>C13+C14</f>
        <v>555.8558357</v>
      </c>
    </row>
    <row r="16" ht="15.0" customHeight="1">
      <c r="B16" s="15" t="s">
        <v>156</v>
      </c>
      <c r="C16" s="29">
        <f>C15/Assumptions!$C$40</f>
        <v>746.1152157</v>
      </c>
    </row>
    <row r="17" ht="15.0" customHeight="1">
      <c r="B17" s="39" t="s">
        <v>159</v>
      </c>
      <c r="C17" s="58">
        <f>C16/Assumptions!$C$38</f>
        <v>4.337879161</v>
      </c>
    </row>
    <row r="18" ht="15.0" customHeight="1">
      <c r="B18" s="15" t="s">
        <v>161</v>
      </c>
      <c r="C18" s="59">
        <f>Assumptions!$C$39</f>
        <v>22.23</v>
      </c>
    </row>
    <row r="19" ht="15.0" customHeight="1">
      <c r="B19" s="15" t="s">
        <v>135</v>
      </c>
      <c r="C19" s="60">
        <f>C17/C18-1</f>
        <v>-0.8048637355</v>
      </c>
    </row>
    <row r="21" ht="19.5" customHeight="1">
      <c r="B21" s="1" t="s">
        <v>164</v>
      </c>
      <c r="C21" s="3"/>
      <c r="D21" s="3"/>
      <c r="E21" s="3"/>
      <c r="F21" s="6"/>
    </row>
    <row r="22" ht="15.0" customHeight="1">
      <c r="B22" s="9" t="s">
        <v>166</v>
      </c>
      <c r="C22" s="9" t="s">
        <v>167</v>
      </c>
      <c r="D22" s="9" t="s">
        <v>168</v>
      </c>
      <c r="E22" s="9" t="s">
        <v>169</v>
      </c>
      <c r="F22" s="13"/>
    </row>
    <row r="23" ht="32.25" customHeight="1">
      <c r="B23" s="15" t="s">
        <v>170</v>
      </c>
      <c r="C23" s="61">
        <v>0.58</v>
      </c>
      <c r="D23" s="62">
        <f>Assumptions!$C$25</f>
        <v>0.52</v>
      </c>
      <c r="E23" s="63">
        <v>0.5</v>
      </c>
      <c r="F23" s="5"/>
    </row>
    <row r="24" ht="21.75" customHeight="1">
      <c r="B24" s="15" t="s">
        <v>171</v>
      </c>
      <c r="C24" s="61">
        <v>0.05</v>
      </c>
      <c r="D24" s="64">
        <v>0.0</v>
      </c>
      <c r="E24" s="63">
        <v>0.0</v>
      </c>
      <c r="F24" s="5"/>
    </row>
    <row r="25" ht="21.75" customHeight="1">
      <c r="B25" s="65" t="s">
        <v>173</v>
      </c>
      <c r="C25" s="66" t="s">
        <v>174</v>
      </c>
      <c r="D25" s="66" t="s">
        <v>175</v>
      </c>
      <c r="E25" s="66" t="s">
        <v>176</v>
      </c>
      <c r="F25" s="5"/>
    </row>
    <row r="26" ht="15.0" customHeight="1"/>
    <row r="27" ht="15.0" customHeight="1">
      <c r="B27" s="67" t="s">
        <v>177</v>
      </c>
      <c r="C27" s="3"/>
      <c r="D27" s="3"/>
      <c r="E27" s="3"/>
      <c r="F27" s="3"/>
      <c r="G27" s="3"/>
      <c r="H27" s="6"/>
    </row>
    <row r="28" ht="15.0" customHeight="1">
      <c r="B28" s="41" t="s">
        <v>114</v>
      </c>
      <c r="C28" s="9" t="s">
        <v>179</v>
      </c>
      <c r="D28" s="9" t="s">
        <v>180</v>
      </c>
      <c r="E28" s="9" t="s">
        <v>181</v>
      </c>
      <c r="F28" s="9" t="s">
        <v>182</v>
      </c>
      <c r="G28" s="9" t="s">
        <v>183</v>
      </c>
      <c r="H28" s="9" t="s">
        <v>184</v>
      </c>
    </row>
    <row r="29" ht="45.0" customHeight="1">
      <c r="B29" s="68" t="s">
        <v>185</v>
      </c>
      <c r="C29" s="69">
        <v>1.0</v>
      </c>
      <c r="D29" s="69">
        <v>0.0</v>
      </c>
      <c r="E29" s="69">
        <v>0.0</v>
      </c>
      <c r="F29" s="69">
        <v>0.0</v>
      </c>
      <c r="G29" s="69">
        <v>0.0</v>
      </c>
    </row>
    <row r="30" ht="15.0" customHeight="1">
      <c r="B30" s="70" t="s">
        <v>187</v>
      </c>
      <c r="C30" s="71">
        <f>Assumptions!$C$6*Assumptions!$C$7*(1+Assumptions!$C$10-$C$24*(1-C$29))^1+Assumptions!$C$6*Assumptions!$C$8*(1+Assumptions!$C$11)^1+Assumptions!$C$16*C$29+Assumptions!$C$6*Assumptions!$C$9*(1+Assumptions!$C$12)^1</f>
        <v>746.664</v>
      </c>
      <c r="D30" s="71">
        <f>Assumptions!$C$6*Assumptions!$C$7*(1+Assumptions!$C$10-$C$24*(1-D$29))^2+Assumptions!$C$6*Assumptions!$C$8*(1+Assumptions!$C$11)^2+Assumptions!$C$16*D$29+Assumptions!$C$6*Assumptions!$C$9*(1+Assumptions!$C$12)^2</f>
        <v>679.83102</v>
      </c>
      <c r="E30" s="71">
        <f>Assumptions!$C$6*Assumptions!$C$7*(1+Assumptions!$C$10-$C$24*(1-E$29))^3+Assumptions!$C$6*Assumptions!$C$8*(1+Assumptions!$C$11)^3+Assumptions!$C$16*E$29+Assumptions!$C$6*Assumptions!$C$9*(1+Assumptions!$C$12)^3</f>
        <v>689.9939838</v>
      </c>
      <c r="F30" s="71">
        <f>Assumptions!$C$6*Assumptions!$C$7*(1+Assumptions!$C$10-$C$24*(1-F$29))^4+Assumptions!$C$6*Assumptions!$C$8*(1+Assumptions!$C$11)^4+Assumptions!$C$16*F$29+Assumptions!$C$6*Assumptions!$C$9*(1+Assumptions!$C$12)^4</f>
        <v>700.3258703</v>
      </c>
      <c r="G30" s="71">
        <f>Assumptions!$C$6*Assumptions!$C$7*(1+Assumptions!$C$10-$C$24*(1-G$29))^5+Assumptions!$C$6*Assumptions!$C$8*(1+Assumptions!$C$11)^5+Assumptions!$C$16*G$29+Assumptions!$C$6*Assumptions!$C$9*(1+Assumptions!$C$12)^5</f>
        <v>710.8297146</v>
      </c>
    </row>
    <row r="31" ht="15.0" customHeight="1">
      <c r="B31" s="77" t="s">
        <v>200</v>
      </c>
      <c r="C31" s="82">
        <f>(C$30*(1-$C$23-Assumptions!$C$27)-Assumptions!$C$28)-MAX(0,(C$30*(1-$C$23-Assumptions!$C$27)-Assumptions!$C$28)*Assumptions!$C$31)+Assumptions!$C$28-Assumptions!$C$29-C$30*Assumptions!$C$30</f>
        <v>51.73272</v>
      </c>
      <c r="D31" s="82">
        <f>(D$30*(1-$C$23-Assumptions!$C$27)-Assumptions!$C$28)-MAX(0,(D$30*(1-$C$23-Assumptions!$C$27)-Assumptions!$C$28)*Assumptions!$C$31)+Assumptions!$C$28-Assumptions!$C$29-D$30*Assumptions!$C$30</f>
        <v>36.3611346</v>
      </c>
      <c r="E31" s="82">
        <f>(E$30*(1-$C$23-Assumptions!$C$27)-Assumptions!$C$28)-MAX(0,(E$30*(1-$C$23-Assumptions!$C$27)-Assumptions!$C$28)*Assumptions!$C$31)+Assumptions!$C$28-Assumptions!$C$29-E$30*Assumptions!$C$30</f>
        <v>38.69861627</v>
      </c>
      <c r="F31" s="82">
        <f>(F$30*(1-$C$23-Assumptions!$C$27)-Assumptions!$C$28)-MAX(0,(F$30*(1-$C$23-Assumptions!$C$27)-Assumptions!$C$28)*Assumptions!$C$31)+Assumptions!$C$28-Assumptions!$C$29-F$30*Assumptions!$C$30</f>
        <v>41.07495017</v>
      </c>
      <c r="G31" s="82">
        <f>(G$30*(1-$C$23-Assumptions!$C$27)-Assumptions!$C$28)-MAX(0,(G$30*(1-$C$23-Assumptions!$C$27)-Assumptions!$C$28)*Assumptions!$C$31)+Assumptions!$C$28-Assumptions!$C$29-G$30*Assumptions!$C$30</f>
        <v>43.49083436</v>
      </c>
      <c r="H31" s="95">
        <f>((C$31/(1+Assumptions!$C$35)^1+D$31/(1+Assumptions!$C$35)^2+E$31/(1+Assumptions!$C$35)^3+F$31/(1+Assumptions!$C$35)^4+G$31/(1+Assumptions!$C$35)^5+G$31*(1+Assumptions!$C$36)/(Assumptions!$C$35-Assumptions!$C$36)/(1+Assumptions!$C$35)^5)-Assumptions!$C$37)/Assumptions!$C$40/Assumptions!$C$38</f>
        <v>-1.263099697</v>
      </c>
    </row>
    <row r="32" ht="15.0" customHeight="1">
      <c r="B32" s="96" t="s">
        <v>230</v>
      </c>
      <c r="C32" s="97">
        <v>1.0</v>
      </c>
      <c r="D32" s="97">
        <v>1.0</v>
      </c>
      <c r="E32" s="97">
        <v>1.0</v>
      </c>
      <c r="F32" s="97">
        <v>1.0</v>
      </c>
      <c r="G32" s="97">
        <v>1.0</v>
      </c>
    </row>
    <row r="33" ht="15.0" customHeight="1">
      <c r="B33" s="99" t="s">
        <v>232</v>
      </c>
      <c r="C33" s="102">
        <f>Assumptions!$C$6*Assumptions!$C$7*(1+Assumptions!$C$10-$E$24*(1-C$32))^1+Assumptions!$C$6*Assumptions!$C$8*(1+Assumptions!$C$11)^1+Assumptions!$C$16*C$32+Assumptions!$C$6*Assumptions!$C$9*(1+Assumptions!$C$12)^1</f>
        <v>746.664</v>
      </c>
      <c r="D33" s="102">
        <f>Assumptions!$C$6*Assumptions!$C$7*(1+Assumptions!$C$10-$E$24*(1-D$32))^2+Assumptions!$C$6*Assumptions!$C$8*(1+Assumptions!$C$11)^2+Assumptions!$C$16*D$32+Assumptions!$C$6*Assumptions!$C$9*(1+Assumptions!$C$12)^2</f>
        <v>774.66912</v>
      </c>
      <c r="E33" s="102">
        <f>Assumptions!$C$6*Assumptions!$C$7*(1+Assumptions!$C$10-$E$24*(1-E$32))^3+Assumptions!$C$6*Assumptions!$C$8*(1+Assumptions!$C$11)^3+Assumptions!$C$16*E$32+Assumptions!$C$6*Assumptions!$C$9*(1+Assumptions!$C$12)^3</f>
        <v>804.0906528</v>
      </c>
      <c r="F33" s="102">
        <f>Assumptions!$C$6*Assumptions!$C$7*(1+Assumptions!$C$10-$E$24*(1-F$32))^4+Assumptions!$C$6*Assumptions!$C$8*(1+Assumptions!$C$11)^4+Assumptions!$C$16*F$32+Assumptions!$C$6*Assumptions!$C$9*(1+Assumptions!$C$12)^4</f>
        <v>835.0083053</v>
      </c>
      <c r="G33" s="102">
        <f>Assumptions!$C$6*Assumptions!$C$7*(1+Assumptions!$C$10-$E$24*(1-G$32))^5+Assumptions!$C$6*Assumptions!$C$8*(1+Assumptions!$C$11)^5+Assumptions!$C$16*G$32+Assumptions!$C$6*Assumptions!$C$9*(1+Assumptions!$C$12)^5</f>
        <v>867.5064612</v>
      </c>
    </row>
    <row r="34" ht="15.0" customHeight="1">
      <c r="B34" s="106" t="s">
        <v>240</v>
      </c>
      <c r="C34" s="107">
        <f>(C$33*(1-$E$23-Assumptions!$C$27)-Assumptions!$C$28)-MAX(0,(C$33*(1-$E$23-Assumptions!$C$27)-Assumptions!$C$28)*Assumptions!$C$31)+Assumptions!$C$28-Assumptions!$C$29-C$33*Assumptions!$C$30</f>
        <v>104.23272</v>
      </c>
      <c r="D34" s="107">
        <f>(D$33*(1-$E$23-Assumptions!$C$27)-Assumptions!$C$28)-MAX(0,(D$33*(1-$E$23-Assumptions!$C$27)-Assumptions!$C$28)*Assumptions!$C$31)+Assumptions!$C$28-Assumptions!$C$29-D$33*Assumptions!$C$30</f>
        <v>110.6738976</v>
      </c>
      <c r="E34" s="107">
        <f>(E$33*(1-$E$23-Assumptions!$C$27)-Assumptions!$C$28)-MAX(0,(E$33*(1-$E$23-Assumptions!$C$27)-Assumptions!$C$28)*Assumptions!$C$31)+Assumptions!$C$28-Assumptions!$C$29-E$33*Assumptions!$C$30</f>
        <v>117.4408501</v>
      </c>
      <c r="F34" s="107">
        <f>(F$33*(1-$E$23-Assumptions!$C$27)-Assumptions!$C$28)-MAX(0,(F$33*(1-$E$23-Assumptions!$C$27)-Assumptions!$C$28)*Assumptions!$C$31)+Assumptions!$C$28-Assumptions!$C$29-F$33*Assumptions!$C$30</f>
        <v>124.5519102</v>
      </c>
      <c r="G34" s="107">
        <f>(G$33*(1-$E$23-Assumptions!$C$27)-Assumptions!$C$28)-MAX(0,(G$33*(1-$E$23-Assumptions!$C$27)-Assumptions!$C$28)*Assumptions!$C$31)+Assumptions!$C$28-Assumptions!$C$29-G$33*Assumptions!$C$30</f>
        <v>132.0264861</v>
      </c>
      <c r="H34" s="108">
        <f>((C$34/(1+Assumptions!$C$35)^1+D$34/(1+Assumptions!$C$35)^2+E$34/(1+Assumptions!$C$35)^3+F$34/(1+Assumptions!$C$35)^4+G$34/(1+Assumptions!$C$35)^5+G$34*(1+Assumptions!$C$36)/(Assumptions!$C$35-Assumptions!$C$36)/(1+Assumptions!$C$35)^5)-Assumptions!$C$37)/Assumptions!$C$40/Assumptions!$C$38</f>
        <v>6.77940507</v>
      </c>
    </row>
    <row r="35" ht="15.75" customHeight="1"/>
    <row r="36" ht="15.0" customHeight="1">
      <c r="B36" s="109" t="s">
        <v>241</v>
      </c>
      <c r="C36" s="110">
        <f>H31</f>
        <v>-1.263099697</v>
      </c>
      <c r="D36" s="58">
        <f>C17</f>
        <v>4.337879161</v>
      </c>
      <c r="E36" s="111">
        <f>H34</f>
        <v>6.77940507</v>
      </c>
    </row>
    <row r="37" ht="15.0" customHeight="1">
      <c r="B37" s="112" t="s">
        <v>242</v>
      </c>
      <c r="C37" s="113">
        <f>C36/Assumptions!$C$39-1</f>
        <v>-1.0568196</v>
      </c>
      <c r="D37" s="113">
        <f>D36/Assumptions!$C$39-1</f>
        <v>-0.8048637355</v>
      </c>
      <c r="E37" s="113">
        <f>E36/Assumptions!$C$39-1</f>
        <v>-0.6950335101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H1"/>
    <mergeCell ref="B2:H2"/>
    <mergeCell ref="B9:C9"/>
    <mergeCell ref="B21:F21"/>
    <mergeCell ref="B27:H27"/>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36.0"/>
    <col customWidth="1" min="3" max="3" width="18.0"/>
    <col customWidth="1" min="4" max="4" width="44.0"/>
    <col customWidth="1" min="5" max="26" width="8.71"/>
  </cols>
  <sheetData>
    <row r="1" ht="21.75" customHeight="1">
      <c r="B1" s="47" t="s">
        <v>120</v>
      </c>
      <c r="C1" s="3"/>
      <c r="D1" s="6"/>
    </row>
    <row r="2" ht="15.0" customHeight="1">
      <c r="B2" s="5" t="s">
        <v>122</v>
      </c>
    </row>
    <row r="4" ht="18.0" customHeight="1">
      <c r="B4" s="48" t="s">
        <v>123</v>
      </c>
      <c r="C4" s="3"/>
      <c r="D4" s="6"/>
    </row>
    <row r="5" ht="15.0" customHeight="1">
      <c r="B5" s="41" t="s">
        <v>125</v>
      </c>
      <c r="C5" s="9" t="s">
        <v>13</v>
      </c>
      <c r="D5" s="9" t="s">
        <v>126</v>
      </c>
    </row>
    <row r="6" ht="15.0" customHeight="1">
      <c r="B6" s="15" t="s">
        <v>127</v>
      </c>
      <c r="C6" s="49">
        <f>DCF!C17</f>
        <v>4.337879161</v>
      </c>
      <c r="D6" s="50" t="s">
        <v>131</v>
      </c>
    </row>
    <row r="7" ht="15.0" customHeight="1">
      <c r="B7" s="15" t="s">
        <v>133</v>
      </c>
      <c r="C7" s="51">
        <f>Assumptions!C39</f>
        <v>22.23</v>
      </c>
      <c r="D7" s="50" t="s">
        <v>134</v>
      </c>
    </row>
    <row r="8" ht="15.0" customHeight="1">
      <c r="B8" s="15" t="s">
        <v>135</v>
      </c>
      <c r="C8" s="52">
        <f>DCF!C17/Assumptions!C39-1</f>
        <v>-0.8048637355</v>
      </c>
      <c r="D8" s="50" t="s">
        <v>138</v>
      </c>
    </row>
    <row r="9" ht="15.0" customHeight="1">
      <c r="B9" s="15" t="s">
        <v>139</v>
      </c>
      <c r="C9" s="53" t="s">
        <v>140</v>
      </c>
      <c r="D9" s="50" t="s">
        <v>142</v>
      </c>
    </row>
    <row r="10" ht="15.0" customHeight="1">
      <c r="B10" s="15" t="s">
        <v>144</v>
      </c>
      <c r="C10" s="53" t="s">
        <v>145</v>
      </c>
      <c r="D10" s="50" t="s">
        <v>146</v>
      </c>
    </row>
    <row r="11" ht="15.0" customHeight="1">
      <c r="B11" s="15" t="s">
        <v>147</v>
      </c>
      <c r="C11" s="53" t="s">
        <v>148</v>
      </c>
      <c r="D11" s="50" t="s">
        <v>151</v>
      </c>
    </row>
    <row r="13" ht="18.0" customHeight="1">
      <c r="B13" s="48" t="s">
        <v>152</v>
      </c>
      <c r="C13" s="3"/>
      <c r="D13" s="6"/>
    </row>
    <row r="14" ht="27.75" customHeight="1">
      <c r="B14" s="54" t="s">
        <v>154</v>
      </c>
      <c r="C14" s="55"/>
      <c r="D14" s="56"/>
    </row>
    <row r="15" ht="27.75" customHeight="1">
      <c r="B15" s="57" t="s">
        <v>157</v>
      </c>
      <c r="C15" s="55"/>
      <c r="D15" s="56"/>
    </row>
    <row r="16" ht="27.75" customHeight="1">
      <c r="B16" s="54" t="s">
        <v>158</v>
      </c>
      <c r="C16" s="55"/>
      <c r="D16" s="56"/>
    </row>
    <row r="17" ht="27.75" customHeight="1">
      <c r="B17" s="57" t="s">
        <v>160</v>
      </c>
      <c r="C17" s="55"/>
      <c r="D17" s="56"/>
    </row>
    <row r="18" ht="27.75" customHeight="1">
      <c r="B18" s="54" t="s">
        <v>162</v>
      </c>
      <c r="C18" s="55"/>
      <c r="D18" s="56"/>
    </row>
    <row r="20" ht="15.0" customHeight="1"/>
    <row r="21" ht="15.0"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7:D17"/>
    <mergeCell ref="B18:D18"/>
    <mergeCell ref="B1:D1"/>
    <mergeCell ref="B2:D2"/>
    <mergeCell ref="B4:D4"/>
    <mergeCell ref="B13:D13"/>
    <mergeCell ref="B14:D14"/>
    <mergeCell ref="B15:D15"/>
    <mergeCell ref="B16:D16"/>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7" width="12.0"/>
    <col customWidth="1" min="8" max="10" width="11.0"/>
    <col customWidth="1" min="11" max="11" width="20.0"/>
    <col customWidth="1" min="12" max="26" width="8.71"/>
  </cols>
  <sheetData>
    <row r="1" ht="21.75" customHeight="1">
      <c r="B1" s="47" t="s">
        <v>189</v>
      </c>
      <c r="C1" s="3"/>
      <c r="D1" s="3"/>
      <c r="E1" s="3"/>
      <c r="F1" s="3"/>
      <c r="G1" s="3"/>
      <c r="H1" s="3"/>
      <c r="I1" s="3"/>
      <c r="J1" s="6"/>
    </row>
    <row r="2" ht="27.75" customHeight="1">
      <c r="B2" s="5" t="s">
        <v>190</v>
      </c>
    </row>
    <row r="4" ht="27.75" customHeight="1">
      <c r="B4" s="12" t="s">
        <v>191</v>
      </c>
      <c r="C4" s="12" t="s">
        <v>192</v>
      </c>
      <c r="D4" s="12" t="s">
        <v>193</v>
      </c>
      <c r="E4" s="12" t="s">
        <v>194</v>
      </c>
      <c r="F4" s="12" t="s">
        <v>116</v>
      </c>
      <c r="G4" s="12" t="s">
        <v>141</v>
      </c>
      <c r="H4" s="12" t="s">
        <v>195</v>
      </c>
      <c r="I4" s="12" t="s">
        <v>196</v>
      </c>
      <c r="J4" s="12" t="s">
        <v>197</v>
      </c>
      <c r="K4" s="12" t="s">
        <v>198</v>
      </c>
    </row>
    <row r="5" ht="15.0" customHeight="1">
      <c r="B5" s="73" t="s">
        <v>199</v>
      </c>
      <c r="C5" s="74">
        <f>Assumptions!C38*Assumptions!C39*Assumptions!C40</f>
        <v>2848.5522</v>
      </c>
      <c r="D5" s="75">
        <f>Assumptions!C37</f>
        <v>691.7</v>
      </c>
      <c r="E5" s="76">
        <f t="shared" ref="E5:E9" si="1">C5+D5</f>
        <v>3540.2522</v>
      </c>
      <c r="F5" s="75">
        <f>Assumptions!C6</f>
        <v>660</v>
      </c>
      <c r="G5" s="76">
        <v>210.0</v>
      </c>
      <c r="H5" s="78">
        <f t="shared" ref="H5:H9" si="2">E5/F5</f>
        <v>5.364018485</v>
      </c>
      <c r="I5" s="78">
        <f t="shared" ref="I5:I9" si="3">E5/G5</f>
        <v>16.85834381</v>
      </c>
      <c r="J5" s="79" t="s">
        <v>204</v>
      </c>
      <c r="K5" s="80" t="s">
        <v>205</v>
      </c>
    </row>
    <row r="6" ht="15.0" customHeight="1">
      <c r="B6" s="81" t="s">
        <v>208</v>
      </c>
      <c r="C6" s="17">
        <v>2400.0</v>
      </c>
      <c r="D6" s="17">
        <v>-150.0</v>
      </c>
      <c r="E6" s="83">
        <f t="shared" si="1"/>
        <v>2250</v>
      </c>
      <c r="F6" s="17">
        <v>710.0</v>
      </c>
      <c r="G6" s="17">
        <v>230.0</v>
      </c>
      <c r="H6" s="84">
        <f t="shared" si="2"/>
        <v>3.169014085</v>
      </c>
      <c r="I6" s="84">
        <f t="shared" si="3"/>
        <v>9.782608696</v>
      </c>
      <c r="J6" s="86" t="s">
        <v>204</v>
      </c>
      <c r="K6" s="87" t="s">
        <v>214</v>
      </c>
    </row>
    <row r="7" ht="15.0" customHeight="1">
      <c r="B7" s="15" t="s">
        <v>215</v>
      </c>
      <c r="C7" s="17">
        <v>3800.0</v>
      </c>
      <c r="D7" s="17">
        <v>-80.0</v>
      </c>
      <c r="E7" s="29">
        <f t="shared" si="1"/>
        <v>3720</v>
      </c>
      <c r="F7" s="17">
        <v>700.0</v>
      </c>
      <c r="G7" s="17">
        <v>240.0</v>
      </c>
      <c r="H7" s="88">
        <f t="shared" si="2"/>
        <v>5.314285714</v>
      </c>
      <c r="I7" s="88">
        <f t="shared" si="3"/>
        <v>15.5</v>
      </c>
      <c r="J7" s="86" t="s">
        <v>204</v>
      </c>
      <c r="K7" s="50" t="s">
        <v>216</v>
      </c>
    </row>
    <row r="8" ht="15.0" customHeight="1">
      <c r="B8" s="81" t="s">
        <v>217</v>
      </c>
      <c r="C8" s="17">
        <v>1800.0</v>
      </c>
      <c r="D8" s="17">
        <v>1200.0</v>
      </c>
      <c r="E8" s="83">
        <f t="shared" si="1"/>
        <v>3000</v>
      </c>
      <c r="F8" s="17">
        <v>590.0</v>
      </c>
      <c r="G8" s="17">
        <v>110.0</v>
      </c>
      <c r="H8" s="84">
        <f t="shared" si="2"/>
        <v>5.084745763</v>
      </c>
      <c r="I8" s="84">
        <f t="shared" si="3"/>
        <v>27.27272727</v>
      </c>
      <c r="J8" s="90" t="s">
        <v>218</v>
      </c>
      <c r="K8" s="87" t="s">
        <v>219</v>
      </c>
    </row>
    <row r="9" ht="15.0" customHeight="1">
      <c r="B9" s="15" t="s">
        <v>220</v>
      </c>
      <c r="C9" s="17">
        <v>420.0</v>
      </c>
      <c r="D9" s="17">
        <v>850.0</v>
      </c>
      <c r="E9" s="29">
        <f t="shared" si="1"/>
        <v>1270</v>
      </c>
      <c r="F9" s="17">
        <v>580.0</v>
      </c>
      <c r="G9" s="17">
        <v>130.0</v>
      </c>
      <c r="H9" s="88">
        <f t="shared" si="2"/>
        <v>2.189655172</v>
      </c>
      <c r="I9" s="88">
        <f t="shared" si="3"/>
        <v>9.769230769</v>
      </c>
      <c r="J9" s="90" t="s">
        <v>218</v>
      </c>
      <c r="K9" s="50" t="s">
        <v>221</v>
      </c>
    </row>
    <row r="10" ht="15.0" customHeight="1">
      <c r="B10" s="92" t="s">
        <v>222</v>
      </c>
      <c r="H10" s="93">
        <f t="shared" ref="H10:I10" si="4">MEDIAN(H6:H9)</f>
        <v>4.126879924</v>
      </c>
      <c r="I10" s="93">
        <f t="shared" si="4"/>
        <v>12.64130435</v>
      </c>
    </row>
    <row r="12" ht="15.0" customHeight="1"/>
    <row r="13" ht="15.0" customHeight="1"/>
    <row r="14" ht="24.0" customHeight="1">
      <c r="B14" s="94"/>
    </row>
    <row r="15"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B2:K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2.0"/>
    <col customWidth="1" min="3" max="10" width="12.0"/>
    <col customWidth="1" min="11" max="26" width="8.71"/>
  </cols>
  <sheetData>
    <row r="1" ht="21.75" customHeight="1">
      <c r="B1" s="1" t="s">
        <v>201</v>
      </c>
      <c r="C1" s="3"/>
      <c r="D1" s="3"/>
      <c r="E1" s="3"/>
      <c r="F1" s="3"/>
      <c r="G1" s="3"/>
      <c r="H1" s="3"/>
      <c r="I1" s="3"/>
      <c r="J1" s="6"/>
    </row>
    <row r="2" ht="15.0" customHeight="1">
      <c r="B2" s="5" t="s">
        <v>202</v>
      </c>
    </row>
    <row r="4" ht="18.0" customHeight="1">
      <c r="B4" s="48" t="s">
        <v>203</v>
      </c>
      <c r="C4" s="3"/>
      <c r="D4" s="3"/>
      <c r="E4" s="3"/>
      <c r="F4" s="3"/>
      <c r="G4" s="3"/>
      <c r="H4" s="3"/>
      <c r="I4" s="6"/>
    </row>
    <row r="5" ht="24.0" customHeight="1">
      <c r="B5" s="12" t="s">
        <v>191</v>
      </c>
      <c r="C5" s="12" t="s">
        <v>206</v>
      </c>
      <c r="D5" s="12" t="s">
        <v>207</v>
      </c>
      <c r="E5" s="12" t="s">
        <v>209</v>
      </c>
      <c r="F5" s="12" t="s">
        <v>210</v>
      </c>
      <c r="G5" s="12" t="s">
        <v>211</v>
      </c>
      <c r="H5" s="12" t="s">
        <v>212</v>
      </c>
      <c r="I5" s="12" t="s">
        <v>213</v>
      </c>
    </row>
    <row r="6" ht="15.0" customHeight="1">
      <c r="B6" s="73" t="s">
        <v>199</v>
      </c>
      <c r="C6" s="76">
        <v>660.0</v>
      </c>
      <c r="D6" s="85">
        <v>0.51</v>
      </c>
      <c r="E6" s="85">
        <v>0.26</v>
      </c>
      <c r="F6" s="85">
        <v>0.23</v>
      </c>
      <c r="G6" s="76">
        <f t="shared" ref="G6:G10" si="1">C6*D6</f>
        <v>336.6</v>
      </c>
      <c r="H6" s="76">
        <f t="shared" ref="H6:H10" si="2">C6*E6</f>
        <v>171.6</v>
      </c>
      <c r="I6" s="76">
        <f t="shared" ref="I6:I10" si="3">C6*F6</f>
        <v>151.8</v>
      </c>
    </row>
    <row r="7" ht="15.0" customHeight="1">
      <c r="B7" s="81" t="s">
        <v>208</v>
      </c>
      <c r="C7" s="83">
        <v>710.0</v>
      </c>
      <c r="D7" s="89">
        <v>0.46</v>
      </c>
      <c r="E7" s="89">
        <v>0.34</v>
      </c>
      <c r="F7" s="89">
        <v>0.2</v>
      </c>
      <c r="G7" s="83">
        <f t="shared" si="1"/>
        <v>326.6</v>
      </c>
      <c r="H7" s="83">
        <f t="shared" si="2"/>
        <v>241.4</v>
      </c>
      <c r="I7" s="83">
        <f t="shared" si="3"/>
        <v>142</v>
      </c>
    </row>
    <row r="8" ht="15.0" customHeight="1">
      <c r="B8" s="15" t="s">
        <v>215</v>
      </c>
      <c r="C8" s="29">
        <v>700.0</v>
      </c>
      <c r="D8" s="91">
        <v>0.48</v>
      </c>
      <c r="E8" s="91">
        <v>0.33</v>
      </c>
      <c r="F8" s="91">
        <v>0.19</v>
      </c>
      <c r="G8" s="29">
        <f t="shared" si="1"/>
        <v>336</v>
      </c>
      <c r="H8" s="29">
        <f t="shared" si="2"/>
        <v>231</v>
      </c>
      <c r="I8" s="29">
        <f t="shared" si="3"/>
        <v>133</v>
      </c>
    </row>
    <row r="9" ht="15.0" customHeight="1">
      <c r="B9" s="81" t="s">
        <v>217</v>
      </c>
      <c r="C9" s="83">
        <v>590.0</v>
      </c>
      <c r="D9" s="89">
        <v>0.4</v>
      </c>
      <c r="E9" s="89">
        <v>0.38</v>
      </c>
      <c r="F9" s="89">
        <v>0.22</v>
      </c>
      <c r="G9" s="83">
        <f t="shared" si="1"/>
        <v>236</v>
      </c>
      <c r="H9" s="83">
        <f t="shared" si="2"/>
        <v>224.2</v>
      </c>
      <c r="I9" s="83">
        <f t="shared" si="3"/>
        <v>129.8</v>
      </c>
    </row>
    <row r="10" ht="15.0" customHeight="1">
      <c r="B10" s="15" t="s">
        <v>220</v>
      </c>
      <c r="C10" s="29">
        <v>580.0</v>
      </c>
      <c r="D10" s="91">
        <v>0.43</v>
      </c>
      <c r="E10" s="91">
        <v>0.36</v>
      </c>
      <c r="F10" s="91">
        <v>0.21</v>
      </c>
      <c r="G10" s="29">
        <f t="shared" si="1"/>
        <v>249.4</v>
      </c>
      <c r="H10" s="29">
        <f t="shared" si="2"/>
        <v>208.8</v>
      </c>
      <c r="I10" s="29">
        <f t="shared" si="3"/>
        <v>121.8</v>
      </c>
    </row>
    <row r="12" ht="18.0" customHeight="1">
      <c r="B12" s="48" t="s">
        <v>223</v>
      </c>
      <c r="C12" s="3"/>
      <c r="D12" s="3"/>
      <c r="E12" s="3"/>
      <c r="F12" s="3"/>
      <c r="G12" s="3"/>
      <c r="H12" s="3"/>
      <c r="I12" s="6"/>
    </row>
    <row r="13" ht="24.0" customHeight="1">
      <c r="B13" s="12" t="s">
        <v>191</v>
      </c>
      <c r="C13" s="12" t="s">
        <v>116</v>
      </c>
      <c r="D13" s="12" t="s">
        <v>224</v>
      </c>
      <c r="E13" s="12" t="s">
        <v>225</v>
      </c>
      <c r="F13" s="12" t="s">
        <v>226</v>
      </c>
      <c r="G13" s="12" t="s">
        <v>227</v>
      </c>
      <c r="H13" s="12" t="s">
        <v>228</v>
      </c>
      <c r="I13" s="12" t="s">
        <v>229</v>
      </c>
    </row>
    <row r="14" ht="15.0" customHeight="1">
      <c r="B14" s="73" t="s">
        <v>199</v>
      </c>
      <c r="C14" s="76">
        <v>660.0</v>
      </c>
      <c r="D14" s="85">
        <v>0.52</v>
      </c>
      <c r="E14" s="76">
        <f t="shared" ref="E14:E18" si="4">C14*D14</f>
        <v>343.2</v>
      </c>
      <c r="F14" s="76">
        <v>210.0</v>
      </c>
      <c r="G14" s="98">
        <v>0.3</v>
      </c>
      <c r="H14" s="98">
        <v>0.02</v>
      </c>
      <c r="I14" s="76">
        <v>120.0</v>
      </c>
    </row>
    <row r="15" ht="15.0" customHeight="1">
      <c r="B15" s="81" t="s">
        <v>208</v>
      </c>
      <c r="C15" s="83">
        <v>710.0</v>
      </c>
      <c r="D15" s="89">
        <v>0.57</v>
      </c>
      <c r="E15" s="83">
        <f t="shared" si="4"/>
        <v>404.7</v>
      </c>
      <c r="F15" s="83">
        <v>148.0</v>
      </c>
      <c r="G15" s="42">
        <v>0.32</v>
      </c>
      <c r="H15" s="42">
        <v>0.09</v>
      </c>
      <c r="I15" s="83">
        <v>85.0</v>
      </c>
    </row>
    <row r="16" ht="15.0" customHeight="1">
      <c r="B16" s="15" t="s">
        <v>215</v>
      </c>
      <c r="C16" s="29">
        <v>700.0</v>
      </c>
      <c r="D16" s="91">
        <v>0.55</v>
      </c>
      <c r="E16" s="29">
        <f t="shared" si="4"/>
        <v>385</v>
      </c>
      <c r="F16" s="29">
        <v>148.0</v>
      </c>
      <c r="G16" s="36">
        <v>0.34</v>
      </c>
      <c r="H16" s="36">
        <v>0.1</v>
      </c>
      <c r="I16" s="29">
        <v>75.0</v>
      </c>
    </row>
    <row r="17" ht="15.0" customHeight="1">
      <c r="B17" s="81" t="s">
        <v>217</v>
      </c>
      <c r="C17" s="83">
        <v>590.0</v>
      </c>
      <c r="D17" s="89">
        <v>0.68</v>
      </c>
      <c r="E17" s="83">
        <f t="shared" si="4"/>
        <v>401.2</v>
      </c>
      <c r="F17" s="83">
        <v>195.0</v>
      </c>
      <c r="G17" s="42">
        <v>0.19</v>
      </c>
      <c r="H17" s="103">
        <v>-0.06</v>
      </c>
      <c r="I17" s="104">
        <v>260.0</v>
      </c>
    </row>
    <row r="18" ht="15.0" customHeight="1">
      <c r="B18" s="15" t="s">
        <v>220</v>
      </c>
      <c r="C18" s="29">
        <v>580.0</v>
      </c>
      <c r="D18" s="91">
        <v>0.59</v>
      </c>
      <c r="E18" s="29">
        <f t="shared" si="4"/>
        <v>342.2</v>
      </c>
      <c r="F18" s="29">
        <v>140.0</v>
      </c>
      <c r="G18" s="36">
        <v>0.22</v>
      </c>
      <c r="H18" s="36">
        <v>0.02</v>
      </c>
      <c r="I18" s="29">
        <v>55.0</v>
      </c>
    </row>
    <row r="20" ht="18.0" customHeight="1">
      <c r="B20" s="48" t="s">
        <v>235</v>
      </c>
      <c r="C20" s="3"/>
      <c r="D20" s="3"/>
      <c r="E20" s="3"/>
      <c r="F20" s="3"/>
      <c r="G20" s="3"/>
      <c r="H20" s="3"/>
      <c r="I20" s="6"/>
    </row>
    <row r="21" ht="27.75" customHeight="1">
      <c r="B21" s="57" t="s">
        <v>236</v>
      </c>
      <c r="C21" s="55"/>
      <c r="D21" s="55"/>
      <c r="E21" s="55"/>
      <c r="F21" s="55"/>
      <c r="G21" s="55"/>
      <c r="H21" s="55"/>
      <c r="I21" s="55"/>
      <c r="J21" s="56"/>
    </row>
    <row r="22" ht="27.75" customHeight="1">
      <c r="B22" s="54" t="s">
        <v>237</v>
      </c>
      <c r="C22" s="55"/>
      <c r="D22" s="55"/>
      <c r="E22" s="55"/>
      <c r="F22" s="55"/>
      <c r="G22" s="55"/>
      <c r="H22" s="55"/>
      <c r="I22" s="55"/>
      <c r="J22" s="56"/>
    </row>
    <row r="23" ht="27.75" customHeight="1">
      <c r="B23" s="57" t="s">
        <v>238</v>
      </c>
      <c r="C23" s="55"/>
      <c r="D23" s="55"/>
      <c r="E23" s="55"/>
      <c r="F23" s="55"/>
      <c r="G23" s="55"/>
      <c r="H23" s="55"/>
      <c r="I23" s="55"/>
      <c r="J23" s="56"/>
    </row>
    <row r="24" ht="27.75" customHeight="1">
      <c r="B24" s="54" t="s">
        <v>239</v>
      </c>
      <c r="C24" s="55"/>
      <c r="D24" s="55"/>
      <c r="E24" s="55"/>
      <c r="F24" s="55"/>
      <c r="G24" s="55"/>
      <c r="H24" s="55"/>
      <c r="I24" s="55"/>
      <c r="J24" s="5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3:J23"/>
    <mergeCell ref="B24:J24"/>
    <mergeCell ref="B1:J1"/>
    <mergeCell ref="B2:J2"/>
    <mergeCell ref="B4:I4"/>
    <mergeCell ref="B12:I12"/>
    <mergeCell ref="B20:I20"/>
    <mergeCell ref="B21:J21"/>
    <mergeCell ref="B22:J2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4.0"/>
    <col customWidth="1" min="3" max="8" width="12.0"/>
    <col customWidth="1" min="9" max="26" width="8.71"/>
  </cols>
  <sheetData>
    <row r="1" ht="21.75" customHeight="1">
      <c r="B1" s="47" t="s">
        <v>231</v>
      </c>
      <c r="C1" s="3"/>
      <c r="D1" s="3"/>
      <c r="E1" s="3"/>
      <c r="F1" s="3"/>
      <c r="G1" s="3"/>
      <c r="H1" s="6"/>
    </row>
    <row r="2" ht="21.75" customHeight="1">
      <c r="B2" s="5" t="s">
        <v>233</v>
      </c>
    </row>
    <row r="4" ht="19.5" customHeight="1">
      <c r="B4" s="12" t="s">
        <v>234</v>
      </c>
      <c r="C4" s="100">
        <v>0.01</v>
      </c>
      <c r="D4" s="100">
        <v>0.015</v>
      </c>
      <c r="E4" s="100">
        <v>0.02</v>
      </c>
      <c r="F4" s="100">
        <v>0.025</v>
      </c>
      <c r="G4" s="100">
        <v>0.03</v>
      </c>
    </row>
    <row r="5" ht="15.0" customHeight="1">
      <c r="B5" s="101">
        <v>0.0863</v>
      </c>
      <c r="C5" s="105">
        <f>(('P&amp;L to FCF'!$C$16/(1+$B5)^1+'P&amp;L to FCF'!$D$16/(1+$B5)^2+'P&amp;L to FCF'!$E$16/(1+$B5)^3+'P&amp;L to FCF'!$F$16/(1+$B5)^4+'P&amp;L to FCF'!$G$16/(1+$B5)^5+'P&amp;L to FCF'!$G$16*(1+C$4)/($B5-C$4)/(1+$B5)^5)-Assumptions!$C$37)/Assumptions!$C$40/Assumptions!$C$38</f>
        <v>4.666667993</v>
      </c>
      <c r="D5" s="105">
        <f>(('P&amp;L to FCF'!$C$16/(1+$B5)^1+'P&amp;L to FCF'!$D$16/(1+$B5)^2+'P&amp;L to FCF'!$E$16/(1+$B5)^3+'P&amp;L to FCF'!$F$16/(1+$B5)^4+'P&amp;L to FCF'!$G$16/(1+$B5)^5+'P&amp;L to FCF'!$G$16*(1+D$4)/($B5-D$4)/(1+$B5)^5)-Assumptions!$C$37)/Assumptions!$C$40/Assumptions!$C$38</f>
        <v>5.205947158</v>
      </c>
      <c r="E5" s="105">
        <f>(('P&amp;L to FCF'!$C$16/(1+$B5)^1+'P&amp;L to FCF'!$D$16/(1+$B5)^2+'P&amp;L to FCF'!$E$16/(1+$B5)^3+'P&amp;L to FCF'!$F$16/(1+$B5)^4+'P&amp;L to FCF'!$G$16/(1+$B5)^5+'P&amp;L to FCF'!$G$16*(1+E$4)/($B5-E$4)/(1+$B5)^5)-Assumptions!$C$37)/Assumptions!$C$40/Assumptions!$C$38</f>
        <v>5.826565564</v>
      </c>
      <c r="F5" s="105">
        <f>(('P&amp;L to FCF'!$C$16/(1+$B5)^1+'P&amp;L to FCF'!$D$16/(1+$B5)^2+'P&amp;L to FCF'!$E$16/(1+$B5)^3+'P&amp;L to FCF'!$F$16/(1+$B5)^4+'P&amp;L to FCF'!$G$16/(1+$B5)^5+'P&amp;L to FCF'!$G$16*(1+F$4)/($B5-F$4)/(1+$B5)^5)-Assumptions!$C$37)/Assumptions!$C$40/Assumptions!$C$38</f>
        <v>6.548426777</v>
      </c>
      <c r="G5" s="105">
        <f>(('P&amp;L to FCF'!$C$16/(1+$B5)^1+'P&amp;L to FCF'!$D$16/(1+$B5)^2+'P&amp;L to FCF'!$E$16/(1+$B5)^3+'P&amp;L to FCF'!$F$16/(1+$B5)^4+'P&amp;L to FCF'!$G$16/(1+$B5)^5+'P&amp;L to FCF'!$G$16*(1+G$4)/($B5-G$4)/(1+$B5)^5)-Assumptions!$C$37)/Assumptions!$C$40/Assumptions!$C$38</f>
        <v>7.398504901</v>
      </c>
    </row>
    <row r="6" ht="15.0" customHeight="1">
      <c r="B6" s="101">
        <v>0.0913</v>
      </c>
      <c r="C6" s="105">
        <f>(('P&amp;L to FCF'!$C$16/(1+$B6)^1+'P&amp;L to FCF'!$D$16/(1+$B6)^2+'P&amp;L to FCF'!$E$16/(1+$B6)^3+'P&amp;L to FCF'!$F$16/(1+$B6)^4+'P&amp;L to FCF'!$G$16/(1+$B6)^5+'P&amp;L to FCF'!$G$16*(1+C$4)/($B6-C$4)/(1+$B6)^5)-Assumptions!$C$37)/Assumptions!$C$40/Assumptions!$C$38</f>
        <v>4.036114609</v>
      </c>
      <c r="D6" s="105">
        <f>(('P&amp;L to FCF'!$C$16/(1+$B6)^1+'P&amp;L to FCF'!$D$16/(1+$B6)^2+'P&amp;L to FCF'!$E$16/(1+$B6)^3+'P&amp;L to FCF'!$F$16/(1+$B6)^4+'P&amp;L to FCF'!$G$16/(1+$B6)^5+'P&amp;L to FCF'!$G$16*(1+D$4)/($B6-D$4)/(1+$B6)^5)-Assumptions!$C$37)/Assumptions!$C$40/Assumptions!$C$38</f>
        <v>4.500453569</v>
      </c>
      <c r="E6" s="105">
        <f>(('P&amp;L to FCF'!$C$16/(1+$B6)^1+'P&amp;L to FCF'!$D$16/(1+$B6)^2+'P&amp;L to FCF'!$E$16/(1+$B6)^3+'P&amp;L to FCF'!$F$16/(1+$B6)^4+'P&amp;L to FCF'!$G$16/(1+$B6)^5+'P&amp;L to FCF'!$G$16*(1+E$4)/($B6-E$4)/(1+$B6)^5)-Assumptions!$C$37)/Assumptions!$C$40/Assumptions!$C$38</f>
        <v>5.029917207</v>
      </c>
      <c r="F6" s="105">
        <f>(('P&amp;L to FCF'!$C$16/(1+$B6)^1+'P&amp;L to FCF'!$D$16/(1+$B6)^2+'P&amp;L to FCF'!$E$16/(1+$B6)^3+'P&amp;L to FCF'!$F$16/(1+$B6)^4+'P&amp;L to FCF'!$G$16/(1+$B6)^5+'P&amp;L to FCF'!$G$16*(1+F$4)/($B6-F$4)/(1+$B6)^5)-Assumptions!$C$37)/Assumptions!$C$40/Assumptions!$C$38</f>
        <v>5.639239613</v>
      </c>
      <c r="G6" s="105">
        <f>(('P&amp;L to FCF'!$C$16/(1+$B6)^1+'P&amp;L to FCF'!$D$16/(1+$B6)^2+'P&amp;L to FCF'!$E$16/(1+$B6)^3+'P&amp;L to FCF'!$F$16/(1+$B6)^4+'P&amp;L to FCF'!$G$16/(1+$B6)^5+'P&amp;L to FCF'!$G$16*(1+G$4)/($B6-G$4)/(1+$B6)^5)-Assumptions!$C$37)/Assumptions!$C$40/Assumptions!$C$38</f>
        <v>6.347962086</v>
      </c>
    </row>
    <row r="7" ht="15.0" customHeight="1">
      <c r="B7" s="101">
        <v>0.0963</v>
      </c>
      <c r="C7" s="105">
        <f>(('P&amp;L to FCF'!$C$16/(1+$B7)^1+'P&amp;L to FCF'!$D$16/(1+$B7)^2+'P&amp;L to FCF'!$E$16/(1+$B7)^3+'P&amp;L to FCF'!$F$16/(1+$B7)^4+'P&amp;L to FCF'!$G$16/(1+$B7)^5+'P&amp;L to FCF'!$G$16*(1+C$4)/($B7-C$4)/(1+$B7)^5)-Assumptions!$C$37)/Assumptions!$C$40/Assumptions!$C$38</f>
        <v>3.478858057</v>
      </c>
      <c r="D7" s="105">
        <f>(('P&amp;L to FCF'!$C$16/(1+$B7)^1+'P&amp;L to FCF'!$D$16/(1+$B7)^2+'P&amp;L to FCF'!$E$16/(1+$B7)^3+'P&amp;L to FCF'!$F$16/(1+$B7)^4+'P&amp;L to FCF'!$G$16/(1+$B7)^5+'P&amp;L to FCF'!$G$16*(1+D$4)/($B7-D$4)/(1+$B7)^5)-Assumptions!$C$37)/Assumptions!$C$40/Assumptions!$C$38</f>
        <v>3.881953446</v>
      </c>
      <c r="E7" s="114">
        <f>(('P&amp;L to FCF'!$C$16/(1+$B7)^1+'P&amp;L to FCF'!$D$16/(1+$B7)^2+'P&amp;L to FCF'!$E$16/(1+$B7)^3+'P&amp;L to FCF'!$F$16/(1+$B7)^4+'P&amp;L to FCF'!$G$16/(1+$B7)^5+'P&amp;L to FCF'!$G$16*(1+E$4)/($B7-E$4)/(1+$B7)^5)-Assumptions!$C$37)/Assumptions!$C$40/Assumptions!$C$38</f>
        <v>4.337879161</v>
      </c>
      <c r="F7" s="105">
        <f>(('P&amp;L to FCF'!$C$16/(1+$B7)^1+'P&amp;L to FCF'!$D$16/(1+$B7)^2+'P&amp;L to FCF'!$E$16/(1+$B7)^3+'P&amp;L to FCF'!$F$16/(1+$B7)^4+'P&amp;L to FCF'!$G$16/(1+$B7)^5+'P&amp;L to FCF'!$G$16*(1+F$4)/($B7-F$4)/(1+$B7)^5)-Assumptions!$C$37)/Assumptions!$C$40/Assumptions!$C$38</f>
        <v>4.857749577</v>
      </c>
      <c r="G7" s="105">
        <f>(('P&amp;L to FCF'!$C$16/(1+$B7)^1+'P&amp;L to FCF'!$D$16/(1+$B7)^2+'P&amp;L to FCF'!$E$16/(1+$B7)^3+'P&amp;L to FCF'!$F$16/(1+$B7)^4+'P&amp;L to FCF'!$G$16/(1+$B7)^5+'P&amp;L to FCF'!$G$16*(1+G$4)/($B7-G$4)/(1+$B7)^5)-Assumptions!$C$37)/Assumptions!$C$40/Assumptions!$C$38</f>
        <v>5.45603182</v>
      </c>
    </row>
    <row r="8" ht="15.0" customHeight="1">
      <c r="B8" s="101">
        <v>0.1013</v>
      </c>
      <c r="C8" s="105">
        <f>(('P&amp;L to FCF'!$C$16/(1+$B8)^1+'P&amp;L to FCF'!$D$16/(1+$B8)^2+'P&amp;L to FCF'!$E$16/(1+$B8)^3+'P&amp;L to FCF'!$F$16/(1+$B8)^4+'P&amp;L to FCF'!$G$16/(1+$B8)^5+'P&amp;L to FCF'!$G$16*(1+C$4)/($B8-C$4)/(1+$B8)^5)-Assumptions!$C$37)/Assumptions!$C$40/Assumptions!$C$38</f>
        <v>2.982850614</v>
      </c>
      <c r="D8" s="105">
        <f>(('P&amp;L to FCF'!$C$16/(1+$B8)^1+'P&amp;L to FCF'!$D$16/(1+$B8)^2+'P&amp;L to FCF'!$E$16/(1+$B8)^3+'P&amp;L to FCF'!$F$16/(1+$B8)^4+'P&amp;L to FCF'!$G$16/(1+$B8)^5+'P&amp;L to FCF'!$G$16*(1+D$4)/($B8-D$4)/(1+$B8)^5)-Assumptions!$C$37)/Assumptions!$C$40/Assumptions!$C$38</f>
        <v>3.335321052</v>
      </c>
      <c r="E8" s="105">
        <f>(('P&amp;L to FCF'!$C$16/(1+$B8)^1+'P&amp;L to FCF'!$D$16/(1+$B8)^2+'P&amp;L to FCF'!$E$16/(1+$B8)^3+'P&amp;L to FCF'!$F$16/(1+$B8)^4+'P&amp;L to FCF'!$G$16/(1+$B8)^5+'P&amp;L to FCF'!$G$16*(1+E$4)/($B8-E$4)/(1+$B8)^5)-Assumptions!$C$37)/Assumptions!$C$40/Assumptions!$C$38</f>
        <v>3.731145787</v>
      </c>
      <c r="F8" s="105">
        <f>(('P&amp;L to FCF'!$C$16/(1+$B8)^1+'P&amp;L to FCF'!$D$16/(1+$B8)^2+'P&amp;L to FCF'!$E$16/(1+$B8)^3+'P&amp;L to FCF'!$F$16/(1+$B8)^4+'P&amp;L to FCF'!$G$16/(1+$B8)^5+'P&amp;L to FCF'!$G$16*(1+F$4)/($B8-F$4)/(1+$B8)^5)-Assumptions!$C$37)/Assumptions!$C$40/Assumptions!$C$38</f>
        <v>4.178847945</v>
      </c>
      <c r="G8" s="105">
        <f>(('P&amp;L to FCF'!$C$16/(1+$B8)^1+'P&amp;L to FCF'!$D$16/(1+$B8)^2+'P&amp;L to FCF'!$E$16/(1+$B8)^3+'P&amp;L to FCF'!$F$16/(1+$B8)^4+'P&amp;L to FCF'!$G$16/(1+$B8)^5+'P&amp;L to FCF'!$G$16*(1+G$4)/($B8-G$4)/(1+$B8)^5)-Assumptions!$C$37)/Assumptions!$C$40/Assumptions!$C$38</f>
        <v>4.689341429</v>
      </c>
    </row>
    <row r="9" ht="15.0" customHeight="1">
      <c r="B9" s="101">
        <v>0.1063</v>
      </c>
      <c r="C9" s="105">
        <f>(('P&amp;L to FCF'!$C$16/(1+$B9)^1+'P&amp;L to FCF'!$D$16/(1+$B9)^2+'P&amp;L to FCF'!$E$16/(1+$B9)^3+'P&amp;L to FCF'!$F$16/(1+$B9)^4+'P&amp;L to FCF'!$G$16/(1+$B9)^5+'P&amp;L to FCF'!$G$16*(1+C$4)/($B9-C$4)/(1+$B9)^5)-Assumptions!$C$37)/Assumptions!$C$40/Assumptions!$C$38</f>
        <v>2.53854684</v>
      </c>
      <c r="D9" s="105">
        <f>(('P&amp;L to FCF'!$C$16/(1+$B9)^1+'P&amp;L to FCF'!$D$16/(1+$B9)^2+'P&amp;L to FCF'!$E$16/(1+$B9)^3+'P&amp;L to FCF'!$F$16/(1+$B9)^4+'P&amp;L to FCF'!$G$16/(1+$B9)^5+'P&amp;L to FCF'!$G$16*(1+D$4)/($B9-D$4)/(1+$B9)^5)-Assumptions!$C$37)/Assumptions!$C$40/Assumptions!$C$38</f>
        <v>2.848744211</v>
      </c>
      <c r="E9" s="105">
        <f>(('P&amp;L to FCF'!$C$16/(1+$B9)^1+'P&amp;L to FCF'!$D$16/(1+$B9)^2+'P&amp;L to FCF'!$E$16/(1+$B9)^3+'P&amp;L to FCF'!$F$16/(1+$B9)^4+'P&amp;L to FCF'!$G$16/(1+$B9)^5+'P&amp;L to FCF'!$G$16*(1+E$4)/($B9-E$4)/(1+$B9)^5)-Assumptions!$C$37)/Assumptions!$C$40/Assumptions!$C$38</f>
        <v>3.194885659</v>
      </c>
      <c r="F9" s="105">
        <f>(('P&amp;L to FCF'!$C$16/(1+$B9)^1+'P&amp;L to FCF'!$D$16/(1+$B9)^2+'P&amp;L to FCF'!$E$16/(1+$B9)^3+'P&amp;L to FCF'!$F$16/(1+$B9)^4+'P&amp;L to FCF'!$G$16/(1+$B9)^5+'P&amp;L to FCF'!$G$16*(1+F$4)/($B9-F$4)/(1+$B9)^5)-Assumptions!$C$37)/Assumptions!$C$40/Assumptions!$C$38</f>
        <v>3.58360293</v>
      </c>
      <c r="G9" s="105">
        <f>(('P&amp;L to FCF'!$C$16/(1+$B9)^1+'P&amp;L to FCF'!$D$16/(1+$B9)^2+'P&amp;L to FCF'!$E$16/(1+$B9)^3+'P&amp;L to FCF'!$F$16/(1+$B9)^4+'P&amp;L to FCF'!$G$16/(1+$B9)^5+'P&amp;L to FCF'!$G$16*(1+G$4)/($B9-G$4)/(1+$B9)^5)-Assumptions!$C$37)/Assumptions!$C$40/Assumptions!$C$38</f>
        <v>4.023266108</v>
      </c>
    </row>
    <row r="10" ht="15.0" customHeight="1">
      <c r="B10" s="101">
        <v>0.1113</v>
      </c>
      <c r="C10" s="105">
        <f>(('P&amp;L to FCF'!$C$16/(1+$B10)^1+'P&amp;L to FCF'!$D$16/(1+$B10)^2+'P&amp;L to FCF'!$E$16/(1+$B10)^3+'P&amp;L to FCF'!$F$16/(1+$B10)^4+'P&amp;L to FCF'!$G$16/(1+$B10)^5+'P&amp;L to FCF'!$G$16*(1+C$4)/($B10-C$4)/(1+$B10)^5)-Assumptions!$C$37)/Assumptions!$C$40/Assumptions!$C$38</f>
        <v>2.138286022</v>
      </c>
      <c r="D10" s="105">
        <f>(('P&amp;L to FCF'!$C$16/(1+$B10)^1+'P&amp;L to FCF'!$D$16/(1+$B10)^2+'P&amp;L to FCF'!$E$16/(1+$B10)^3+'P&amp;L to FCF'!$F$16/(1+$B10)^4+'P&amp;L to FCF'!$G$16/(1+$B10)^5+'P&amp;L to FCF'!$G$16*(1+D$4)/($B10-D$4)/(1+$B10)^5)-Assumptions!$C$37)/Assumptions!$C$40/Assumptions!$C$38</f>
        <v>2.412864085</v>
      </c>
      <c r="E10" s="105">
        <f>(('P&amp;L to FCF'!$C$16/(1+$B10)^1+'P&amp;L to FCF'!$D$16/(1+$B10)^2+'P&amp;L to FCF'!$E$16/(1+$B10)^3+'P&amp;L to FCF'!$F$16/(1+$B10)^4+'P&amp;L to FCF'!$G$16/(1+$B10)^5+'P&amp;L to FCF'!$G$16*(1+E$4)/($B10-E$4)/(1+$B10)^5)-Assumptions!$C$37)/Assumptions!$C$40/Assumptions!$C$38</f>
        <v>2.717516417</v>
      </c>
      <c r="F10" s="105">
        <f>(('P&amp;L to FCF'!$C$16/(1+$B10)^1+'P&amp;L to FCF'!$D$16/(1+$B10)^2+'P&amp;L to FCF'!$E$16/(1+$B10)^3+'P&amp;L to FCF'!$F$16/(1+$B10)^4+'P&amp;L to FCF'!$G$16/(1+$B10)^5+'P&amp;L to FCF'!$G$16*(1+F$4)/($B10-F$4)/(1+$B10)^5)-Assumptions!$C$37)/Assumptions!$C$40/Assumptions!$C$38</f>
        <v>3.057470293</v>
      </c>
      <c r="G10" s="105">
        <f>(('P&amp;L to FCF'!$C$16/(1+$B10)^1+'P&amp;L to FCF'!$D$16/(1+$B10)^2+'P&amp;L to FCF'!$E$16/(1+$B10)^3+'P&amp;L to FCF'!$F$16/(1+$B10)^4+'P&amp;L to FCF'!$G$16/(1+$B10)^5+'P&amp;L to FCF'!$G$16*(1+G$4)/($B10-G$4)/(1+$B10)^5)-Assumptions!$C$37)/Assumptions!$C$40/Assumptions!$C$38</f>
        <v>3.439238914</v>
      </c>
    </row>
    <row r="11" ht="15.0" customHeight="1">
      <c r="B11" s="101">
        <v>0.1163</v>
      </c>
      <c r="C11" s="105">
        <f>(('P&amp;L to FCF'!$C$16/(1+$B11)^1+'P&amp;L to FCF'!$D$16/(1+$B11)^2+'P&amp;L to FCF'!$E$16/(1+$B11)^3+'P&amp;L to FCF'!$F$16/(1+$B11)^4+'P&amp;L to FCF'!$G$16/(1+$B11)^5+'P&amp;L to FCF'!$G$16*(1+C$4)/($B11-C$4)/(1+$B11)^5)-Assumptions!$C$37)/Assumptions!$C$40/Assumptions!$C$38</f>
        <v>1.775848919</v>
      </c>
      <c r="D11" s="105">
        <f>(('P&amp;L to FCF'!$C$16/(1+$B11)^1+'P&amp;L to FCF'!$D$16/(1+$B11)^2+'P&amp;L to FCF'!$E$16/(1+$B11)^3+'P&amp;L to FCF'!$F$16/(1+$B11)^4+'P&amp;L to FCF'!$G$16/(1+$B11)^5+'P&amp;L to FCF'!$G$16*(1+D$4)/($B11-D$4)/(1+$B11)^5)-Assumptions!$C$37)/Assumptions!$C$40/Assumptions!$C$38</f>
        <v>2.020169706</v>
      </c>
      <c r="E11" s="105">
        <f>(('P&amp;L to FCF'!$C$16/(1+$B11)^1+'P&amp;L to FCF'!$D$16/(1+$B11)^2+'P&amp;L to FCF'!$E$16/(1+$B11)^3+'P&amp;L to FCF'!$F$16/(1+$B11)^4+'P&amp;L to FCF'!$G$16/(1+$B11)^5+'P&amp;L to FCF'!$G$16*(1+E$4)/($B11-E$4)/(1+$B11)^5)-Assumptions!$C$37)/Assumptions!$C$40/Assumptions!$C$38</f>
        <v>2.289861292</v>
      </c>
      <c r="F11" s="105">
        <f>(('P&amp;L to FCF'!$C$16/(1+$B11)^1+'P&amp;L to FCF'!$D$16/(1+$B11)^2+'P&amp;L to FCF'!$E$16/(1+$B11)^3+'P&amp;L to FCF'!$F$16/(1+$B11)^4+'P&amp;L to FCF'!$G$16/(1+$B11)^5+'P&amp;L to FCF'!$G$16*(1+F$4)/($B11-F$4)/(1+$B11)^5)-Assumptions!$C$37)/Assumptions!$C$40/Assumptions!$C$38</f>
        <v>2.589091934</v>
      </c>
      <c r="G11" s="105">
        <f>(('P&amp;L to FCF'!$C$16/(1+$B11)^1+'P&amp;L to FCF'!$D$16/(1+$B11)^2+'P&amp;L to FCF'!$E$16/(1+$B11)^3+'P&amp;L to FCF'!$F$16/(1+$B11)^4+'P&amp;L to FCF'!$G$16/(1+$B11)^5+'P&amp;L to FCF'!$G$16*(1+G$4)/($B11-G$4)/(1+$B11)^5)-Assumptions!$C$37)/Assumptions!$C$40/Assumptions!$C$38</f>
        <v>2.922995883</v>
      </c>
    </row>
    <row r="13" ht="30.0" customHeight="1">
      <c r="B13" s="5"/>
    </row>
    <row r="14" ht="1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H1"/>
    <mergeCell ref="B2:H2"/>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24.0"/>
    <col customWidth="1" min="3" max="6" width="11.0"/>
    <col customWidth="1" min="7" max="9" width="10.0"/>
    <col customWidth="1" min="10" max="11" width="7.0"/>
    <col customWidth="1" min="12" max="21" width="9.0"/>
    <col customWidth="1" min="22" max="22" width="11.0"/>
    <col customWidth="1" min="23" max="26" width="8.71"/>
  </cols>
  <sheetData>
    <row r="1" ht="24.0" customHeight="1">
      <c r="B1" s="115" t="s">
        <v>243</v>
      </c>
      <c r="C1" s="3"/>
      <c r="D1" s="3"/>
      <c r="E1" s="3"/>
      <c r="F1" s="3"/>
      <c r="G1" s="3"/>
      <c r="H1" s="3"/>
      <c r="I1" s="3"/>
      <c r="J1" s="3"/>
      <c r="K1" s="3"/>
      <c r="L1" s="6"/>
    </row>
    <row r="2" ht="25.5" customHeight="1">
      <c r="B2" s="5" t="s">
        <v>244</v>
      </c>
    </row>
    <row r="4" ht="18.0" customHeight="1">
      <c r="B4" s="48" t="s">
        <v>245</v>
      </c>
      <c r="C4" s="3"/>
      <c r="D4" s="3"/>
      <c r="E4" s="3"/>
      <c r="F4" s="6"/>
    </row>
    <row r="5" ht="15.0" customHeight="1">
      <c r="B5" s="9" t="s">
        <v>246</v>
      </c>
      <c r="C5" s="9" t="s">
        <v>247</v>
      </c>
      <c r="D5" s="9" t="s">
        <v>248</v>
      </c>
      <c r="E5" s="9" t="s">
        <v>249</v>
      </c>
      <c r="F5" s="9" t="s">
        <v>250</v>
      </c>
    </row>
    <row r="6" ht="15.0" customHeight="1">
      <c r="B6" s="15" t="s">
        <v>41</v>
      </c>
      <c r="C6" s="116" t="s">
        <v>251</v>
      </c>
      <c r="D6" s="117">
        <v>0.085</v>
      </c>
      <c r="E6" s="117">
        <v>0.0963</v>
      </c>
      <c r="F6" s="117">
        <v>0.115</v>
      </c>
    </row>
    <row r="7" ht="15.0" customHeight="1">
      <c r="B7" s="15" t="s">
        <v>252</v>
      </c>
      <c r="C7" s="116" t="s">
        <v>253</v>
      </c>
      <c r="D7" s="117">
        <v>0.01</v>
      </c>
      <c r="E7" s="118" t="s">
        <v>254</v>
      </c>
      <c r="F7" s="117">
        <v>0.03</v>
      </c>
    </row>
    <row r="8" ht="15.0" customHeight="1">
      <c r="B8" s="15" t="s">
        <v>38</v>
      </c>
      <c r="C8" s="116" t="s">
        <v>251</v>
      </c>
      <c r="D8" s="117">
        <v>0.03</v>
      </c>
      <c r="E8" s="117">
        <v>0.06</v>
      </c>
      <c r="F8" s="117">
        <v>0.09</v>
      </c>
    </row>
    <row r="9" ht="15.0" customHeight="1"/>
    <row r="10" ht="27.75" customHeight="1">
      <c r="B10" s="119" t="s">
        <v>255</v>
      </c>
    </row>
    <row r="11" ht="15.0" customHeight="1">
      <c r="B11" s="9" t="s">
        <v>256</v>
      </c>
      <c r="C11" s="9" t="s">
        <v>257</v>
      </c>
      <c r="D11" s="9" t="s">
        <v>258</v>
      </c>
      <c r="E11" s="9" t="s">
        <v>259</v>
      </c>
      <c r="F11" s="9" t="s">
        <v>260</v>
      </c>
    </row>
    <row r="12" ht="18.0" customHeight="1">
      <c r="B12" s="120">
        <v>1.0</v>
      </c>
      <c r="C12" s="62">
        <f>Assumptions!$C$18</f>
        <v>0.65</v>
      </c>
      <c r="D12" s="62">
        <f>Assumptions!$C$19</f>
        <v>0.6</v>
      </c>
      <c r="E12" s="62">
        <f>Assumptions!$C$20</f>
        <v>0.57</v>
      </c>
      <c r="F12" s="62">
        <f>Assumptions!$C$21</f>
        <v>0.55</v>
      </c>
    </row>
    <row r="13" ht="15.0" customHeight="1">
      <c r="B13" s="119" t="s">
        <v>261</v>
      </c>
    </row>
    <row r="14" ht="15.0" customHeight="1"/>
    <row r="15" ht="15.0" customHeight="1"/>
    <row r="16" ht="15.0" customHeight="1"/>
    <row r="17" ht="15.0" customHeight="1"/>
    <row r="18" ht="15.0" customHeight="1"/>
    <row r="19" ht="15.0" customHeight="1"/>
    <row r="20" ht="15.0" customHeight="1">
      <c r="B20" s="48" t="s">
        <v>262</v>
      </c>
      <c r="C20" s="3"/>
      <c r="D20" s="3"/>
      <c r="E20" s="6"/>
    </row>
    <row r="21" ht="15.0" customHeight="1">
      <c r="B21" s="9" t="s">
        <v>263</v>
      </c>
      <c r="C21" s="9" t="s">
        <v>13</v>
      </c>
    </row>
    <row r="22" ht="15.0" customHeight="1">
      <c r="B22" s="81" t="s">
        <v>264</v>
      </c>
      <c r="C22" s="83">
        <f>COUNT($V$53:$V$1052)</f>
        <v>1000</v>
      </c>
    </row>
    <row r="23" ht="18.0" customHeight="1">
      <c r="B23" s="92" t="s">
        <v>265</v>
      </c>
      <c r="C23" s="121">
        <f>AVERAGE($V$53:$V$1052)</f>
        <v>2.628611481</v>
      </c>
    </row>
    <row r="24" ht="15.0" customHeight="1">
      <c r="B24" s="81" t="s">
        <v>266</v>
      </c>
      <c r="C24" s="122">
        <f>MEDIAN($V$53:$V$1052)</f>
        <v>3.506924888</v>
      </c>
    </row>
    <row r="25" ht="15.0" customHeight="1">
      <c r="B25" s="15" t="s">
        <v>267</v>
      </c>
      <c r="C25" s="123">
        <f>PERCENTILE($V$53:$V$1052,0.1)</f>
        <v>-0.8204271035</v>
      </c>
    </row>
    <row r="26" ht="15.0" customHeight="1">
      <c r="B26" s="81" t="s">
        <v>268</v>
      </c>
      <c r="C26" s="122">
        <f>PERCENTILE($V$53:$V$1052,0.25)</f>
        <v>-0.225416807</v>
      </c>
    </row>
    <row r="27" ht="15.0" customHeight="1">
      <c r="B27" s="15" t="s">
        <v>269</v>
      </c>
      <c r="C27" s="123">
        <f>PERCENTILE($V$53:$V$1052,0.75)</f>
        <v>5.024626068</v>
      </c>
    </row>
    <row r="28" ht="15.0" customHeight="1">
      <c r="B28" s="81" t="s">
        <v>270</v>
      </c>
      <c r="C28" s="122">
        <f>PERCENTILE($V$53:$V$1052,0.9)</f>
        <v>6.067166416</v>
      </c>
    </row>
    <row r="29" ht="15.0" customHeight="1">
      <c r="B29" s="15" t="s">
        <v>271</v>
      </c>
      <c r="C29" s="123">
        <f>STDEV($V$53:$V$1052)</f>
        <v>2.794772156</v>
      </c>
    </row>
    <row r="30" ht="15.0" customHeight="1">
      <c r="B30" s="81" t="s">
        <v>39</v>
      </c>
      <c r="C30" s="122">
        <f>Assumptions!$C$39</f>
        <v>22.23</v>
      </c>
    </row>
    <row r="31" ht="15.0" customHeight="1">
      <c r="B31" s="92" t="s">
        <v>272</v>
      </c>
      <c r="C31" s="124">
        <f>COUNTIF($V$53:$V$1052,"&gt;"&amp;Assumptions!$C$39)/COUNT($V$53:$V$1052)</f>
        <v>0</v>
      </c>
    </row>
    <row r="32" ht="15.0" customHeight="1">
      <c r="B32" s="92" t="s">
        <v>273</v>
      </c>
      <c r="C32" s="125">
        <f>COUNTIF($V$53:$V$1052,"&lt;0")/COUNT($V$53:$V$1052)</f>
        <v>0.311</v>
      </c>
    </row>
    <row r="33" ht="18.0" customHeight="1"/>
    <row r="34" ht="30.0" customHeight="1">
      <c r="B34" s="48" t="s">
        <v>274</v>
      </c>
      <c r="C34" s="3"/>
      <c r="D34" s="6"/>
    </row>
    <row r="35" ht="30.0" customHeight="1">
      <c r="B35" s="9" t="s">
        <v>275</v>
      </c>
      <c r="C35" s="9" t="s">
        <v>276</v>
      </c>
      <c r="D35" s="9" t="s">
        <v>277</v>
      </c>
      <c r="E35" s="9" t="s">
        <v>278</v>
      </c>
      <c r="G35" s="126" t="s">
        <v>279</v>
      </c>
      <c r="H35" s="126" t="s">
        <v>280</v>
      </c>
    </row>
    <row r="36" ht="15.75" customHeight="1">
      <c r="B36" s="127" t="s">
        <v>281</v>
      </c>
      <c r="C36" s="128">
        <f>COUNTIFS($V$53:$V$1052,"&gt;=-3",$V$53:$V$1052,"&lt;-2")</f>
        <v>0</v>
      </c>
      <c r="D36" s="129">
        <f t="shared" ref="D36:D48" si="1">C36/COUNT($V$53:$V$1052)</f>
        <v>0</v>
      </c>
      <c r="E36" s="130" t="str">
        <f t="shared" ref="E36:E48" si="2">REPT("█",ROUND(C36/MAX($C$36:$C$48)*26,0))</f>
        <v/>
      </c>
      <c r="G36" s="131">
        <f t="shared" ref="G36:G38" si="3">C36</f>
        <v>0</v>
      </c>
      <c r="H36" s="131">
        <v>0.0</v>
      </c>
    </row>
    <row r="37" ht="15.75" customHeight="1">
      <c r="B37" s="127" t="s">
        <v>282</v>
      </c>
      <c r="C37" s="128">
        <f>COUNTIFS($V$53:$V$1052,"&gt;=-2",$V$53:$V$1052,"&lt;-1")</f>
        <v>71</v>
      </c>
      <c r="D37" s="129">
        <f t="shared" si="1"/>
        <v>0.071</v>
      </c>
      <c r="E37" s="130" t="str">
        <f t="shared" si="2"/>
        <v>████████</v>
      </c>
      <c r="G37" s="131">
        <f t="shared" si="3"/>
        <v>71</v>
      </c>
      <c r="H37" s="131">
        <v>0.0</v>
      </c>
    </row>
    <row r="38" ht="15.75" customHeight="1">
      <c r="B38" s="127" t="s">
        <v>283</v>
      </c>
      <c r="C38" s="128">
        <f>COUNTIFS($V$53:$V$1052,"&gt;=-1",$V$53:$V$1052,"&lt;0")</f>
        <v>240</v>
      </c>
      <c r="D38" s="129">
        <f t="shared" si="1"/>
        <v>0.24</v>
      </c>
      <c r="E38" s="130" t="str">
        <f t="shared" si="2"/>
        <v>██████████████████████████</v>
      </c>
      <c r="G38" s="131">
        <f t="shared" si="3"/>
        <v>240</v>
      </c>
      <c r="H38" s="131">
        <v>0.0</v>
      </c>
    </row>
    <row r="39" ht="15.75" customHeight="1">
      <c r="B39" s="116" t="s">
        <v>284</v>
      </c>
      <c r="C39" s="132">
        <f>COUNTIFS($V$53:$V$1052,"&gt;=0",$V$53:$V$1052,"&lt;1")</f>
        <v>113</v>
      </c>
      <c r="D39" s="36">
        <f t="shared" si="1"/>
        <v>0.113</v>
      </c>
      <c r="E39" s="133" t="str">
        <f t="shared" si="2"/>
        <v>████████████</v>
      </c>
      <c r="G39" s="131">
        <v>0.0</v>
      </c>
      <c r="H39" s="131">
        <f t="shared" ref="H39:H48" si="4">C39</f>
        <v>113</v>
      </c>
    </row>
    <row r="40" ht="15.75" customHeight="1">
      <c r="B40" s="134" t="s">
        <v>285</v>
      </c>
      <c r="C40" s="135">
        <f>COUNTIFS($V$53:$V$1052,"&gt;=1",$V$53:$V$1052,"&lt;2")</f>
        <v>14</v>
      </c>
      <c r="D40" s="42">
        <f t="shared" si="1"/>
        <v>0.014</v>
      </c>
      <c r="E40" s="133" t="str">
        <f t="shared" si="2"/>
        <v>██</v>
      </c>
      <c r="G40" s="131">
        <v>0.0</v>
      </c>
      <c r="H40" s="131">
        <f t="shared" si="4"/>
        <v>14</v>
      </c>
    </row>
    <row r="41" ht="15.75" customHeight="1">
      <c r="B41" s="116" t="s">
        <v>286</v>
      </c>
      <c r="C41" s="132">
        <f>COUNTIFS($V$53:$V$1052,"&gt;=2",$V$53:$V$1052,"&lt;3")</f>
        <v>17</v>
      </c>
      <c r="D41" s="36">
        <f t="shared" si="1"/>
        <v>0.017</v>
      </c>
      <c r="E41" s="133" t="str">
        <f t="shared" si="2"/>
        <v>██</v>
      </c>
      <c r="G41" s="131">
        <v>0.0</v>
      </c>
      <c r="H41" s="131">
        <f t="shared" si="4"/>
        <v>17</v>
      </c>
    </row>
    <row r="42" ht="15.75" customHeight="1">
      <c r="B42" s="134" t="s">
        <v>287</v>
      </c>
      <c r="C42" s="135">
        <f>COUNTIFS($V$53:$V$1052,"&gt;=3",$V$53:$V$1052,"&lt;4")</f>
        <v>116</v>
      </c>
      <c r="D42" s="42">
        <f t="shared" si="1"/>
        <v>0.116</v>
      </c>
      <c r="E42" s="133" t="str">
        <f t="shared" si="2"/>
        <v>█████████████</v>
      </c>
      <c r="G42" s="131">
        <v>0.0</v>
      </c>
      <c r="H42" s="131">
        <f t="shared" si="4"/>
        <v>116</v>
      </c>
    </row>
    <row r="43" ht="15.75" customHeight="1">
      <c r="B43" s="116" t="s">
        <v>288</v>
      </c>
      <c r="C43" s="132">
        <f>COUNTIFS($V$53:$V$1052,"&gt;=4",$V$53:$V$1052,"&lt;5")</f>
        <v>175</v>
      </c>
      <c r="D43" s="36">
        <f t="shared" si="1"/>
        <v>0.175</v>
      </c>
      <c r="E43" s="133" t="str">
        <f t="shared" si="2"/>
        <v>███████████████████</v>
      </c>
      <c r="G43" s="131">
        <v>0.0</v>
      </c>
      <c r="H43" s="131">
        <f t="shared" si="4"/>
        <v>175</v>
      </c>
    </row>
    <row r="44" ht="15.75" customHeight="1">
      <c r="B44" s="134" t="s">
        <v>289</v>
      </c>
      <c r="C44" s="135">
        <f>COUNTIFS($V$53:$V$1052,"&gt;=5",$V$53:$V$1052,"&lt;6")</f>
        <v>142</v>
      </c>
      <c r="D44" s="42">
        <f t="shared" si="1"/>
        <v>0.142</v>
      </c>
      <c r="E44" s="133" t="str">
        <f t="shared" si="2"/>
        <v>███████████████</v>
      </c>
      <c r="G44" s="131">
        <v>0.0</v>
      </c>
      <c r="H44" s="131">
        <f t="shared" si="4"/>
        <v>142</v>
      </c>
    </row>
    <row r="45" ht="15.75" customHeight="1">
      <c r="B45" s="116" t="s">
        <v>290</v>
      </c>
      <c r="C45" s="132">
        <f>COUNTIFS($V$53:$V$1052,"&gt;=6",$V$53:$V$1052,"&lt;7")</f>
        <v>84</v>
      </c>
      <c r="D45" s="36">
        <f t="shared" si="1"/>
        <v>0.084</v>
      </c>
      <c r="E45" s="133" t="str">
        <f t="shared" si="2"/>
        <v>█████████</v>
      </c>
      <c r="G45" s="131">
        <v>0.0</v>
      </c>
      <c r="H45" s="131">
        <f t="shared" si="4"/>
        <v>84</v>
      </c>
    </row>
    <row r="46" ht="15.75" customHeight="1">
      <c r="B46" s="134" t="s">
        <v>291</v>
      </c>
      <c r="C46" s="135">
        <f>COUNTIFS($V$53:$V$1052,"&gt;=7",$V$53:$V$1052,"&lt;8")</f>
        <v>23</v>
      </c>
      <c r="D46" s="42">
        <f t="shared" si="1"/>
        <v>0.023</v>
      </c>
      <c r="E46" s="133" t="str">
        <f t="shared" si="2"/>
        <v>██</v>
      </c>
      <c r="G46" s="131">
        <v>0.0</v>
      </c>
      <c r="H46" s="131">
        <f t="shared" si="4"/>
        <v>23</v>
      </c>
    </row>
    <row r="47" ht="15.75" customHeight="1">
      <c r="B47" s="116" t="s">
        <v>292</v>
      </c>
      <c r="C47" s="132">
        <f>COUNTIFS($V$53:$V$1052,"&gt;=8",$V$53:$V$1052,"&lt;9")</f>
        <v>5</v>
      </c>
      <c r="D47" s="36">
        <f t="shared" si="1"/>
        <v>0.005</v>
      </c>
      <c r="E47" s="133" t="str">
        <f t="shared" si="2"/>
        <v>█</v>
      </c>
      <c r="G47" s="131">
        <v>0.0</v>
      </c>
      <c r="H47" s="131">
        <f t="shared" si="4"/>
        <v>5</v>
      </c>
    </row>
    <row r="48" ht="15.75" customHeight="1">
      <c r="B48" s="134" t="s">
        <v>293</v>
      </c>
      <c r="C48" s="135">
        <f>COUNTIFS($V$53:$V$1052,"&gt;=9",$V$53:$V$1052,"&lt;10")</f>
        <v>0</v>
      </c>
      <c r="D48" s="42">
        <f t="shared" si="1"/>
        <v>0</v>
      </c>
      <c r="E48" s="133" t="str">
        <f t="shared" si="2"/>
        <v/>
      </c>
      <c r="G48" s="131">
        <v>0.0</v>
      </c>
      <c r="H48" s="131">
        <f t="shared" si="4"/>
        <v>0</v>
      </c>
    </row>
    <row r="49" ht="12.0" customHeight="1">
      <c r="B49" s="136" t="s">
        <v>294</v>
      </c>
      <c r="C49" s="132">
        <f t="shared" ref="C49:D49" si="5">SUM(C36:C48)</f>
        <v>1000</v>
      </c>
      <c r="D49" s="60">
        <f t="shared" si="5"/>
        <v>1</v>
      </c>
    </row>
    <row r="50" ht="12.0" customHeight="1">
      <c r="B50" s="137" t="s">
        <v>295</v>
      </c>
      <c r="C50" s="3"/>
      <c r="D50" s="3"/>
      <c r="E50" s="3"/>
      <c r="F50" s="3"/>
      <c r="G50" s="3"/>
      <c r="H50" s="3"/>
      <c r="I50" s="3"/>
      <c r="J50" s="3"/>
      <c r="K50" s="3"/>
      <c r="L50" s="3"/>
      <c r="M50" s="3"/>
      <c r="N50" s="3"/>
      <c r="O50" s="3"/>
      <c r="P50" s="3"/>
      <c r="Q50" s="3"/>
      <c r="R50" s="3"/>
      <c r="S50" s="3"/>
      <c r="T50" s="3"/>
      <c r="U50" s="3"/>
      <c r="V50" s="6"/>
    </row>
    <row r="51" ht="12.0" customHeight="1">
      <c r="B51" s="119" t="s">
        <v>296</v>
      </c>
    </row>
    <row r="52" ht="18.0" customHeight="1">
      <c r="B52" s="138" t="s">
        <v>297</v>
      </c>
      <c r="C52" s="138" t="s">
        <v>298</v>
      </c>
      <c r="D52" s="138" t="s">
        <v>41</v>
      </c>
      <c r="E52" s="138" t="s">
        <v>299</v>
      </c>
      <c r="F52" s="138" t="s">
        <v>298</v>
      </c>
      <c r="G52" s="138" t="s">
        <v>300</v>
      </c>
      <c r="H52" s="138" t="s">
        <v>301</v>
      </c>
      <c r="I52" s="138" t="s">
        <v>302</v>
      </c>
      <c r="J52" s="138" t="s">
        <v>303</v>
      </c>
      <c r="K52" s="138" t="s">
        <v>304</v>
      </c>
      <c r="L52" s="138" t="s">
        <v>305</v>
      </c>
      <c r="M52" s="138" t="s">
        <v>306</v>
      </c>
      <c r="N52" s="138" t="s">
        <v>307</v>
      </c>
      <c r="O52" s="138" t="s">
        <v>308</v>
      </c>
      <c r="P52" s="138" t="s">
        <v>309</v>
      </c>
      <c r="Q52" s="138" t="s">
        <v>310</v>
      </c>
      <c r="R52" s="138" t="s">
        <v>311</v>
      </c>
      <c r="S52" s="138" t="s">
        <v>312</v>
      </c>
      <c r="T52" s="138" t="s">
        <v>313</v>
      </c>
      <c r="U52" s="138" t="s">
        <v>314</v>
      </c>
      <c r="V52" s="138" t="s">
        <v>315</v>
      </c>
    </row>
    <row r="53" ht="12.0" customHeight="1">
      <c r="B53" s="139">
        <v>1.0</v>
      </c>
      <c r="C53" s="140">
        <f t="shared" ref="C53:C1052" si="6">RAND()</f>
        <v>0.4578137312</v>
      </c>
      <c r="D53" s="141">
        <f t="shared" ref="D53:D1052" si="7">IF($C53&lt;($E$6-$D$6)/($F$6-$D$6),$D$6+SQRT($C53*($F$6-$D$6)*($E$6-$D$6)),$F$6-SQRT((1-$C53)*($F$6-$D$6)*($F$6-$E$6)))</f>
        <v>0.09755963026</v>
      </c>
      <c r="E53" s="141">
        <f t="shared" ref="E53:E1052" si="8">$D$7+RAND()*($F$7-$D$7)</f>
        <v>0.02623730868</v>
      </c>
      <c r="F53" s="140">
        <f t="shared" ref="F53:F1052" si="9">RAND()</f>
        <v>0.2066733845</v>
      </c>
      <c r="G53" s="141">
        <f t="shared" ref="G53:G1052" si="10">IF($F53&lt;($E$8-$D$8)/($F$8-$D$8),$D$8+SQRT($F53*($F$8-$D$8)*($E$8-$D$8)),$F$8-SQRT((1-$F53)*($F$8-$D$8)*($F$8-$E$8)))</f>
        <v>0.04928761499</v>
      </c>
      <c r="H53" s="142">
        <f t="shared" ref="H53:H1052" si="11">IF(RAND()&lt;$C$12,1,0)</f>
        <v>1</v>
      </c>
      <c r="I53" s="142">
        <f t="shared" ref="I53:I1052" si="12">IF(RAND()&lt;$D$12,1,0)</f>
        <v>1</v>
      </c>
      <c r="J53" s="142">
        <f t="shared" ref="J53:J1052" si="13">IF(RAND()&lt;$E$12,1,0)</f>
        <v>1</v>
      </c>
      <c r="K53" s="142">
        <f t="shared" ref="K53:K1052" si="14">IF(RAND()&lt;$F$12,1,0)</f>
        <v>1</v>
      </c>
      <c r="L53" s="139">
        <f>Assumptions!$C$6*Assumptions!$C$7*(1+$G53-0.05*(1-1))^1+Assumptions!$C$6*Assumptions!$C$8*(1+Assumptions!$C$11)^1+Assumptions!$C$16*1+Assumptions!$C$6*Assumptions!$C$9*(1+Assumptions!$C$12)^1</f>
        <v>743.0582112</v>
      </c>
      <c r="M53" s="139">
        <f>Assumptions!$C$6*Assumptions!$C$7*(1+$G53-0.05*(1-$H53))^2+Assumptions!$C$6*Assumptions!$C$8*(1+Assumptions!$C$11)^2+Assumptions!$C$16*$H53+Assumptions!$C$6*Assumptions!$C$9*(1+Assumptions!$C$12)^2</f>
        <v>767.0634744</v>
      </c>
      <c r="N53" s="139">
        <f>Assumptions!$C$6*Assumptions!$C$7*(1+$G53-0.05*(1-$I53))^3+Assumptions!$C$6*Assumptions!$C$8*(1+Assumptions!$C$11)^3+Assumptions!$C$16*$I53+Assumptions!$C$6*Assumptions!$C$9*(1+Assumptions!$C$12)^3</f>
        <v>792.0586787</v>
      </c>
      <c r="O53" s="139">
        <f>Assumptions!$C$6*Assumptions!$C$7*(1+$G53-0.05*(1-$J53))^4+Assumptions!$C$6*Assumptions!$C$8*(1+Assumptions!$C$11)^4+Assumptions!$C$16*$J53+Assumptions!$C$6*Assumptions!$C$9*(1+Assumptions!$C$12)^4</f>
        <v>818.0887518</v>
      </c>
      <c r="P53" s="139">
        <f>Assumptions!$C$6*Assumptions!$C$7*(1+$G53-0.05*(1-$K53))^5+Assumptions!$C$6*Assumptions!$C$8*(1+Assumptions!$C$11)^5+Assumptions!$C$16*$K53+Assumptions!$C$6*Assumptions!$C$9*(1+Assumptions!$C$12)^5</f>
        <v>845.2007579</v>
      </c>
      <c r="Q53" s="139">
        <f>($L53*(1-(Assumptions!$C$25+0.06*(1-1))-Assumptions!$C$27)-Assumptions!$C$28)-MAX(0,($L53*(1-(Assumptions!$C$25+0.06*(1-1))-Assumptions!$C$27)-Assumptions!$C$28)*Assumptions!$C$31)+Assumptions!$C$28-Assumptions!$C$29-$L53*Assumptions!$C$30</f>
        <v>92.25751541</v>
      </c>
      <c r="R53" s="139">
        <f>($M53*(1-(Assumptions!$C$25+0.06*(1-$H53))-Assumptions!$C$27)-Assumptions!$C$28)-MAX(0,($M53*(1-(Assumptions!$C$25+0.06*(1-$H53))-Assumptions!$C$27)-Assumptions!$C$28)*Assumptions!$C$31)+Assumptions!$C$28-Assumptions!$C$29-$M53*Assumptions!$C$30</f>
        <v>97.41864699</v>
      </c>
      <c r="S53" s="139">
        <f>($N53*(1-(Assumptions!$C$25+0.06*(1-$I53))-Assumptions!$C$27)-Assumptions!$C$28)-MAX(0,($N53*(1-(Assumptions!$C$25+0.06*(1-$I53))-Assumptions!$C$27)-Assumptions!$C$28)*Assumptions!$C$31)+Assumptions!$C$28-Assumptions!$C$29-$N53*Assumptions!$C$30</f>
        <v>102.7926159</v>
      </c>
      <c r="T53" s="139">
        <f>($O53*(1-(Assumptions!$C$25+0.06*(1-$J53))-Assumptions!$C$27)-Assumptions!$C$28)-MAX(0,($O53*(1-(Assumptions!$C$25+0.06*(1-$J53))-Assumptions!$C$27)-Assumptions!$C$28)*Assumptions!$C$31)+Assumptions!$C$28-Assumptions!$C$29-$O53*Assumptions!$C$30</f>
        <v>108.3890816</v>
      </c>
      <c r="U53" s="139">
        <f>($P53*(1-(Assumptions!$C$25+0.06*(1-$K53))-Assumptions!$C$27)-Assumptions!$C$28)-MAX(0,($P53*(1-(Assumptions!$C$25+0.06*(1-$K53))-Assumptions!$C$27)-Assumptions!$C$28)*Assumptions!$C$31)+Assumptions!$C$28-Assumptions!$C$29-$P53*Assumptions!$C$30</f>
        <v>114.218163</v>
      </c>
      <c r="V53" s="143">
        <f>(($Q53/(1+$D53)^1+$R53/(1+$D53)^2+$S53/(1+$D53)^3+$T53/(1+$D53)^4+$U53/(1+$D53)^5+$U53*(1+$E53)/($D53-$E53)/(1+$D53)^5)-Assumptions!$C$37)/Assumptions!$C$40/Assumptions!$C$38</f>
        <v>5.690865909</v>
      </c>
    </row>
    <row r="54" ht="12.0" customHeight="1">
      <c r="B54" s="139">
        <v>2.0</v>
      </c>
      <c r="C54" s="140">
        <f t="shared" si="6"/>
        <v>0.07417115799</v>
      </c>
      <c r="D54" s="141">
        <f t="shared" si="7"/>
        <v>0.09001438157</v>
      </c>
      <c r="E54" s="141">
        <f t="shared" si="8"/>
        <v>0.01769496032</v>
      </c>
      <c r="F54" s="140">
        <f t="shared" si="9"/>
        <v>0.4296420692</v>
      </c>
      <c r="G54" s="141">
        <f t="shared" si="10"/>
        <v>0.05780927407</v>
      </c>
      <c r="H54" s="142">
        <f t="shared" si="11"/>
        <v>0</v>
      </c>
      <c r="I54" s="142">
        <f t="shared" si="12"/>
        <v>1</v>
      </c>
      <c r="J54" s="142">
        <f t="shared" si="13"/>
        <v>1</v>
      </c>
      <c r="K54" s="142">
        <f t="shared" si="14"/>
        <v>1</v>
      </c>
      <c r="L54" s="139">
        <f>Assumptions!$C$6*Assumptions!$C$7*(1+$G54-0.05*(1-1))^1+Assumptions!$C$6*Assumptions!$C$8*(1+Assumptions!$C$11)^1+Assumptions!$C$16*1+Assumptions!$C$6*Assumptions!$C$9*(1+Assumptions!$C$12)^1</f>
        <v>745.9266017</v>
      </c>
      <c r="M54" s="139">
        <f>Assumptions!$C$6*Assumptions!$C$7*(1+$G54-0.05*(1-$H54))^2+Assumptions!$C$6*Assumptions!$C$8*(1+Assumptions!$C$11)^2+Assumptions!$C$16*$H54+Assumptions!$C$6*Assumptions!$C$9*(1+Assumptions!$C$12)^2</f>
        <v>678.3430908</v>
      </c>
      <c r="N54" s="139">
        <f>Assumptions!$C$6*Assumptions!$C$7*(1+$G54-0.05*(1-$I54))^3+Assumptions!$C$6*Assumptions!$C$8*(1+Assumptions!$C$11)^3+Assumptions!$C$16*$I54+Assumptions!$C$6*Assumptions!$C$9*(1+Assumptions!$C$12)^3</f>
        <v>801.610164</v>
      </c>
      <c r="O54" s="139">
        <f>Assumptions!$C$6*Assumptions!$C$7*(1+$G54-0.05*(1-$J54))^4+Assumptions!$C$6*Assumptions!$C$8*(1+Assumptions!$C$11)^4+Assumptions!$C$16*$J54+Assumptions!$C$6*Assumptions!$C$9*(1+Assumptions!$C$12)^4</f>
        <v>831.506168</v>
      </c>
      <c r="P54" s="139">
        <f>Assumptions!$C$6*Assumptions!$C$7*(1+$G54-0.05*(1-$K54))^5+Assumptions!$C$6*Assumptions!$C$8*(1+Assumptions!$C$11)^5+Assumptions!$C$16*$K54+Assumptions!$C$6*Assumptions!$C$9*(1+Assumptions!$C$12)^5</f>
        <v>862.8709195</v>
      </c>
      <c r="Q54" s="139">
        <f>($L54*(1-(Assumptions!$C$25+0.06*(1-1))-Assumptions!$C$27)-Assumptions!$C$28)-MAX(0,($L54*(1-(Assumptions!$C$25+0.06*(1-1))-Assumptions!$C$27)-Assumptions!$C$28)*Assumptions!$C$31)+Assumptions!$C$28-Assumptions!$C$29-$L54*Assumptions!$C$30</f>
        <v>92.87421936</v>
      </c>
      <c r="R54" s="139">
        <f>($M54*(1-(Assumptions!$C$25+0.06*(1-$H54))-Assumptions!$C$27)-Assumptions!$C$28)-MAX(0,($M54*(1-(Assumptions!$C$25+0.06*(1-$H54))-Assumptions!$C$27)-Assumptions!$C$28)*Assumptions!$C$31)+Assumptions!$C$28-Assumptions!$C$29-$M54*Assumptions!$C$30</f>
        <v>36.01891088</v>
      </c>
      <c r="S54" s="139">
        <f>($N54*(1-(Assumptions!$C$25+0.06*(1-$I54))-Assumptions!$C$27)-Assumptions!$C$28)-MAX(0,($N54*(1-(Assumptions!$C$25+0.06*(1-$I54))-Assumptions!$C$27)-Assumptions!$C$28)*Assumptions!$C$31)+Assumptions!$C$28-Assumptions!$C$29-$N54*Assumptions!$C$30</f>
        <v>104.8461853</v>
      </c>
      <c r="T54" s="139">
        <f>($O54*(1-(Assumptions!$C$25+0.06*(1-$J54))-Assumptions!$C$27)-Assumptions!$C$28)-MAX(0,($O54*(1-(Assumptions!$C$25+0.06*(1-$J54))-Assumptions!$C$27)-Assumptions!$C$28)*Assumptions!$C$31)+Assumptions!$C$28-Assumptions!$C$29-$O54*Assumptions!$C$30</f>
        <v>111.2738261</v>
      </c>
      <c r="U54" s="139">
        <f>($P54*(1-(Assumptions!$C$25+0.06*(1-$K54))-Assumptions!$C$27)-Assumptions!$C$28)-MAX(0,($P54*(1-(Assumptions!$C$25+0.06*(1-$K54))-Assumptions!$C$27)-Assumptions!$C$28)*Assumptions!$C$31)+Assumptions!$C$28-Assumptions!$C$29-$P54*Assumptions!$C$30</f>
        <v>118.0172477</v>
      </c>
      <c r="V54" s="143">
        <f>(($Q54/(1+$D54)^1+$R54/(1+$D54)^2+$S54/(1+$D54)^3+$T54/(1+$D54)^4+$U54/(1+$D54)^5+$U54*(1+$E54)/($D54-$E54)/(1+$D54)^5)-Assumptions!$C$37)/Assumptions!$C$40/Assumptions!$C$38</f>
        <v>5.771910319</v>
      </c>
    </row>
    <row r="55" ht="12.0" customHeight="1">
      <c r="B55" s="139">
        <v>3.0</v>
      </c>
      <c r="C55" s="140">
        <f t="shared" si="6"/>
        <v>0.9122904023</v>
      </c>
      <c r="D55" s="141">
        <f t="shared" si="7"/>
        <v>0.1079853664</v>
      </c>
      <c r="E55" s="141">
        <f t="shared" si="8"/>
        <v>0.02474595661</v>
      </c>
      <c r="F55" s="140">
        <f t="shared" si="9"/>
        <v>0.2750983878</v>
      </c>
      <c r="G55" s="141">
        <f t="shared" si="10"/>
        <v>0.05225257509</v>
      </c>
      <c r="H55" s="142">
        <f t="shared" si="11"/>
        <v>0</v>
      </c>
      <c r="I55" s="142">
        <f t="shared" si="12"/>
        <v>1</v>
      </c>
      <c r="J55" s="142">
        <f t="shared" si="13"/>
        <v>0</v>
      </c>
      <c r="K55" s="142">
        <f t="shared" si="14"/>
        <v>0</v>
      </c>
      <c r="L55" s="139">
        <f>Assumptions!$C$6*Assumptions!$C$7*(1+$G55-0.05*(1-1))^1+Assumptions!$C$6*Assumptions!$C$8*(1+Assumptions!$C$11)^1+Assumptions!$C$16*1+Assumptions!$C$6*Assumptions!$C$9*(1+Assumptions!$C$12)^1</f>
        <v>744.0562168</v>
      </c>
      <c r="M55" s="139">
        <f>Assumptions!$C$6*Assumptions!$C$7*(1+$G55-0.05*(1-$H55))^2+Assumptions!$C$6*Assumptions!$C$8*(1+Assumptions!$C$11)^2+Assumptions!$C$16*$H55+Assumptions!$C$6*Assumptions!$C$9*(1+Assumptions!$C$12)^2</f>
        <v>674.5835015</v>
      </c>
      <c r="N55" s="139">
        <f>Assumptions!$C$6*Assumptions!$C$7*(1+$G55-0.05*(1-$I55))^3+Assumptions!$C$6*Assumptions!$C$8*(1+Assumptions!$C$11)^3+Assumptions!$C$16*$I55+Assumptions!$C$6*Assumptions!$C$9*(1+Assumptions!$C$12)^3</f>
        <v>795.364428</v>
      </c>
      <c r="O55" s="139">
        <f>Assumptions!$C$6*Assumptions!$C$7*(1+$G55-0.05*(1-$J55))^4+Assumptions!$C$6*Assumptions!$C$8*(1+Assumptions!$C$11)^4+Assumptions!$C$16*$J55+Assumptions!$C$6*Assumptions!$C$9*(1+Assumptions!$C$12)^4</f>
        <v>689.7016907</v>
      </c>
      <c r="P55" s="139">
        <f>Assumptions!$C$6*Assumptions!$C$7*(1+$G55-0.05*(1-$K55))^5+Assumptions!$C$6*Assumptions!$C$8*(1+Assumptions!$C$11)^5+Assumptions!$C$16*$K55+Assumptions!$C$6*Assumptions!$C$9*(1+Assumptions!$C$12)^5</f>
        <v>697.4679335</v>
      </c>
      <c r="Q55" s="139">
        <f>($L55*(1-(Assumptions!$C$25+0.06*(1-1))-Assumptions!$C$27)-Assumptions!$C$28)-MAX(0,($L55*(1-(Assumptions!$C$25+0.06*(1-1))-Assumptions!$C$27)-Assumptions!$C$28)*Assumptions!$C$31)+Assumptions!$C$28-Assumptions!$C$29-$L55*Assumptions!$C$30</f>
        <v>92.47208661</v>
      </c>
      <c r="R55" s="139">
        <f>($M55*(1-(Assumptions!$C$25+0.06*(1-$H55))-Assumptions!$C$27)-Assumptions!$C$28)-MAX(0,($M55*(1-(Assumptions!$C$25+0.06*(1-$H55))-Assumptions!$C$27)-Assumptions!$C$28)*Assumptions!$C$31)+Assumptions!$C$28-Assumptions!$C$29-$M55*Assumptions!$C$30</f>
        <v>35.15420534</v>
      </c>
      <c r="S55" s="139">
        <f>($N55*(1-(Assumptions!$C$25+0.06*(1-$I55))-Assumptions!$C$27)-Assumptions!$C$28)-MAX(0,($N55*(1-(Assumptions!$C$25+0.06*(1-$I55))-Assumptions!$C$27)-Assumptions!$C$28)*Assumptions!$C$31)+Assumptions!$C$28-Assumptions!$C$29-$N55*Assumptions!$C$30</f>
        <v>103.503352</v>
      </c>
      <c r="T55" s="139">
        <f>($O55*(1-(Assumptions!$C$25+0.06*(1-$J55))-Assumptions!$C$27)-Assumptions!$C$28)-MAX(0,($O55*(1-(Assumptions!$C$25+0.06*(1-$J55))-Assumptions!$C$27)-Assumptions!$C$28)*Assumptions!$C$31)+Assumptions!$C$28-Assumptions!$C$29-$O55*Assumptions!$C$30</f>
        <v>38.63138886</v>
      </c>
      <c r="U55" s="139">
        <f>($P55*(1-(Assumptions!$C$25+0.06*(1-$K55))-Assumptions!$C$27)-Assumptions!$C$28)-MAX(0,($P55*(1-(Assumptions!$C$25+0.06*(1-$K55))-Assumptions!$C$27)-Assumptions!$C$28)*Assumptions!$C$31)+Assumptions!$C$28-Assumptions!$C$29-$P55*Assumptions!$C$30</f>
        <v>40.41762472</v>
      </c>
      <c r="V55" s="143">
        <f>(($Q55/(1+$D55)^1+$R55/(1+$D55)^2+$S55/(1+$D55)^3+$T55/(1+$D55)^4+$U55/(1+$D55)^5+$U55*(1+$E55)/($D55-$E55)/(1+$D55)^5)-Assumptions!$C$37)/Assumptions!$C$40/Assumptions!$C$38</f>
        <v>-1.215012015</v>
      </c>
    </row>
    <row r="56" ht="12.0" customHeight="1">
      <c r="B56" s="139">
        <v>4.0</v>
      </c>
      <c r="C56" s="140">
        <f t="shared" si="6"/>
        <v>0.05728745997</v>
      </c>
      <c r="D56" s="141">
        <f t="shared" si="7"/>
        <v>0.08940686384</v>
      </c>
      <c r="E56" s="141">
        <f t="shared" si="8"/>
        <v>0.02712780397</v>
      </c>
      <c r="F56" s="140">
        <f t="shared" si="9"/>
        <v>0.9045651488</v>
      </c>
      <c r="G56" s="141">
        <f t="shared" si="10"/>
        <v>0.07689340882</v>
      </c>
      <c r="H56" s="142">
        <f t="shared" si="11"/>
        <v>1</v>
      </c>
      <c r="I56" s="142">
        <f t="shared" si="12"/>
        <v>1</v>
      </c>
      <c r="J56" s="142">
        <f t="shared" si="13"/>
        <v>0</v>
      </c>
      <c r="K56" s="142">
        <f t="shared" si="14"/>
        <v>1</v>
      </c>
      <c r="L56" s="139">
        <f>Assumptions!$C$6*Assumptions!$C$7*(1+$G56-0.05*(1-1))^1+Assumptions!$C$6*Assumptions!$C$8*(1+Assumptions!$C$11)^1+Assumptions!$C$16*1+Assumptions!$C$6*Assumptions!$C$9*(1+Assumptions!$C$12)^1</f>
        <v>752.3503214</v>
      </c>
      <c r="M56" s="139">
        <f>Assumptions!$C$6*Assumptions!$C$7*(1+$G56-0.05*(1-$H56))^2+Assumptions!$C$6*Assumptions!$C$8*(1+Assumptions!$C$11)^2+Assumptions!$C$16*$H56+Assumptions!$C$6*Assumptions!$C$9*(1+Assumptions!$C$12)^2</f>
        <v>786.8201827</v>
      </c>
      <c r="N56" s="139">
        <f>Assumptions!$C$6*Assumptions!$C$7*(1+$G56-0.05*(1-$I56))^3+Assumptions!$C$6*Assumptions!$C$8*(1+Assumptions!$C$11)^3+Assumptions!$C$16*$I56+Assumptions!$C$6*Assumptions!$C$9*(1+Assumptions!$C$12)^3</f>
        <v>823.5652029</v>
      </c>
      <c r="O56" s="139">
        <f>Assumptions!$C$6*Assumptions!$C$7*(1+$G56-0.05*(1-$J56))^4+Assumptions!$C$6*Assumptions!$C$8*(1+Assumptions!$C$11)^4+Assumptions!$C$16*$J56+Assumptions!$C$6*Assumptions!$C$9*(1+Assumptions!$C$12)^4</f>
        <v>724.3548975</v>
      </c>
      <c r="P56" s="139">
        <f>Assumptions!$C$6*Assumptions!$C$7*(1+$G56-0.05*(1-$K56))^5+Assumptions!$C$6*Assumptions!$C$8*(1+Assumptions!$C$11)^5+Assumptions!$C$16*$K56+Assumptions!$C$6*Assumptions!$C$9*(1+Assumptions!$C$12)^5</f>
        <v>904.5631957</v>
      </c>
      <c r="Q56" s="139">
        <f>($L56*(1-(Assumptions!$C$25+0.06*(1-1))-Assumptions!$C$27)-Assumptions!$C$28)-MAX(0,($L56*(1-(Assumptions!$C$25+0.06*(1-1))-Assumptions!$C$27)-Assumptions!$C$28)*Assumptions!$C$31)+Assumptions!$C$28-Assumptions!$C$29-$L56*Assumptions!$C$30</f>
        <v>94.2553191</v>
      </c>
      <c r="R56" s="139">
        <f>($M56*(1-(Assumptions!$C$25+0.06*(1-$H56))-Assumptions!$C$27)-Assumptions!$C$28)-MAX(0,($M56*(1-(Assumptions!$C$25+0.06*(1-$H56))-Assumptions!$C$27)-Assumptions!$C$28)*Assumptions!$C$31)+Assumptions!$C$28-Assumptions!$C$29-$M56*Assumptions!$C$30</f>
        <v>101.6663393</v>
      </c>
      <c r="S56" s="139">
        <f>($N56*(1-(Assumptions!$C$25+0.06*(1-$I56))-Assumptions!$C$27)-Assumptions!$C$28)-MAX(0,($N56*(1-(Assumptions!$C$25+0.06*(1-$I56))-Assumptions!$C$27)-Assumptions!$C$28)*Assumptions!$C$31)+Assumptions!$C$28-Assumptions!$C$29-$N56*Assumptions!$C$30</f>
        <v>109.5665186</v>
      </c>
      <c r="T56" s="139">
        <f>($O56*(1-(Assumptions!$C$25+0.06*(1-$J56))-Assumptions!$C$27)-Assumptions!$C$28)-MAX(0,($O56*(1-(Assumptions!$C$25+0.06*(1-$J56))-Assumptions!$C$27)-Assumptions!$C$28)*Assumptions!$C$31)+Assumptions!$C$28-Assumptions!$C$29-$O56*Assumptions!$C$30</f>
        <v>46.60162643</v>
      </c>
      <c r="U56" s="139">
        <f>($P56*(1-(Assumptions!$C$25+0.06*(1-$K56))-Assumptions!$C$27)-Assumptions!$C$28)-MAX(0,($P56*(1-(Assumptions!$C$25+0.06*(1-$K56))-Assumptions!$C$27)-Assumptions!$C$28)*Assumptions!$C$31)+Assumptions!$C$28-Assumptions!$C$29-$P56*Assumptions!$C$30</f>
        <v>126.9810871</v>
      </c>
      <c r="V56" s="143">
        <f>(($Q56/(1+$D56)^1+$R56/(1+$D56)^2+$S56/(1+$D56)^3+$T56/(1+$D56)^4+$U56/(1+$D56)^5+$U56*(1+$E56)/($D56-$E56)/(1+$D56)^5)-Assumptions!$C$37)/Assumptions!$C$40/Assumptions!$C$38</f>
        <v>8.161955613</v>
      </c>
    </row>
    <row r="57" ht="12.0" customHeight="1">
      <c r="B57" s="139">
        <v>5.0</v>
      </c>
      <c r="C57" s="140">
        <f t="shared" si="6"/>
        <v>0.881459032</v>
      </c>
      <c r="D57" s="141">
        <f t="shared" si="7"/>
        <v>0.1068451559</v>
      </c>
      <c r="E57" s="141">
        <f t="shared" si="8"/>
        <v>0.0299401837</v>
      </c>
      <c r="F57" s="140">
        <f t="shared" si="9"/>
        <v>0.4173930322</v>
      </c>
      <c r="G57" s="141">
        <f t="shared" si="10"/>
        <v>0.05740998829</v>
      </c>
      <c r="H57" s="142">
        <f t="shared" si="11"/>
        <v>1</v>
      </c>
      <c r="I57" s="142">
        <f t="shared" si="12"/>
        <v>1</v>
      </c>
      <c r="J57" s="142">
        <f t="shared" si="13"/>
        <v>0</v>
      </c>
      <c r="K57" s="142">
        <f t="shared" si="14"/>
        <v>0</v>
      </c>
      <c r="L57" s="139">
        <f>Assumptions!$C$6*Assumptions!$C$7*(1+$G57-0.05*(1-1))^1+Assumptions!$C$6*Assumptions!$C$8*(1+Assumptions!$C$11)^1+Assumptions!$C$16*1+Assumptions!$C$6*Assumptions!$C$9*(1+Assumptions!$C$12)^1</f>
        <v>745.7922021</v>
      </c>
      <c r="M57" s="139">
        <f>Assumptions!$C$6*Assumptions!$C$7*(1+$G57-0.05*(1-$H57))^2+Assumptions!$C$6*Assumptions!$C$8*(1+Assumptions!$C$11)^2+Assumptions!$C$16*$H57+Assumptions!$C$6*Assumptions!$C$9*(1+Assumptions!$C$12)^2</f>
        <v>772.8231663</v>
      </c>
      <c r="N57" s="139">
        <f>Assumptions!$C$6*Assumptions!$C$7*(1+$G57-0.05*(1-$I57))^3+Assumptions!$C$6*Assumptions!$C$8*(1+Assumptions!$C$11)^3+Assumptions!$C$16*$I57+Assumptions!$C$6*Assumptions!$C$9*(1+Assumptions!$C$12)^3</f>
        <v>801.1591708</v>
      </c>
      <c r="O57" s="139">
        <f>Assumptions!$C$6*Assumptions!$C$7*(1+$G57-0.05*(1-$J57))^4+Assumptions!$C$6*Assumptions!$C$8*(1+Assumptions!$C$11)^4+Assumptions!$C$16*$J57+Assumptions!$C$6*Assumptions!$C$9*(1+Assumptions!$C$12)^4</f>
        <v>696.7468096</v>
      </c>
      <c r="P57" s="139">
        <f>Assumptions!$C$6*Assumptions!$C$7*(1+$G57-0.05*(1-$K57))^5+Assumptions!$C$6*Assumptions!$C$8*(1+Assumptions!$C$11)^5+Assumptions!$C$16*$K57+Assumptions!$C$6*Assumptions!$C$9*(1+Assumptions!$C$12)^5</f>
        <v>706.3169367</v>
      </c>
      <c r="Q57" s="139">
        <f>($L57*(1-(Assumptions!$C$25+0.06*(1-1))-Assumptions!$C$27)-Assumptions!$C$28)-MAX(0,($L57*(1-(Assumptions!$C$25+0.06*(1-1))-Assumptions!$C$27)-Assumptions!$C$28)*Assumptions!$C$31)+Assumptions!$C$28-Assumptions!$C$29-$L57*Assumptions!$C$30</f>
        <v>92.84532344</v>
      </c>
      <c r="R57" s="139">
        <f>($M57*(1-(Assumptions!$C$25+0.06*(1-$H57))-Assumptions!$C$27)-Assumptions!$C$28)-MAX(0,($M57*(1-(Assumptions!$C$25+0.06*(1-$H57))-Assumptions!$C$27)-Assumptions!$C$28)*Assumptions!$C$31)+Assumptions!$C$28-Assumptions!$C$29-$M57*Assumptions!$C$30</f>
        <v>98.65698076</v>
      </c>
      <c r="S57" s="139">
        <f>($N57*(1-(Assumptions!$C$25+0.06*(1-$I57))-Assumptions!$C$27)-Assumptions!$C$28)-MAX(0,($N57*(1-(Assumptions!$C$25+0.06*(1-$I57))-Assumptions!$C$27)-Assumptions!$C$28)*Assumptions!$C$31)+Assumptions!$C$28-Assumptions!$C$29-$N57*Assumptions!$C$30</f>
        <v>104.7492217</v>
      </c>
      <c r="T57" s="139">
        <f>($O57*(1-(Assumptions!$C$25+0.06*(1-$J57))-Assumptions!$C$27)-Assumptions!$C$28)-MAX(0,($O57*(1-(Assumptions!$C$25+0.06*(1-$J57))-Assumptions!$C$27)-Assumptions!$C$28)*Assumptions!$C$31)+Assumptions!$C$28-Assumptions!$C$29-$O57*Assumptions!$C$30</f>
        <v>40.25176622</v>
      </c>
      <c r="U57" s="139">
        <f>($P57*(1-(Assumptions!$C$25+0.06*(1-$K57))-Assumptions!$C$27)-Assumptions!$C$28)-MAX(0,($P57*(1-(Assumptions!$C$25+0.06*(1-$K57))-Assumptions!$C$27)-Assumptions!$C$28)*Assumptions!$C$31)+Assumptions!$C$28-Assumptions!$C$29-$P57*Assumptions!$C$30</f>
        <v>42.45289545</v>
      </c>
      <c r="V57" s="143">
        <f>(($Q57/(1+$D57)^1+$R57/(1+$D57)^2+$S57/(1+$D57)^3+$T57/(1+$D57)^4+$U57/(1+$D57)^5+$U57*(1+$E57)/($D57-$E57)/(1+$D57)^5)-Assumptions!$C$37)/Assumptions!$C$40/Assumptions!$C$38</f>
        <v>-0.4325421494</v>
      </c>
    </row>
    <row r="58" ht="12.0" customHeight="1">
      <c r="B58" s="139">
        <v>6.0</v>
      </c>
      <c r="C58" s="140">
        <f t="shared" si="6"/>
        <v>0.5926043949</v>
      </c>
      <c r="D58" s="141">
        <f t="shared" si="7"/>
        <v>0.09988216502</v>
      </c>
      <c r="E58" s="141">
        <f t="shared" si="8"/>
        <v>0.01641447575</v>
      </c>
      <c r="F58" s="140">
        <f t="shared" si="9"/>
        <v>0.8628201147</v>
      </c>
      <c r="G58" s="141">
        <f t="shared" si="10"/>
        <v>0.07428619099</v>
      </c>
      <c r="H58" s="142">
        <f t="shared" si="11"/>
        <v>0</v>
      </c>
      <c r="I58" s="142">
        <f t="shared" si="12"/>
        <v>0</v>
      </c>
      <c r="J58" s="142">
        <f t="shared" si="13"/>
        <v>1</v>
      </c>
      <c r="K58" s="142">
        <f t="shared" si="14"/>
        <v>0</v>
      </c>
      <c r="L58" s="139">
        <f>Assumptions!$C$6*Assumptions!$C$7*(1+$G58-0.05*(1-1))^1+Assumptions!$C$6*Assumptions!$C$8*(1+Assumptions!$C$11)^1+Assumptions!$C$16*1+Assumptions!$C$6*Assumptions!$C$9*(1+Assumptions!$C$12)^1</f>
        <v>751.4727319</v>
      </c>
      <c r="M58" s="139">
        <f>Assumptions!$C$6*Assumptions!$C$7*(1+$G58-0.05*(1-$H58))^2+Assumptions!$C$6*Assumptions!$C$8*(1+Assumptions!$C$11)^2+Assumptions!$C$16*$H58+Assumptions!$C$6*Assumptions!$C$9*(1+Assumptions!$C$12)^2</f>
        <v>689.6133569</v>
      </c>
      <c r="N58" s="139">
        <f>Assumptions!$C$6*Assumptions!$C$7*(1+$G58-0.05*(1-$I58))^3+Assumptions!$C$6*Assumptions!$C$8*(1+Assumptions!$C$11)^3+Assumptions!$C$16*$I58+Assumptions!$C$6*Assumptions!$C$9*(1+Assumptions!$C$12)^3</f>
        <v>704.9192838</v>
      </c>
      <c r="O58" s="139">
        <f>Assumptions!$C$6*Assumptions!$C$7*(1+$G58-0.05*(1-$J58))^4+Assumptions!$C$6*Assumptions!$C$8*(1+Assumptions!$C$11)^4+Assumptions!$C$16*$J58+Assumptions!$C$6*Assumptions!$C$9*(1+Assumptions!$C$12)^4</f>
        <v>858.3847246</v>
      </c>
      <c r="P58" s="139">
        <f>Assumptions!$C$6*Assumptions!$C$7*(1+$G58-0.05*(1-$K58))^5+Assumptions!$C$6*Assumptions!$C$8*(1+Assumptions!$C$11)^5+Assumptions!$C$16*$K58+Assumptions!$C$6*Assumptions!$C$9*(1+Assumptions!$C$12)^5</f>
        <v>736.5675267</v>
      </c>
      <c r="Q58" s="139">
        <f>($L58*(1-(Assumptions!$C$25+0.06*(1-1))-Assumptions!$C$27)-Assumptions!$C$28)-MAX(0,($L58*(1-(Assumptions!$C$25+0.06*(1-1))-Assumptions!$C$27)-Assumptions!$C$28)*Assumptions!$C$31)+Assumptions!$C$28-Assumptions!$C$29-$L58*Assumptions!$C$30</f>
        <v>94.06663736</v>
      </c>
      <c r="R58" s="139">
        <f>($M58*(1-(Assumptions!$C$25+0.06*(1-$H58))-Assumptions!$C$27)-Assumptions!$C$28)-MAX(0,($M58*(1-(Assumptions!$C$25+0.06*(1-$H58))-Assumptions!$C$27)-Assumptions!$C$28)*Assumptions!$C$31)+Assumptions!$C$28-Assumptions!$C$29-$M58*Assumptions!$C$30</f>
        <v>38.61107208</v>
      </c>
      <c r="S58" s="139">
        <f>($N58*(1-(Assumptions!$C$25+0.06*(1-$I58))-Assumptions!$C$27)-Assumptions!$C$28)-MAX(0,($N58*(1-(Assumptions!$C$25+0.06*(1-$I58))-Assumptions!$C$27)-Assumptions!$C$28)*Assumptions!$C$31)+Assumptions!$C$28-Assumptions!$C$29-$N58*Assumptions!$C$30</f>
        <v>42.13143527</v>
      </c>
      <c r="T58" s="139">
        <f>($O58*(1-(Assumptions!$C$25+0.06*(1-$J58))-Assumptions!$C$27)-Assumptions!$C$28)-MAX(0,($O58*(1-(Assumptions!$C$25+0.06*(1-$J58))-Assumptions!$C$27)-Assumptions!$C$28)*Assumptions!$C$31)+Assumptions!$C$28-Assumptions!$C$29-$O58*Assumptions!$C$30</f>
        <v>117.0527158</v>
      </c>
      <c r="U58" s="139">
        <f>($P58*(1-(Assumptions!$C$25+0.06*(1-$K58))-Assumptions!$C$27)-Assumptions!$C$28)-MAX(0,($P58*(1-(Assumptions!$C$25+0.06*(1-$K58))-Assumptions!$C$27)-Assumptions!$C$28)*Assumptions!$C$31)+Assumptions!$C$28-Assumptions!$C$29-$P58*Assumptions!$C$30</f>
        <v>49.41053113</v>
      </c>
      <c r="V58" s="143">
        <f>(($Q58/(1+$D58)^1+$R58/(1+$D58)^2+$S58/(1+$D58)^3+$T58/(1+$D58)^4+$U58/(1+$D58)^5+$U58*(1+$E58)/($D58-$E58)/(1+$D58)^5)-Assumptions!$C$37)/Assumptions!$C$40/Assumptions!$C$38</f>
        <v>-0.4535180365</v>
      </c>
    </row>
    <row r="59" ht="12.0" customHeight="1">
      <c r="B59" s="139">
        <v>7.0</v>
      </c>
      <c r="C59" s="140">
        <f t="shared" si="6"/>
        <v>0.9714156097</v>
      </c>
      <c r="D59" s="141">
        <f t="shared" si="7"/>
        <v>0.1109955221</v>
      </c>
      <c r="E59" s="141">
        <f t="shared" si="8"/>
        <v>0.01062606235</v>
      </c>
      <c r="F59" s="140">
        <f t="shared" si="9"/>
        <v>0.8615320947</v>
      </c>
      <c r="G59" s="141">
        <f t="shared" si="10"/>
        <v>0.07421259269</v>
      </c>
      <c r="H59" s="142">
        <f t="shared" si="11"/>
        <v>0</v>
      </c>
      <c r="I59" s="142">
        <f t="shared" si="12"/>
        <v>0</v>
      </c>
      <c r="J59" s="142">
        <f t="shared" si="13"/>
        <v>0</v>
      </c>
      <c r="K59" s="142">
        <f t="shared" si="14"/>
        <v>0</v>
      </c>
      <c r="L59" s="139">
        <f>Assumptions!$C$6*Assumptions!$C$7*(1+$G59-0.05*(1-1))^1+Assumptions!$C$6*Assumptions!$C$8*(1+Assumptions!$C$11)^1+Assumptions!$C$16*1+Assumptions!$C$6*Assumptions!$C$9*(1+Assumptions!$C$12)^1</f>
        <v>751.4479587</v>
      </c>
      <c r="M59" s="139">
        <f>Assumptions!$C$6*Assumptions!$C$7*(1+$G59-0.05*(1-$H59))^2+Assumptions!$C$6*Assumptions!$C$8*(1+Assumptions!$C$11)^2+Assumptions!$C$16*$H59+Assumptions!$C$6*Assumptions!$C$9*(1+Assumptions!$C$12)^2</f>
        <v>689.562609</v>
      </c>
      <c r="N59" s="139">
        <f>Assumptions!$C$6*Assumptions!$C$7*(1+$G59-0.05*(1-$I59))^3+Assumptions!$C$6*Assumptions!$C$8*(1+Assumptions!$C$11)^3+Assumptions!$C$16*$I59+Assumptions!$C$6*Assumptions!$C$9*(1+Assumptions!$C$12)^3</f>
        <v>704.8413161</v>
      </c>
      <c r="O59" s="139">
        <f>Assumptions!$C$6*Assumptions!$C$7*(1+$G59-0.05*(1-$J59))^4+Assumptions!$C$6*Assumptions!$C$8*(1+Assumptions!$C$11)^4+Assumptions!$C$16*$J59+Assumptions!$C$6*Assumptions!$C$9*(1+Assumptions!$C$12)^4</f>
        <v>720.4616125</v>
      </c>
      <c r="P59" s="139">
        <f>Assumptions!$C$6*Assumptions!$C$7*(1+$G59-0.05*(1-$K59))^5+Assumptions!$C$6*Assumptions!$C$8*(1+Assumptions!$C$11)^5+Assumptions!$C$16*$K59+Assumptions!$C$6*Assumptions!$C$9*(1+Assumptions!$C$12)^5</f>
        <v>736.4312019</v>
      </c>
      <c r="Q59" s="139">
        <f>($L59*(1-(Assumptions!$C$25+0.06*(1-1))-Assumptions!$C$27)-Assumptions!$C$28)-MAX(0,($L59*(1-(Assumptions!$C$25+0.06*(1-1))-Assumptions!$C$27)-Assumptions!$C$28)*Assumptions!$C$31)+Assumptions!$C$28-Assumptions!$C$29-$L59*Assumptions!$C$30</f>
        <v>94.06131112</v>
      </c>
      <c r="R59" s="139">
        <f>($M59*(1-(Assumptions!$C$25+0.06*(1-$H59))-Assumptions!$C$27)-Assumptions!$C$28)-MAX(0,($M59*(1-(Assumptions!$C$25+0.06*(1-$H59))-Assumptions!$C$27)-Assumptions!$C$28)*Assumptions!$C$31)+Assumptions!$C$28-Assumptions!$C$29-$M59*Assumptions!$C$30</f>
        <v>38.59940008</v>
      </c>
      <c r="S59" s="139">
        <f>($N59*(1-(Assumptions!$C$25+0.06*(1-$I59))-Assumptions!$C$27)-Assumptions!$C$28)-MAX(0,($N59*(1-(Assumptions!$C$25+0.06*(1-$I59))-Assumptions!$C$27)-Assumptions!$C$28)*Assumptions!$C$31)+Assumptions!$C$28-Assumptions!$C$29-$N59*Assumptions!$C$30</f>
        <v>42.1135027</v>
      </c>
      <c r="T59" s="139">
        <f>($O59*(1-(Assumptions!$C$25+0.06*(1-$J59))-Assumptions!$C$27)-Assumptions!$C$28)-MAX(0,($O59*(1-(Assumptions!$C$25+0.06*(1-$J59))-Assumptions!$C$27)-Assumptions!$C$28)*Assumptions!$C$31)+Assumptions!$C$28-Assumptions!$C$29-$O59*Assumptions!$C$30</f>
        <v>45.70617086</v>
      </c>
      <c r="U59" s="139">
        <f>($P59*(1-(Assumptions!$C$25+0.06*(1-$K59))-Assumptions!$C$27)-Assumptions!$C$28)-MAX(0,($P59*(1-(Assumptions!$C$25+0.06*(1-$K59))-Assumptions!$C$27)-Assumptions!$C$28)*Assumptions!$C$31)+Assumptions!$C$28-Assumptions!$C$29-$P59*Assumptions!$C$30</f>
        <v>49.37917644</v>
      </c>
      <c r="V59" s="143">
        <f>(($Q59/(1+$D59)^1+$R59/(1+$D59)^2+$S59/(1+$D59)^3+$T59/(1+$D59)^4+$U59/(1+$D59)^5+$U59*(1+$E59)/($D59-$E59)/(1+$D59)^5)-Assumptions!$C$37)/Assumptions!$C$40/Assumptions!$C$38</f>
        <v>-1.499413096</v>
      </c>
    </row>
    <row r="60" ht="12.0" customHeight="1">
      <c r="B60" s="139">
        <v>8.0</v>
      </c>
      <c r="C60" s="140">
        <f t="shared" si="6"/>
        <v>0.8482992789</v>
      </c>
      <c r="D60" s="141">
        <f t="shared" si="7"/>
        <v>0.1057748114</v>
      </c>
      <c r="E60" s="141">
        <f t="shared" si="8"/>
        <v>0.01952132177</v>
      </c>
      <c r="F60" s="140">
        <f t="shared" si="9"/>
        <v>0.8567086154</v>
      </c>
      <c r="G60" s="141">
        <f t="shared" si="10"/>
        <v>0.07393997222</v>
      </c>
      <c r="H60" s="142">
        <f t="shared" si="11"/>
        <v>1</v>
      </c>
      <c r="I60" s="142">
        <f t="shared" si="12"/>
        <v>1</v>
      </c>
      <c r="J60" s="142">
        <f t="shared" si="13"/>
        <v>0</v>
      </c>
      <c r="K60" s="142">
        <f t="shared" si="14"/>
        <v>1</v>
      </c>
      <c r="L60" s="139">
        <f>Assumptions!$C$6*Assumptions!$C$7*(1+$G60-0.05*(1-1))^1+Assumptions!$C$6*Assumptions!$C$8*(1+Assumptions!$C$11)^1+Assumptions!$C$16*1+Assumptions!$C$6*Assumptions!$C$9*(1+Assumptions!$C$12)^1</f>
        <v>751.3561946</v>
      </c>
      <c r="M60" s="139">
        <f>Assumptions!$C$6*Assumptions!$C$7*(1+$G60-0.05*(1-$H60))^2+Assumptions!$C$6*Assumptions!$C$8*(1+Assumptions!$C$11)^2+Assumptions!$C$16*$H60+Assumptions!$C$6*Assumptions!$C$9*(1+Assumptions!$C$12)^2</f>
        <v>784.6819817</v>
      </c>
      <c r="N60" s="139">
        <f>Assumptions!$C$6*Assumptions!$C$7*(1+$G60-0.05*(1-$I60))^3+Assumptions!$C$6*Assumptions!$C$8*(1+Assumptions!$C$11)^3+Assumptions!$C$16*$I60+Assumptions!$C$6*Assumptions!$C$9*(1+Assumptions!$C$12)^3</f>
        <v>820.1160151</v>
      </c>
      <c r="O60" s="139">
        <f>Assumptions!$C$6*Assumptions!$C$7*(1+$G60-0.05*(1-$J60))^4+Assumptions!$C$6*Assumptions!$C$8*(1+Assumptions!$C$11)^4+Assumptions!$C$16*$J60+Assumptions!$C$6*Assumptions!$C$9*(1+Assumptions!$C$12)^4</f>
        <v>720.0674008</v>
      </c>
      <c r="P60" s="139">
        <f>Assumptions!$C$6*Assumptions!$C$7*(1+$G60-0.05*(1-$K60))^5+Assumptions!$C$6*Assumptions!$C$8*(1+Assumptions!$C$11)^5+Assumptions!$C$16*$K60+Assumptions!$C$6*Assumptions!$C$9*(1+Assumptions!$C$12)^5</f>
        <v>897.9147443</v>
      </c>
      <c r="Q60" s="139">
        <f>($L60*(1-(Assumptions!$C$25+0.06*(1-1))-Assumptions!$C$27)-Assumptions!$C$28)-MAX(0,($L60*(1-(Assumptions!$C$25+0.06*(1-1))-Assumptions!$C$27)-Assumptions!$C$28)*Assumptions!$C$31)+Assumptions!$C$28-Assumptions!$C$29-$L60*Assumptions!$C$30</f>
        <v>94.04158185</v>
      </c>
      <c r="R60" s="139">
        <f>($M60*(1-(Assumptions!$C$25+0.06*(1-$H60))-Assumptions!$C$27)-Assumptions!$C$28)-MAX(0,($M60*(1-(Assumptions!$C$25+0.06*(1-$H60))-Assumptions!$C$27)-Assumptions!$C$28)*Assumptions!$C$31)+Assumptions!$C$28-Assumptions!$C$29-$M60*Assumptions!$C$30</f>
        <v>101.2066261</v>
      </c>
      <c r="S60" s="139">
        <f>($N60*(1-(Assumptions!$C$25+0.06*(1-$I60))-Assumptions!$C$27)-Assumptions!$C$28)-MAX(0,($N60*(1-(Assumptions!$C$25+0.06*(1-$I60))-Assumptions!$C$27)-Assumptions!$C$28)*Assumptions!$C$31)+Assumptions!$C$28-Assumptions!$C$29-$N60*Assumptions!$C$30</f>
        <v>108.8249433</v>
      </c>
      <c r="T60" s="139">
        <f>($O60*(1-(Assumptions!$C$25+0.06*(1-$J60))-Assumptions!$C$27)-Assumptions!$C$28)-MAX(0,($O60*(1-(Assumptions!$C$25+0.06*(1-$J60))-Assumptions!$C$27)-Assumptions!$C$28)*Assumptions!$C$31)+Assumptions!$C$28-Assumptions!$C$29-$O60*Assumptions!$C$30</f>
        <v>45.61550218</v>
      </c>
      <c r="U60" s="139">
        <f>($P60*(1-(Assumptions!$C$25+0.06*(1-$K60))-Assumptions!$C$27)-Assumptions!$C$28)-MAX(0,($P60*(1-(Assumptions!$C$25+0.06*(1-$K60))-Assumptions!$C$27)-Assumptions!$C$28)*Assumptions!$C$31)+Assumptions!$C$28-Assumptions!$C$29-$P60*Assumptions!$C$30</f>
        <v>125.55167</v>
      </c>
      <c r="V60" s="143">
        <f>(($Q60/(1+$D60)^1+$R60/(1+$D60)^2+$S60/(1+$D60)^3+$T60/(1+$D60)^4+$U60/(1+$D60)^5+$U60*(1+$E60)/($D60-$E60)/(1+$D60)^5)-Assumptions!$C$37)/Assumptions!$C$40/Assumptions!$C$38</f>
        <v>4.37576633</v>
      </c>
    </row>
    <row r="61" ht="12.0" customHeight="1">
      <c r="B61" s="139">
        <v>9.0</v>
      </c>
      <c r="C61" s="140">
        <f t="shared" si="6"/>
        <v>0.5338692922</v>
      </c>
      <c r="D61" s="141">
        <f t="shared" si="7"/>
        <v>0.09882905918</v>
      </c>
      <c r="E61" s="141">
        <f t="shared" si="8"/>
        <v>0.01536499232</v>
      </c>
      <c r="F61" s="140">
        <f t="shared" si="9"/>
        <v>0.251149537</v>
      </c>
      <c r="G61" s="141">
        <f t="shared" si="10"/>
        <v>0.05126191822</v>
      </c>
      <c r="H61" s="142">
        <f t="shared" si="11"/>
        <v>0</v>
      </c>
      <c r="I61" s="142">
        <f t="shared" si="12"/>
        <v>1</v>
      </c>
      <c r="J61" s="142">
        <f t="shared" si="13"/>
        <v>1</v>
      </c>
      <c r="K61" s="142">
        <f t="shared" si="14"/>
        <v>1</v>
      </c>
      <c r="L61" s="139">
        <f>Assumptions!$C$6*Assumptions!$C$7*(1+$G61-0.05*(1-1))^1+Assumptions!$C$6*Assumptions!$C$8*(1+Assumptions!$C$11)^1+Assumptions!$C$16*1+Assumptions!$C$6*Assumptions!$C$9*(1+Assumptions!$C$12)^1</f>
        <v>743.7227617</v>
      </c>
      <c r="M61" s="139">
        <f>Assumptions!$C$6*Assumptions!$C$7*(1+$G61-0.05*(1-$H61))^2+Assumptions!$C$6*Assumptions!$C$8*(1+Assumptions!$C$11)^2+Assumptions!$C$16*$H61+Assumptions!$C$6*Assumptions!$C$9*(1+Assumptions!$C$12)^2</f>
        <v>673.9154194</v>
      </c>
      <c r="N61" s="139">
        <f>Assumptions!$C$6*Assumptions!$C$7*(1+$G61-0.05*(1-$I61))^3+Assumptions!$C$6*Assumptions!$C$8*(1+Assumptions!$C$11)^3+Assumptions!$C$16*$I61+Assumptions!$C$6*Assumptions!$C$9*(1+Assumptions!$C$12)^3</f>
        <v>794.2578306</v>
      </c>
      <c r="O61" s="139">
        <f>Assumptions!$C$6*Assumptions!$C$7*(1+$G61-0.05*(1-$J61))^4+Assumptions!$C$6*Assumptions!$C$8*(1+Assumptions!$C$11)^4+Assumptions!$C$16*$J61+Assumptions!$C$6*Assumptions!$C$9*(1+Assumptions!$C$12)^4</f>
        <v>821.1683718</v>
      </c>
      <c r="P61" s="139">
        <f>Assumptions!$C$6*Assumptions!$C$7*(1+$G61-0.05*(1-$K61))^5+Assumptions!$C$6*Assumptions!$C$8*(1+Assumptions!$C$11)^5+Assumptions!$C$16*$K61+Assumptions!$C$6*Assumptions!$C$9*(1+Assumptions!$C$12)^5</f>
        <v>849.2438205</v>
      </c>
      <c r="Q61" s="139">
        <f>($L61*(1-(Assumptions!$C$25+0.06*(1-1))-Assumptions!$C$27)-Assumptions!$C$28)-MAX(0,($L61*(1-(Assumptions!$C$25+0.06*(1-1))-Assumptions!$C$27)-Assumptions!$C$28)*Assumptions!$C$31)+Assumptions!$C$28-Assumptions!$C$29-$L61*Assumptions!$C$30</f>
        <v>92.40039376</v>
      </c>
      <c r="R61" s="139">
        <f>($M61*(1-(Assumptions!$C$25+0.06*(1-$H61))-Assumptions!$C$27)-Assumptions!$C$28)-MAX(0,($M61*(1-(Assumptions!$C$25+0.06*(1-$H61))-Assumptions!$C$27)-Assumptions!$C$28)*Assumptions!$C$31)+Assumptions!$C$28-Assumptions!$C$29-$M61*Assumptions!$C$30</f>
        <v>35.00054645</v>
      </c>
      <c r="S61" s="139">
        <f>($N61*(1-(Assumptions!$C$25+0.06*(1-$I61))-Assumptions!$C$27)-Assumptions!$C$28)-MAX(0,($N61*(1-(Assumptions!$C$25+0.06*(1-$I61))-Assumptions!$C$27)-Assumptions!$C$28)*Assumptions!$C$31)+Assumptions!$C$28-Assumptions!$C$29-$N61*Assumptions!$C$30</f>
        <v>103.2654336</v>
      </c>
      <c r="T61" s="139">
        <f>($O61*(1-(Assumptions!$C$25+0.06*(1-$J61))-Assumptions!$C$27)-Assumptions!$C$28)-MAX(0,($O61*(1-(Assumptions!$C$25+0.06*(1-$J61))-Assumptions!$C$27)-Assumptions!$C$28)*Assumptions!$C$31)+Assumptions!$C$28-Assumptions!$C$29-$O61*Assumptions!$C$30</f>
        <v>109.0511999</v>
      </c>
      <c r="U61" s="139">
        <f>($P61*(1-(Assumptions!$C$25+0.06*(1-$K61))-Assumptions!$C$27)-Assumptions!$C$28)-MAX(0,($P61*(1-(Assumptions!$C$25+0.06*(1-$K61))-Assumptions!$C$27)-Assumptions!$C$28)*Assumptions!$C$31)+Assumptions!$C$28-Assumptions!$C$29-$P61*Assumptions!$C$30</f>
        <v>115.0874214</v>
      </c>
      <c r="V61" s="143">
        <f>(($Q61/(1+$D61)^1+$R61/(1+$D61)^2+$S61/(1+$D61)^3+$T61/(1+$D61)^4+$U61/(1+$D61)^5+$U61*(1+$E61)/($D61-$E61)/(1+$D61)^5)-Assumptions!$C$37)/Assumptions!$C$40/Assumptions!$C$38</f>
        <v>4.056739727</v>
      </c>
    </row>
    <row r="62" ht="12.0" customHeight="1">
      <c r="B62" s="139">
        <v>10.0</v>
      </c>
      <c r="C62" s="140">
        <f t="shared" si="6"/>
        <v>0.241466568</v>
      </c>
      <c r="D62" s="141">
        <f t="shared" si="7"/>
        <v>0.09404749504</v>
      </c>
      <c r="E62" s="141">
        <f t="shared" si="8"/>
        <v>0.02199843517</v>
      </c>
      <c r="F62" s="140">
        <f t="shared" si="9"/>
        <v>0.8444387747</v>
      </c>
      <c r="G62" s="141">
        <f t="shared" si="10"/>
        <v>0.07326649452</v>
      </c>
      <c r="H62" s="142">
        <f t="shared" si="11"/>
        <v>0</v>
      </c>
      <c r="I62" s="142">
        <f t="shared" si="12"/>
        <v>1</v>
      </c>
      <c r="J62" s="142">
        <f t="shared" si="13"/>
        <v>0</v>
      </c>
      <c r="K62" s="142">
        <f t="shared" si="14"/>
        <v>0</v>
      </c>
      <c r="L62" s="139">
        <f>Assumptions!$C$6*Assumptions!$C$7*(1+$G62-0.05*(1-1))^1+Assumptions!$C$6*Assumptions!$C$8*(1+Assumptions!$C$11)^1+Assumptions!$C$16*1+Assumptions!$C$6*Assumptions!$C$9*(1+Assumptions!$C$12)^1</f>
        <v>751.1295021</v>
      </c>
      <c r="M62" s="139">
        <f>Assumptions!$C$6*Assumptions!$C$7*(1+$G62-0.05*(1-$H62))^2+Assumptions!$C$6*Assumptions!$C$8*(1+Assumptions!$C$11)^2+Assumptions!$C$16*$H62+Assumptions!$C$6*Assumptions!$C$9*(1+Assumptions!$C$12)^2</f>
        <v>688.9105757</v>
      </c>
      <c r="N62" s="139">
        <f>Assumptions!$C$6*Assumptions!$C$7*(1+$G62-0.05*(1-$I62))^3+Assumptions!$C$6*Assumptions!$C$8*(1+Assumptions!$C$11)^3+Assumptions!$C$16*$I62+Assumptions!$C$6*Assumptions!$C$9*(1+Assumptions!$C$12)^3</f>
        <v>819.3321412</v>
      </c>
      <c r="O62" s="139">
        <f>Assumptions!$C$6*Assumptions!$C$7*(1+$G62-0.05*(1-$J62))^4+Assumptions!$C$6*Assumptions!$C$8*(1+Assumptions!$C$11)^4+Assumptions!$C$16*$J62+Assumptions!$C$6*Assumptions!$C$9*(1+Assumptions!$C$12)^4</f>
        <v>719.0948947</v>
      </c>
      <c r="P62" s="139">
        <f>Assumptions!$C$6*Assumptions!$C$7*(1+$G62-0.05*(1-$K62))^5+Assumptions!$C$6*Assumptions!$C$8*(1+Assumptions!$C$11)^5+Assumptions!$C$16*$K62+Assumptions!$C$6*Assumptions!$C$9*(1+Assumptions!$C$12)^5</f>
        <v>734.6822478</v>
      </c>
      <c r="Q62" s="139">
        <f>($L62*(1-(Assumptions!$C$25+0.06*(1-1))-Assumptions!$C$27)-Assumptions!$C$28)-MAX(0,($L62*(1-(Assumptions!$C$25+0.06*(1-1))-Assumptions!$C$27)-Assumptions!$C$28)*Assumptions!$C$31)+Assumptions!$C$28-Assumptions!$C$29-$L62*Assumptions!$C$30</f>
        <v>93.99284294</v>
      </c>
      <c r="R62" s="139">
        <f>($M62*(1-(Assumptions!$C$25+0.06*(1-$H62))-Assumptions!$C$27)-Assumptions!$C$28)-MAX(0,($M62*(1-(Assumptions!$C$25+0.06*(1-$H62))-Assumptions!$C$27)-Assumptions!$C$28)*Assumptions!$C$31)+Assumptions!$C$28-Assumptions!$C$29-$M62*Assumptions!$C$30</f>
        <v>38.44943241</v>
      </c>
      <c r="S62" s="139">
        <f>($N62*(1-(Assumptions!$C$25+0.06*(1-$I62))-Assumptions!$C$27)-Assumptions!$C$28)-MAX(0,($N62*(1-(Assumptions!$C$25+0.06*(1-$I62))-Assumptions!$C$27)-Assumptions!$C$28)*Assumptions!$C$31)+Assumptions!$C$28-Assumptions!$C$29-$N62*Assumptions!$C$30</f>
        <v>108.6564104</v>
      </c>
      <c r="T62" s="139">
        <f>($O62*(1-(Assumptions!$C$25+0.06*(1-$J62))-Assumptions!$C$27)-Assumptions!$C$28)-MAX(0,($O62*(1-(Assumptions!$C$25+0.06*(1-$J62))-Assumptions!$C$27)-Assumptions!$C$28)*Assumptions!$C$31)+Assumptions!$C$28-Assumptions!$C$29-$O62*Assumptions!$C$30</f>
        <v>45.39182578</v>
      </c>
      <c r="U62" s="139">
        <f>($P62*(1-(Assumptions!$C$25+0.06*(1-$K62))-Assumptions!$C$27)-Assumptions!$C$28)-MAX(0,($P62*(1-(Assumptions!$C$25+0.06*(1-$K62))-Assumptions!$C$27)-Assumptions!$C$28)*Assumptions!$C$31)+Assumptions!$C$28-Assumptions!$C$29-$P62*Assumptions!$C$30</f>
        <v>48.97691698</v>
      </c>
      <c r="V62" s="143">
        <f>(($Q62/(1+$D62)^1+$R62/(1+$D62)^2+$S62/(1+$D62)^3+$T62/(1+$D62)^4+$U62/(1+$D62)^5+$U62*(1+$E62)/($D62-$E62)/(1+$D62)^5)-Assumptions!$C$37)/Assumptions!$C$40/Assumptions!$C$38</f>
        <v>0.1207664592</v>
      </c>
    </row>
    <row r="63" ht="12.0" customHeight="1">
      <c r="B63" s="139">
        <v>11.0</v>
      </c>
      <c r="C63" s="140">
        <f t="shared" si="6"/>
        <v>0.1532862975</v>
      </c>
      <c r="D63" s="141">
        <f t="shared" si="7"/>
        <v>0.09220860977</v>
      </c>
      <c r="E63" s="141">
        <f t="shared" si="8"/>
        <v>0.02437314489</v>
      </c>
      <c r="F63" s="140">
        <f t="shared" si="9"/>
        <v>0.6985323156</v>
      </c>
      <c r="G63" s="141">
        <f t="shared" si="10"/>
        <v>0.0667053261</v>
      </c>
      <c r="H63" s="142">
        <f t="shared" si="11"/>
        <v>1</v>
      </c>
      <c r="I63" s="142">
        <f t="shared" si="12"/>
        <v>1</v>
      </c>
      <c r="J63" s="142">
        <f t="shared" si="13"/>
        <v>0</v>
      </c>
      <c r="K63" s="142">
        <f t="shared" si="14"/>
        <v>1</v>
      </c>
      <c r="L63" s="139">
        <f>Assumptions!$C$6*Assumptions!$C$7*(1+$G63-0.05*(1-1))^1+Assumptions!$C$6*Assumptions!$C$8*(1+Assumptions!$C$11)^1+Assumptions!$C$16*1+Assumptions!$C$6*Assumptions!$C$9*(1+Assumptions!$C$12)^1</f>
        <v>748.9210128</v>
      </c>
      <c r="M63" s="139">
        <f>Assumptions!$C$6*Assumptions!$C$7*(1+$G63-0.05*(1-$H63))^2+Assumptions!$C$6*Assumptions!$C$8*(1+Assumptions!$C$11)^2+Assumptions!$C$16*$H63+Assumptions!$C$6*Assumptions!$C$9*(1+Assumptions!$C$12)^2</f>
        <v>779.4691211</v>
      </c>
      <c r="N63" s="139">
        <f>Assumptions!$C$6*Assumptions!$C$7*(1+$G63-0.05*(1-$I63))^3+Assumptions!$C$6*Assumptions!$C$8*(1+Assumptions!$C$11)^3+Assumptions!$C$16*$I63+Assumptions!$C$6*Assumptions!$C$9*(1+Assumptions!$C$12)^3</f>
        <v>811.7468191</v>
      </c>
      <c r="O63" s="139">
        <f>Assumptions!$C$6*Assumptions!$C$7*(1+$G63-0.05*(1-$J63))^4+Assumptions!$C$6*Assumptions!$C$8*(1+Assumptions!$C$11)^4+Assumptions!$C$16*$J63+Assumptions!$C$6*Assumptions!$C$9*(1+Assumptions!$C$12)^4</f>
        <v>709.7205202</v>
      </c>
      <c r="P63" s="139">
        <f>Assumptions!$C$6*Assumptions!$C$7*(1+$G63-0.05*(1-$K63))^5+Assumptions!$C$6*Assumptions!$C$8*(1+Assumptions!$C$11)^5+Assumptions!$C$16*$K63+Assumptions!$C$6*Assumptions!$C$9*(1+Assumptions!$C$12)^5</f>
        <v>881.9349865</v>
      </c>
      <c r="Q63" s="139">
        <f>($L63*(1-(Assumptions!$C$25+0.06*(1-1))-Assumptions!$C$27)-Assumptions!$C$28)-MAX(0,($L63*(1-(Assumptions!$C$25+0.06*(1-1))-Assumptions!$C$27)-Assumptions!$C$28)*Assumptions!$C$31)+Assumptions!$C$28-Assumptions!$C$29-$L63*Assumptions!$C$30</f>
        <v>93.51801774</v>
      </c>
      <c r="R63" s="139">
        <f>($M63*(1-(Assumptions!$C$25+0.06*(1-$H63))-Assumptions!$C$27)-Assumptions!$C$28)-MAX(0,($M63*(1-(Assumptions!$C$25+0.06*(1-$H63))-Assumptions!$C$27)-Assumptions!$C$28)*Assumptions!$C$31)+Assumptions!$C$28-Assumptions!$C$29-$M63*Assumptions!$C$30</f>
        <v>100.085861</v>
      </c>
      <c r="S63" s="139">
        <f>($N63*(1-(Assumptions!$C$25+0.06*(1-$I63))-Assumptions!$C$27)-Assumptions!$C$28)-MAX(0,($N63*(1-(Assumptions!$C$25+0.06*(1-$I63))-Assumptions!$C$27)-Assumptions!$C$28)*Assumptions!$C$31)+Assumptions!$C$28-Assumptions!$C$29-$N63*Assumptions!$C$30</f>
        <v>107.0255661</v>
      </c>
      <c r="T63" s="139">
        <f>($O63*(1-(Assumptions!$C$25+0.06*(1-$J63))-Assumptions!$C$27)-Assumptions!$C$28)-MAX(0,($O63*(1-(Assumptions!$C$25+0.06*(1-$J63))-Assumptions!$C$27)-Assumptions!$C$28)*Assumptions!$C$31)+Assumptions!$C$28-Assumptions!$C$29-$O63*Assumptions!$C$30</f>
        <v>43.23571965</v>
      </c>
      <c r="U63" s="139">
        <f>($P63*(1-(Assumptions!$C$25+0.06*(1-$K63))-Assumptions!$C$27)-Assumptions!$C$28)-MAX(0,($P63*(1-(Assumptions!$C$25+0.06*(1-$K63))-Assumptions!$C$27)-Assumptions!$C$28)*Assumptions!$C$31)+Assumptions!$C$28-Assumptions!$C$29-$P63*Assumptions!$C$30</f>
        <v>122.1160221</v>
      </c>
      <c r="V63" s="143">
        <f>(($Q63/(1+$D63)^1+$R63/(1+$D63)^2+$S63/(1+$D63)^3+$T63/(1+$D63)^4+$U63/(1+$D63)^5+$U63*(1+$E63)/($D63-$E63)/(1+$D63)^5)-Assumptions!$C$37)/Assumptions!$C$40/Assumptions!$C$38</f>
        <v>6.675172718</v>
      </c>
    </row>
    <row r="64" ht="12.0" customHeight="1">
      <c r="B64" s="139">
        <v>12.0</v>
      </c>
      <c r="C64" s="140">
        <f t="shared" si="6"/>
        <v>0.1200633111</v>
      </c>
      <c r="D64" s="141">
        <f t="shared" si="7"/>
        <v>0.09137976978</v>
      </c>
      <c r="E64" s="141">
        <f t="shared" si="8"/>
        <v>0.01937432686</v>
      </c>
      <c r="F64" s="140">
        <f t="shared" si="9"/>
        <v>0.612054709</v>
      </c>
      <c r="G64" s="141">
        <f t="shared" si="10"/>
        <v>0.06357460457</v>
      </c>
      <c r="H64" s="142">
        <f t="shared" si="11"/>
        <v>0</v>
      </c>
      <c r="I64" s="142">
        <f t="shared" si="12"/>
        <v>1</v>
      </c>
      <c r="J64" s="142">
        <f t="shared" si="13"/>
        <v>1</v>
      </c>
      <c r="K64" s="142">
        <f t="shared" si="14"/>
        <v>1</v>
      </c>
      <c r="L64" s="139">
        <f>Assumptions!$C$6*Assumptions!$C$7*(1+$G64-0.05*(1-1))^1+Assumptions!$C$6*Assumptions!$C$8*(1+Assumptions!$C$11)^1+Assumptions!$C$16*1+Assumptions!$C$6*Assumptions!$C$9*(1+Assumptions!$C$12)^1</f>
        <v>747.8672119</v>
      </c>
      <c r="M64" s="139">
        <f>Assumptions!$C$6*Assumptions!$C$7*(1+$G64-0.05*(1-$H64))^2+Assumptions!$C$6*Assumptions!$C$8*(1+Assumptions!$C$11)^2+Assumptions!$C$16*$H64+Assumptions!$C$6*Assumptions!$C$9*(1+Assumptions!$C$12)^2</f>
        <v>682.265809</v>
      </c>
      <c r="N64" s="139">
        <f>Assumptions!$C$6*Assumptions!$C$7*(1+$G64-0.05*(1-$I64))^3+Assumptions!$C$6*Assumptions!$C$8*(1+Assumptions!$C$11)^3+Assumptions!$C$16*$I64+Assumptions!$C$6*Assumptions!$C$9*(1+Assumptions!$C$12)^3</f>
        <v>808.160132</v>
      </c>
      <c r="O64" s="139">
        <f>Assumptions!$C$6*Assumptions!$C$7*(1+$G64-0.05*(1-$J64))^4+Assumptions!$C$6*Assumptions!$C$8*(1+Assumptions!$C$11)^4+Assumptions!$C$16*$J64+Assumptions!$C$6*Assumptions!$C$9*(1+Assumptions!$C$12)^4</f>
        <v>840.7695447</v>
      </c>
      <c r="P64" s="139">
        <f>Assumptions!$C$6*Assumptions!$C$7*(1+$G64-0.05*(1-$K64))^5+Assumptions!$C$6*Assumptions!$C$8*(1+Assumptions!$C$11)^5+Assumptions!$C$16*$K64+Assumptions!$C$6*Assumptions!$C$9*(1+Assumptions!$C$12)^5</f>
        <v>875.1529964</v>
      </c>
      <c r="Q64" s="139">
        <f>($L64*(1-(Assumptions!$C$25+0.06*(1-1))-Assumptions!$C$27)-Assumptions!$C$28)-MAX(0,($L64*(1-(Assumptions!$C$25+0.06*(1-1))-Assumptions!$C$27)-Assumptions!$C$28)*Assumptions!$C$31)+Assumptions!$C$28-Assumptions!$C$29-$L64*Assumptions!$C$30</f>
        <v>93.29145056</v>
      </c>
      <c r="R64" s="139">
        <f>($M64*(1-(Assumptions!$C$25+0.06*(1-$H64))-Assumptions!$C$27)-Assumptions!$C$28)-MAX(0,($M64*(1-(Assumptions!$C$25+0.06*(1-$H64))-Assumptions!$C$27)-Assumptions!$C$28)*Assumptions!$C$31)+Assumptions!$C$28-Assumptions!$C$29-$M64*Assumptions!$C$30</f>
        <v>36.92113608</v>
      </c>
      <c r="S64" s="139">
        <f>($N64*(1-(Assumptions!$C$25+0.06*(1-$I64))-Assumptions!$C$27)-Assumptions!$C$28)-MAX(0,($N64*(1-(Assumptions!$C$25+0.06*(1-$I64))-Assumptions!$C$27)-Assumptions!$C$28)*Assumptions!$C$31)+Assumptions!$C$28-Assumptions!$C$29-$N64*Assumptions!$C$30</f>
        <v>106.2544284</v>
      </c>
      <c r="T64" s="139">
        <f>($O64*(1-(Assumptions!$C$25+0.06*(1-$J64))-Assumptions!$C$27)-Assumptions!$C$28)-MAX(0,($O64*(1-(Assumptions!$C$25+0.06*(1-$J64))-Assumptions!$C$27)-Assumptions!$C$28)*Assumptions!$C$31)+Assumptions!$C$28-Assumptions!$C$29-$O64*Assumptions!$C$30</f>
        <v>113.2654521</v>
      </c>
      <c r="U64" s="139">
        <f>($P64*(1-(Assumptions!$C$25+0.06*(1-$K64))-Assumptions!$C$27)-Assumptions!$C$28)-MAX(0,($P64*(1-(Assumptions!$C$25+0.06*(1-$K64))-Assumptions!$C$27)-Assumptions!$C$28)*Assumptions!$C$31)+Assumptions!$C$28-Assumptions!$C$29-$P64*Assumptions!$C$30</f>
        <v>120.6578942</v>
      </c>
      <c r="V64" s="143">
        <f>(($Q64/(1+$D64)^1+$R64/(1+$D64)^2+$S64/(1+$D64)^3+$T64/(1+$D64)^4+$U64/(1+$D64)^5+$U64*(1+$E64)/($D64-$E64)/(1+$D64)^5)-Assumptions!$C$37)/Assumptions!$C$40/Assumptions!$C$38</f>
        <v>5.989153766</v>
      </c>
    </row>
    <row r="65" ht="12.0" customHeight="1">
      <c r="B65" s="139">
        <v>13.0</v>
      </c>
      <c r="C65" s="140">
        <f t="shared" si="6"/>
        <v>0.5840144775</v>
      </c>
      <c r="D65" s="141">
        <f t="shared" si="7"/>
        <v>0.09972361698</v>
      </c>
      <c r="E65" s="141">
        <f t="shared" si="8"/>
        <v>0.01986550524</v>
      </c>
      <c r="F65" s="140">
        <f t="shared" si="9"/>
        <v>0.5295171357</v>
      </c>
      <c r="G65" s="141">
        <f t="shared" si="10"/>
        <v>0.0608989836</v>
      </c>
      <c r="H65" s="142">
        <f t="shared" si="11"/>
        <v>0</v>
      </c>
      <c r="I65" s="142">
        <f t="shared" si="12"/>
        <v>1</v>
      </c>
      <c r="J65" s="142">
        <f t="shared" si="13"/>
        <v>1</v>
      </c>
      <c r="K65" s="142">
        <f t="shared" si="14"/>
        <v>1</v>
      </c>
      <c r="L65" s="139">
        <f>Assumptions!$C$6*Assumptions!$C$7*(1+$G65-0.05*(1-1))^1+Assumptions!$C$6*Assumptions!$C$8*(1+Assumptions!$C$11)^1+Assumptions!$C$16*1+Assumptions!$C$6*Assumptions!$C$9*(1+Assumptions!$C$12)^1</f>
        <v>746.9665979</v>
      </c>
      <c r="M65" s="139">
        <f>Assumptions!$C$6*Assumptions!$C$7*(1+$G65-0.05*(1-$H65))^2+Assumptions!$C$6*Assumptions!$C$8*(1+Assumptions!$C$11)^2+Assumptions!$C$16*$H65+Assumptions!$C$6*Assumptions!$C$9*(1+Assumptions!$C$12)^2</f>
        <v>680.4425397</v>
      </c>
      <c r="N65" s="139">
        <f>Assumptions!$C$6*Assumptions!$C$7*(1+$G65-0.05*(1-$I65))^3+Assumptions!$C$6*Assumptions!$C$8*(1+Assumptions!$C$11)^3+Assumptions!$C$16*$I65+Assumptions!$C$6*Assumptions!$C$9*(1+Assumptions!$C$12)^3</f>
        <v>805.111515</v>
      </c>
      <c r="O65" s="139">
        <f>Assumptions!$C$6*Assumptions!$C$7*(1+$G65-0.05*(1-$J65))^4+Assumptions!$C$6*Assumptions!$C$8*(1+Assumptions!$C$11)^4+Assumptions!$C$16*$J65+Assumptions!$C$6*Assumptions!$C$9*(1+Assumptions!$C$12)^4</f>
        <v>836.4517359</v>
      </c>
      <c r="P65" s="139">
        <f>Assumptions!$C$6*Assumptions!$C$7*(1+$G65-0.05*(1-$K65))^5+Assumptions!$C$6*Assumptions!$C$8*(1+Assumptions!$C$11)^5+Assumptions!$C$16*$K65+Assumptions!$C$6*Assumptions!$C$9*(1+Assumptions!$C$12)^5</f>
        <v>869.4198181</v>
      </c>
      <c r="Q65" s="139">
        <f>($L65*(1-(Assumptions!$C$25+0.06*(1-1))-Assumptions!$C$27)-Assumptions!$C$28)-MAX(0,($L65*(1-(Assumptions!$C$25+0.06*(1-1))-Assumptions!$C$27)-Assumptions!$C$28)*Assumptions!$C$31)+Assumptions!$C$28-Assumptions!$C$29-$L65*Assumptions!$C$30</f>
        <v>93.09781854</v>
      </c>
      <c r="R65" s="139">
        <f>($M65*(1-(Assumptions!$C$25+0.06*(1-$H65))-Assumptions!$C$27)-Assumptions!$C$28)-MAX(0,($M65*(1-(Assumptions!$C$25+0.06*(1-$H65))-Assumptions!$C$27)-Assumptions!$C$28)*Assumptions!$C$31)+Assumptions!$C$28-Assumptions!$C$29-$M65*Assumptions!$C$30</f>
        <v>36.50178414</v>
      </c>
      <c r="S65" s="139">
        <f>($N65*(1-(Assumptions!$C$25+0.06*(1-$I65))-Assumptions!$C$27)-Assumptions!$C$28)-MAX(0,($N65*(1-(Assumptions!$C$25+0.06*(1-$I65))-Assumptions!$C$27)-Assumptions!$C$28)*Assumptions!$C$31)+Assumptions!$C$28-Assumptions!$C$29-$N65*Assumptions!$C$30</f>
        <v>105.5989757</v>
      </c>
      <c r="T65" s="139">
        <f>($O65*(1-(Assumptions!$C$25+0.06*(1-$J65))-Assumptions!$C$27)-Assumptions!$C$28)-MAX(0,($O65*(1-(Assumptions!$C$25+0.06*(1-$J65))-Assumptions!$C$27)-Assumptions!$C$28)*Assumptions!$C$31)+Assumptions!$C$28-Assumptions!$C$29-$O65*Assumptions!$C$30</f>
        <v>112.3371232</v>
      </c>
      <c r="U65" s="139">
        <f>($P65*(1-(Assumptions!$C$25+0.06*(1-$K65))-Assumptions!$C$27)-Assumptions!$C$28)-MAX(0,($P65*(1-(Assumptions!$C$25+0.06*(1-$K65))-Assumptions!$C$27)-Assumptions!$C$28)*Assumptions!$C$31)+Assumptions!$C$28-Assumptions!$C$29-$P65*Assumptions!$C$30</f>
        <v>119.4252609</v>
      </c>
      <c r="V65" s="143">
        <f>(($Q65/(1+$D65)^1+$R65/(1+$D65)^2+$S65/(1+$D65)^3+$T65/(1+$D65)^4+$U65/(1+$D65)^5+$U65*(1+$E65)/($D65-$E65)/(1+$D65)^5)-Assumptions!$C$37)/Assumptions!$C$40/Assumptions!$C$38</f>
        <v>4.696367061</v>
      </c>
    </row>
    <row r="66" ht="12.0" customHeight="1">
      <c r="B66" s="139">
        <v>14.0</v>
      </c>
      <c r="C66" s="140">
        <f t="shared" si="6"/>
        <v>0.2366695447</v>
      </c>
      <c r="D66" s="141">
        <f t="shared" si="7"/>
        <v>0.09395717454</v>
      </c>
      <c r="E66" s="141">
        <f t="shared" si="8"/>
        <v>0.02226025081</v>
      </c>
      <c r="F66" s="140">
        <f t="shared" si="9"/>
        <v>0.7103200293</v>
      </c>
      <c r="G66" s="141">
        <f t="shared" si="10"/>
        <v>0.06716529073</v>
      </c>
      <c r="H66" s="142">
        <f t="shared" si="11"/>
        <v>0</v>
      </c>
      <c r="I66" s="142">
        <f t="shared" si="12"/>
        <v>1</v>
      </c>
      <c r="J66" s="142">
        <f t="shared" si="13"/>
        <v>1</v>
      </c>
      <c r="K66" s="142">
        <f t="shared" si="14"/>
        <v>1</v>
      </c>
      <c r="L66" s="139">
        <f>Assumptions!$C$6*Assumptions!$C$7*(1+$G66-0.05*(1-1))^1+Assumptions!$C$6*Assumptions!$C$8*(1+Assumptions!$C$11)^1+Assumptions!$C$16*1+Assumptions!$C$6*Assumptions!$C$9*(1+Assumptions!$C$12)^1</f>
        <v>749.0758369</v>
      </c>
      <c r="M66" s="139">
        <f>Assumptions!$C$6*Assumptions!$C$7*(1+$G66-0.05*(1-$H66))^2+Assumptions!$C$6*Assumptions!$C$8*(1+Assumptions!$C$11)^2+Assumptions!$C$16*$H66+Assumptions!$C$6*Assumptions!$C$9*(1+Assumptions!$C$12)^2</f>
        <v>684.720212</v>
      </c>
      <c r="N66" s="139">
        <f>Assumptions!$C$6*Assumptions!$C$7*(1+$G66-0.05*(1-$I66))^3+Assumptions!$C$6*Assumptions!$C$8*(1+Assumptions!$C$11)^3+Assumptions!$C$16*$I66+Assumptions!$C$6*Assumptions!$C$9*(1+Assumptions!$C$12)^3</f>
        <v>812.2755515</v>
      </c>
      <c r="O66" s="139">
        <f>Assumptions!$C$6*Assumptions!$C$7*(1+$G66-0.05*(1-$J66))^4+Assumptions!$C$6*Assumptions!$C$8*(1+Assumptions!$C$11)^4+Assumptions!$C$16*$J66+Assumptions!$C$6*Assumptions!$C$9*(1+Assumptions!$C$12)^4</f>
        <v>846.6154814</v>
      </c>
      <c r="P66" s="139">
        <f>Assumptions!$C$6*Assumptions!$C$7*(1+$G66-0.05*(1-$K66))^5+Assumptions!$C$6*Assumptions!$C$8*(1+Assumptions!$C$11)^5+Assumptions!$C$16*$K66+Assumptions!$C$6*Assumptions!$C$9*(1+Assumptions!$C$12)^5</f>
        <v>882.9381251</v>
      </c>
      <c r="Q66" s="139">
        <f>($L66*(1-(Assumptions!$C$25+0.06*(1-1))-Assumptions!$C$27)-Assumptions!$C$28)-MAX(0,($L66*(1-(Assumptions!$C$25+0.06*(1-1))-Assumptions!$C$27)-Assumptions!$C$28)*Assumptions!$C$31)+Assumptions!$C$28-Assumptions!$C$29-$L66*Assumptions!$C$30</f>
        <v>93.55130493</v>
      </c>
      <c r="R66" s="139">
        <f>($M66*(1-(Assumptions!$C$25+0.06*(1-$H66))-Assumptions!$C$27)-Assumptions!$C$28)-MAX(0,($M66*(1-(Assumptions!$C$25+0.06*(1-$H66))-Assumptions!$C$27)-Assumptions!$C$28)*Assumptions!$C$31)+Assumptions!$C$28-Assumptions!$C$29-$M66*Assumptions!$C$30</f>
        <v>37.48564875</v>
      </c>
      <c r="S66" s="139">
        <f>($N66*(1-(Assumptions!$C$25+0.06*(1-$I66))-Assumptions!$C$27)-Assumptions!$C$28)-MAX(0,($N66*(1-(Assumptions!$C$25+0.06*(1-$I66))-Assumptions!$C$27)-Assumptions!$C$28)*Assumptions!$C$31)+Assumptions!$C$28-Assumptions!$C$29-$N66*Assumptions!$C$30</f>
        <v>107.1392436</v>
      </c>
      <c r="T66" s="139">
        <f>($O66*(1-(Assumptions!$C$25+0.06*(1-$J66))-Assumptions!$C$27)-Assumptions!$C$28)-MAX(0,($O66*(1-(Assumptions!$C$25+0.06*(1-$J66))-Assumptions!$C$27)-Assumptions!$C$28)*Assumptions!$C$31)+Assumptions!$C$28-Assumptions!$C$29-$O66*Assumptions!$C$30</f>
        <v>114.5223285</v>
      </c>
      <c r="U66" s="139">
        <f>($P66*(1-(Assumptions!$C$25+0.06*(1-$K66))-Assumptions!$C$27)-Assumptions!$C$28)-MAX(0,($P66*(1-(Assumptions!$C$25+0.06*(1-$K66))-Assumptions!$C$27)-Assumptions!$C$28)*Assumptions!$C$31)+Assumptions!$C$28-Assumptions!$C$29-$P66*Assumptions!$C$30</f>
        <v>122.3316969</v>
      </c>
      <c r="V66" s="143">
        <f>(($Q66/(1+$D66)^1+$R66/(1+$D66)^2+$S66/(1+$D66)^3+$T66/(1+$D66)^4+$U66/(1+$D66)^5+$U66*(1+$E66)/($D66-$E66)/(1+$D66)^5)-Assumptions!$C$37)/Assumptions!$C$40/Assumptions!$C$38</f>
        <v>6.073693649</v>
      </c>
    </row>
    <row r="67" ht="12.0" customHeight="1">
      <c r="B67" s="139">
        <v>15.0</v>
      </c>
      <c r="C67" s="140">
        <f t="shared" si="6"/>
        <v>0.2186032889</v>
      </c>
      <c r="D67" s="141">
        <f t="shared" si="7"/>
        <v>0.0936085141</v>
      </c>
      <c r="E67" s="141">
        <f t="shared" si="8"/>
        <v>0.02451720169</v>
      </c>
      <c r="F67" s="140">
        <f t="shared" si="9"/>
        <v>0.7245093296</v>
      </c>
      <c r="G67" s="141">
        <f t="shared" si="10"/>
        <v>0.06773156479</v>
      </c>
      <c r="H67" s="142">
        <f t="shared" si="11"/>
        <v>1</v>
      </c>
      <c r="I67" s="142">
        <f t="shared" si="12"/>
        <v>1</v>
      </c>
      <c r="J67" s="142">
        <f t="shared" si="13"/>
        <v>1</v>
      </c>
      <c r="K67" s="142">
        <f t="shared" si="14"/>
        <v>1</v>
      </c>
      <c r="L67" s="139">
        <f>Assumptions!$C$6*Assumptions!$C$7*(1+$G67-0.05*(1-1))^1+Assumptions!$C$6*Assumptions!$C$8*(1+Assumptions!$C$11)^1+Assumptions!$C$16*1+Assumptions!$C$6*Assumptions!$C$9*(1+Assumptions!$C$12)^1</f>
        <v>749.2664447</v>
      </c>
      <c r="M67" s="139">
        <f>Assumptions!$C$6*Assumptions!$C$7*(1+$G67-0.05*(1-$H67))^2+Assumptions!$C$6*Assumptions!$C$8*(1+Assumptions!$C$11)^2+Assumptions!$C$16*$H67+Assumptions!$C$6*Assumptions!$C$9*(1+Assumptions!$C$12)^2</f>
        <v>780.2064238</v>
      </c>
      <c r="N67" s="139">
        <f>Assumptions!$C$6*Assumptions!$C$7*(1+$G67-0.05*(1-$I67))^3+Assumptions!$C$6*Assumptions!$C$8*(1+Assumptions!$C$11)^3+Assumptions!$C$16*$I67+Assumptions!$C$6*Assumptions!$C$9*(1+Assumptions!$C$12)^3</f>
        <v>812.9271137</v>
      </c>
      <c r="O67" s="139">
        <f>Assumptions!$C$6*Assumptions!$C$7*(1+$G67-0.05*(1-$J67))^4+Assumptions!$C$6*Assumptions!$C$8*(1+Assumptions!$C$11)^4+Assumptions!$C$16*$J67+Assumptions!$C$6*Assumptions!$C$9*(1+Assumptions!$C$12)^4</f>
        <v>847.5428268</v>
      </c>
      <c r="P67" s="139">
        <f>Assumptions!$C$6*Assumptions!$C$7*(1+$G67-0.05*(1-$K67))^5+Assumptions!$C$6*Assumptions!$C$8*(1+Assumptions!$C$11)^5+Assumptions!$C$16*$K67+Assumptions!$C$6*Assumptions!$C$9*(1+Assumptions!$C$12)^5</f>
        <v>884.1754919</v>
      </c>
      <c r="Q67" s="139">
        <f>($L67*(1-(Assumptions!$C$25+0.06*(1-1))-Assumptions!$C$27)-Assumptions!$C$28)-MAX(0,($L67*(1-(Assumptions!$C$25+0.06*(1-1))-Assumptions!$C$27)-Assumptions!$C$28)*Assumptions!$C$31)+Assumptions!$C$28-Assumptions!$C$29-$L67*Assumptions!$C$30</f>
        <v>93.59228561</v>
      </c>
      <c r="R67" s="139">
        <f>($M67*(1-(Assumptions!$C$25+0.06*(1-$H67))-Assumptions!$C$27)-Assumptions!$C$28)-MAX(0,($M67*(1-(Assumptions!$C$25+0.06*(1-$H67))-Assumptions!$C$27)-Assumptions!$C$28)*Assumptions!$C$31)+Assumptions!$C$28-Assumptions!$C$29-$M67*Assumptions!$C$30</f>
        <v>100.2443811</v>
      </c>
      <c r="S67" s="139">
        <f>($N67*(1-(Assumptions!$C$25+0.06*(1-$I67))-Assumptions!$C$27)-Assumptions!$C$28)-MAX(0,($N67*(1-(Assumptions!$C$25+0.06*(1-$I67))-Assumptions!$C$27)-Assumptions!$C$28)*Assumptions!$C$31)+Assumptions!$C$28-Assumptions!$C$29-$N67*Assumptions!$C$30</f>
        <v>107.2793294</v>
      </c>
      <c r="T67" s="139">
        <f>($O67*(1-(Assumptions!$C$25+0.06*(1-$J67))-Assumptions!$C$27)-Assumptions!$C$28)-MAX(0,($O67*(1-(Assumptions!$C$25+0.06*(1-$J67))-Assumptions!$C$27)-Assumptions!$C$28)*Assumptions!$C$31)+Assumptions!$C$28-Assumptions!$C$29-$O67*Assumptions!$C$30</f>
        <v>114.7217078</v>
      </c>
      <c r="U67" s="139">
        <f>($P67*(1-(Assumptions!$C$25+0.06*(1-$K67))-Assumptions!$C$27)-Assumptions!$C$28)-MAX(0,($P67*(1-(Assumptions!$C$25+0.06*(1-$K67))-Assumptions!$C$27)-Assumptions!$C$28)*Assumptions!$C$31)+Assumptions!$C$28-Assumptions!$C$29-$P67*Assumptions!$C$30</f>
        <v>122.5977308</v>
      </c>
      <c r="V67" s="143">
        <f>(($Q67/(1+$D67)^1+$R67/(1+$D67)^2+$S67/(1+$D67)^3+$T67/(1+$D67)^4+$U67/(1+$D67)^5+$U67*(1+$E67)/($D67-$E67)/(1+$D67)^5)-Assumptions!$C$37)/Assumptions!$C$40/Assumptions!$C$38</f>
        <v>6.871135557</v>
      </c>
    </row>
    <row r="68" ht="12.0" customHeight="1">
      <c r="B68" s="139">
        <v>16.0</v>
      </c>
      <c r="C68" s="140">
        <f t="shared" si="6"/>
        <v>0.9524207555</v>
      </c>
      <c r="D68" s="141">
        <f t="shared" si="7"/>
        <v>0.1098335741</v>
      </c>
      <c r="E68" s="141">
        <f t="shared" si="8"/>
        <v>0.01591966577</v>
      </c>
      <c r="F68" s="140">
        <f t="shared" si="9"/>
        <v>0.6509727494</v>
      </c>
      <c r="G68" s="141">
        <f t="shared" si="10"/>
        <v>0.06493510321</v>
      </c>
      <c r="H68" s="142">
        <f t="shared" si="11"/>
        <v>0</v>
      </c>
      <c r="I68" s="142">
        <f t="shared" si="12"/>
        <v>1</v>
      </c>
      <c r="J68" s="142">
        <f t="shared" si="13"/>
        <v>1</v>
      </c>
      <c r="K68" s="142">
        <f t="shared" si="14"/>
        <v>1</v>
      </c>
      <c r="L68" s="139">
        <f>Assumptions!$C$6*Assumptions!$C$7*(1+$G68-0.05*(1-1))^1+Assumptions!$C$6*Assumptions!$C$8*(1+Assumptions!$C$11)^1+Assumptions!$C$16*1+Assumptions!$C$6*Assumptions!$C$9*(1+Assumptions!$C$12)^1</f>
        <v>748.3251557</v>
      </c>
      <c r="M68" s="139">
        <f>Assumptions!$C$6*Assumptions!$C$7*(1+$G68-0.05*(1-$H68))^2+Assumptions!$C$6*Assumptions!$C$8*(1+Assumptions!$C$11)^2+Assumptions!$C$16*$H68+Assumptions!$C$6*Assumptions!$C$9*(1+Assumptions!$C$12)^2</f>
        <v>683.1947526</v>
      </c>
      <c r="N68" s="139">
        <f>Assumptions!$C$6*Assumptions!$C$7*(1+$G68-0.05*(1-$I68))^3+Assumptions!$C$6*Assumptions!$C$8*(1+Assumptions!$C$11)^3+Assumptions!$C$16*$I68+Assumptions!$C$6*Assumptions!$C$9*(1+Assumptions!$C$12)^3</f>
        <v>809.7161866</v>
      </c>
      <c r="O68" s="139">
        <f>Assumptions!$C$6*Assumptions!$C$7*(1+$G68-0.05*(1-$J68))^4+Assumptions!$C$6*Assumptions!$C$8*(1+Assumptions!$C$11)^4+Assumptions!$C$16*$J68+Assumptions!$C$6*Assumptions!$C$9*(1+Assumptions!$C$12)^4</f>
        <v>842.9775968</v>
      </c>
      <c r="P68" s="139">
        <f>Assumptions!$C$6*Assumptions!$C$7*(1+$G68-0.05*(1-$K68))^5+Assumptions!$C$6*Assumptions!$C$8*(1+Assumptions!$C$11)^5+Assumptions!$C$16*$K68+Assumptions!$C$6*Assumptions!$C$9*(1+Assumptions!$C$12)^5</f>
        <v>878.0904103</v>
      </c>
      <c r="Q68" s="139">
        <f>($L68*(1-(Assumptions!$C$25+0.06*(1-1))-Assumptions!$C$27)-Assumptions!$C$28)-MAX(0,($L68*(1-(Assumptions!$C$25+0.06*(1-1))-Assumptions!$C$27)-Assumptions!$C$28)*Assumptions!$C$31)+Assumptions!$C$28-Assumptions!$C$29-$L68*Assumptions!$C$30</f>
        <v>93.38990848</v>
      </c>
      <c r="R68" s="139">
        <f>($M68*(1-(Assumptions!$C$25+0.06*(1-$H68))-Assumptions!$C$27)-Assumptions!$C$28)-MAX(0,($M68*(1-(Assumptions!$C$25+0.06*(1-$H68))-Assumptions!$C$27)-Assumptions!$C$28)*Assumptions!$C$31)+Assumptions!$C$28-Assumptions!$C$29-$M68*Assumptions!$C$30</f>
        <v>37.13479309</v>
      </c>
      <c r="S68" s="139">
        <f>($N68*(1-(Assumptions!$C$25+0.06*(1-$I68))-Assumptions!$C$27)-Assumptions!$C$28)-MAX(0,($N68*(1-(Assumptions!$C$25+0.06*(1-$I68))-Assumptions!$C$27)-Assumptions!$C$28)*Assumptions!$C$31)+Assumptions!$C$28-Assumptions!$C$29-$N68*Assumptions!$C$30</f>
        <v>106.5889801</v>
      </c>
      <c r="T68" s="139">
        <f>($O68*(1-(Assumptions!$C$25+0.06*(1-$J68))-Assumptions!$C$27)-Assumptions!$C$28)-MAX(0,($O68*(1-(Assumptions!$C$25+0.06*(1-$J68))-Assumptions!$C$27)-Assumptions!$C$28)*Assumptions!$C$31)+Assumptions!$C$28-Assumptions!$C$29-$O68*Assumptions!$C$30</f>
        <v>113.7401833</v>
      </c>
      <c r="U68" s="139">
        <f>($P68*(1-(Assumptions!$C$25+0.06*(1-$K68))-Assumptions!$C$27)-Assumptions!$C$28)-MAX(0,($P68*(1-(Assumptions!$C$25+0.06*(1-$K68))-Assumptions!$C$27)-Assumptions!$C$28)*Assumptions!$C$31)+Assumptions!$C$28-Assumptions!$C$29-$P68*Assumptions!$C$30</f>
        <v>121.2894382</v>
      </c>
      <c r="V68" s="143">
        <f>(($Q68/(1+$D68)^1+$R68/(1+$D68)^2+$S68/(1+$D68)^3+$T68/(1+$D68)^4+$U68/(1+$D68)^5+$U68*(1+$E68)/($D68-$E68)/(1+$D68)^5)-Assumptions!$C$37)/Assumptions!$C$40/Assumptions!$C$38</f>
        <v>3.330701757</v>
      </c>
    </row>
    <row r="69" ht="12.0" customHeight="1">
      <c r="B69" s="139">
        <v>17.0</v>
      </c>
      <c r="C69" s="140">
        <f t="shared" si="6"/>
        <v>0.3077597301</v>
      </c>
      <c r="D69" s="141">
        <f t="shared" si="7"/>
        <v>0.09521423264</v>
      </c>
      <c r="E69" s="141">
        <f t="shared" si="8"/>
        <v>0.0263831279</v>
      </c>
      <c r="F69" s="140">
        <f t="shared" si="9"/>
        <v>0.4280722455</v>
      </c>
      <c r="G69" s="141">
        <f t="shared" si="10"/>
        <v>0.0577584229</v>
      </c>
      <c r="H69" s="142">
        <f t="shared" si="11"/>
        <v>1</v>
      </c>
      <c r="I69" s="142">
        <f t="shared" si="12"/>
        <v>1</v>
      </c>
      <c r="J69" s="142">
        <f t="shared" si="13"/>
        <v>0</v>
      </c>
      <c r="K69" s="142">
        <f t="shared" si="14"/>
        <v>1</v>
      </c>
      <c r="L69" s="139">
        <f>Assumptions!$C$6*Assumptions!$C$7*(1+$G69-0.05*(1-1))^1+Assumptions!$C$6*Assumptions!$C$8*(1+Assumptions!$C$11)^1+Assumptions!$C$16*1+Assumptions!$C$6*Assumptions!$C$9*(1+Assumptions!$C$12)^1</f>
        <v>745.9094851</v>
      </c>
      <c r="M69" s="139">
        <f>Assumptions!$C$6*Assumptions!$C$7*(1+$G69-0.05*(1-$H69))^2+Assumptions!$C$6*Assumptions!$C$8*(1+Assumptions!$C$11)^2+Assumptions!$C$16*$H69+Assumptions!$C$6*Assumptions!$C$9*(1+Assumptions!$C$12)^2</f>
        <v>773.0712398</v>
      </c>
      <c r="N69" s="139">
        <f>Assumptions!$C$6*Assumptions!$C$7*(1+$G69-0.05*(1-$I69))^3+Assumptions!$C$6*Assumptions!$C$8*(1+Assumptions!$C$11)^3+Assumptions!$C$16*$I69+Assumptions!$C$6*Assumptions!$C$9*(1+Assumptions!$C$12)^3</f>
        <v>801.5527087</v>
      </c>
      <c r="O69" s="139">
        <f>Assumptions!$C$6*Assumptions!$C$7*(1+$G69-0.05*(1-$J69))^4+Assumptions!$C$6*Assumptions!$C$8*(1+Assumptions!$C$11)^4+Assumptions!$C$16*$J69+Assumptions!$C$6*Assumptions!$C$9*(1+Assumptions!$C$12)^4</f>
        <v>697.2266972</v>
      </c>
      <c r="P69" s="139">
        <f>Assumptions!$C$6*Assumptions!$C$7*(1+$G69-0.05*(1-$K69))^5+Assumptions!$C$6*Assumptions!$C$8*(1+Assumptions!$C$11)^5+Assumptions!$C$16*$K69+Assumptions!$C$6*Assumptions!$C$9*(1+Assumptions!$C$12)^5</f>
        <v>862.7637742</v>
      </c>
      <c r="Q69" s="139">
        <f>($L69*(1-(Assumptions!$C$25+0.06*(1-1))-Assumptions!$C$27)-Assumptions!$C$28)-MAX(0,($L69*(1-(Assumptions!$C$25+0.06*(1-1))-Assumptions!$C$27)-Assumptions!$C$28)*Assumptions!$C$31)+Assumptions!$C$28-Assumptions!$C$29-$L69*Assumptions!$C$30</f>
        <v>92.87053931</v>
      </c>
      <c r="R69" s="139">
        <f>($M69*(1-(Assumptions!$C$25+0.06*(1-$H69))-Assumptions!$C$27)-Assumptions!$C$28)-MAX(0,($M69*(1-(Assumptions!$C$25+0.06*(1-$H69))-Assumptions!$C$27)-Assumptions!$C$28)*Assumptions!$C$31)+Assumptions!$C$28-Assumptions!$C$29-$M69*Assumptions!$C$30</f>
        <v>98.71031656</v>
      </c>
      <c r="S69" s="139">
        <f>($N69*(1-(Assumptions!$C$25+0.06*(1-$I69))-Assumptions!$C$27)-Assumptions!$C$28)-MAX(0,($N69*(1-(Assumptions!$C$25+0.06*(1-$I69))-Assumptions!$C$27)-Assumptions!$C$28)*Assumptions!$C$31)+Assumptions!$C$28-Assumptions!$C$29-$N69*Assumptions!$C$30</f>
        <v>104.8338324</v>
      </c>
      <c r="T69" s="139">
        <f>($O69*(1-(Assumptions!$C$25+0.06*(1-$J69))-Assumptions!$C$27)-Assumptions!$C$28)-MAX(0,($O69*(1-(Assumptions!$C$25+0.06*(1-$J69))-Assumptions!$C$27)-Assumptions!$C$28)*Assumptions!$C$31)+Assumptions!$C$28-Assumptions!$C$29-$O69*Assumptions!$C$30</f>
        <v>40.36214035</v>
      </c>
      <c r="U69" s="139">
        <f>($P69*(1-(Assumptions!$C$25+0.06*(1-$K69))-Assumptions!$C$27)-Assumptions!$C$28)-MAX(0,($P69*(1-(Assumptions!$C$25+0.06*(1-$K69))-Assumptions!$C$27)-Assumptions!$C$28)*Assumptions!$C$31)+Assumptions!$C$28-Assumptions!$C$29-$P69*Assumptions!$C$30</f>
        <v>117.9942115</v>
      </c>
      <c r="V69" s="143">
        <f>(($Q69/(1+$D69)^1+$R69/(1+$D69)^2+$S69/(1+$D69)^3+$T69/(1+$D69)^4+$U69/(1+$D69)^5+$U69*(1+$E69)/($D69-$E69)/(1+$D69)^5)-Assumptions!$C$37)/Assumptions!$C$40/Assumptions!$C$38</f>
        <v>6.045759449</v>
      </c>
    </row>
    <row r="70" ht="12.0" customHeight="1">
      <c r="B70" s="139">
        <v>18.0</v>
      </c>
      <c r="C70" s="140">
        <f t="shared" si="6"/>
        <v>0.1441098886</v>
      </c>
      <c r="D70" s="141">
        <f t="shared" si="7"/>
        <v>0.09198951016</v>
      </c>
      <c r="E70" s="141">
        <f t="shared" si="8"/>
        <v>0.02304898403</v>
      </c>
      <c r="F70" s="140">
        <f t="shared" si="9"/>
        <v>0.4368204696</v>
      </c>
      <c r="G70" s="141">
        <f t="shared" si="10"/>
        <v>0.05804062848</v>
      </c>
      <c r="H70" s="142">
        <f t="shared" si="11"/>
        <v>0</v>
      </c>
      <c r="I70" s="142">
        <f t="shared" si="12"/>
        <v>1</v>
      </c>
      <c r="J70" s="142">
        <f t="shared" si="13"/>
        <v>0</v>
      </c>
      <c r="K70" s="142">
        <f t="shared" si="14"/>
        <v>0</v>
      </c>
      <c r="L70" s="139">
        <f>Assumptions!$C$6*Assumptions!$C$7*(1+$G70-0.05*(1-1))^1+Assumptions!$C$6*Assumptions!$C$8*(1+Assumptions!$C$11)^1+Assumptions!$C$16*1+Assumptions!$C$6*Assumptions!$C$9*(1+Assumptions!$C$12)^1</f>
        <v>746.0044755</v>
      </c>
      <c r="M70" s="139">
        <f>Assumptions!$C$6*Assumptions!$C$7*(1+$G70-0.05*(1-$H70))^2+Assumptions!$C$6*Assumptions!$C$8*(1+Assumptions!$C$11)^2+Assumptions!$C$16*$H70+Assumptions!$C$6*Assumptions!$C$9*(1+Assumptions!$C$12)^2</f>
        <v>678.5000729</v>
      </c>
      <c r="N70" s="139">
        <f>Assumptions!$C$6*Assumptions!$C$7*(1+$G70-0.05*(1-$I70))^3+Assumptions!$C$6*Assumptions!$C$8*(1+Assumptions!$C$11)^3+Assumptions!$C$16*$I70+Assumptions!$C$6*Assumptions!$C$9*(1+Assumptions!$C$12)^3</f>
        <v>801.8716346</v>
      </c>
      <c r="O70" s="139">
        <f>Assumptions!$C$6*Assumptions!$C$7*(1+$G70-0.05*(1-$J70))^4+Assumptions!$C$6*Assumptions!$C$8*(1+Assumptions!$C$11)^4+Assumptions!$C$16*$J70+Assumptions!$C$6*Assumptions!$C$9*(1+Assumptions!$C$12)^4</f>
        <v>697.6157346</v>
      </c>
      <c r="P70" s="139">
        <f>Assumptions!$C$6*Assumptions!$C$7*(1+$G70-0.05*(1-$K70))^5+Assumptions!$C$6*Assumptions!$C$8*(1+Assumptions!$C$11)^5+Assumptions!$C$16*$K70+Assumptions!$C$6*Assumptions!$C$9*(1+Assumptions!$C$12)^5</f>
        <v>707.411484</v>
      </c>
      <c r="Q70" s="139">
        <f>($L70*(1-(Assumptions!$C$25+0.06*(1-1))-Assumptions!$C$27)-Assumptions!$C$28)-MAX(0,($L70*(1-(Assumptions!$C$25+0.06*(1-1))-Assumptions!$C$27)-Assumptions!$C$28)*Assumptions!$C$31)+Assumptions!$C$28-Assumptions!$C$29-$L70*Assumptions!$C$30</f>
        <v>92.89096224</v>
      </c>
      <c r="R70" s="139">
        <f>($M70*(1-(Assumptions!$C$25+0.06*(1-$H70))-Assumptions!$C$27)-Assumptions!$C$28)-MAX(0,($M70*(1-(Assumptions!$C$25+0.06*(1-$H70))-Assumptions!$C$27)-Assumptions!$C$28)*Assumptions!$C$31)+Assumptions!$C$28-Assumptions!$C$29-$M70*Assumptions!$C$30</f>
        <v>36.05501676</v>
      </c>
      <c r="S70" s="139">
        <f>($N70*(1-(Assumptions!$C$25+0.06*(1-$I70))-Assumptions!$C$27)-Assumptions!$C$28)-MAX(0,($N70*(1-(Assumptions!$C$25+0.06*(1-$I70))-Assumptions!$C$27)-Assumptions!$C$28)*Assumptions!$C$31)+Assumptions!$C$28-Assumptions!$C$29-$N70*Assumptions!$C$30</f>
        <v>104.9024014</v>
      </c>
      <c r="T70" s="139">
        <f>($O70*(1-(Assumptions!$C$25+0.06*(1-$J70))-Assumptions!$C$27)-Assumptions!$C$28)-MAX(0,($O70*(1-(Assumptions!$C$25+0.06*(1-$J70))-Assumptions!$C$27)-Assumptions!$C$28)*Assumptions!$C$31)+Assumptions!$C$28-Assumptions!$C$29-$O70*Assumptions!$C$30</f>
        <v>40.45161896</v>
      </c>
      <c r="U70" s="139">
        <f>($P70*(1-(Assumptions!$C$25+0.06*(1-$K70))-Assumptions!$C$27)-Assumptions!$C$28)-MAX(0,($P70*(1-(Assumptions!$C$25+0.06*(1-$K70))-Assumptions!$C$27)-Assumptions!$C$28)*Assumptions!$C$31)+Assumptions!$C$28-Assumptions!$C$29-$P70*Assumptions!$C$30</f>
        <v>42.70464131</v>
      </c>
      <c r="V70" s="143">
        <f>(($Q70/(1+$D70)^1+$R70/(1+$D70)^2+$S70/(1+$D70)^3+$T70/(1+$D70)^4+$U70/(1+$D70)^5+$U70*(1+$E70)/($D70-$E70)/(1+$D70)^5)-Assumptions!$C$37)/Assumptions!$C$40/Assumptions!$C$38</f>
        <v>-0.2477632914</v>
      </c>
    </row>
    <row r="71" ht="12.0" customHeight="1">
      <c r="B71" s="139">
        <v>19.0</v>
      </c>
      <c r="C71" s="140">
        <f t="shared" si="6"/>
        <v>0.4713537907</v>
      </c>
      <c r="D71" s="141">
        <f t="shared" si="7"/>
        <v>0.09777877695</v>
      </c>
      <c r="E71" s="141">
        <f t="shared" si="8"/>
        <v>0.02877072893</v>
      </c>
      <c r="F71" s="140">
        <f t="shared" si="9"/>
        <v>0.4865749575</v>
      </c>
      <c r="G71" s="141">
        <f t="shared" si="10"/>
        <v>0.05959450833</v>
      </c>
      <c r="H71" s="142">
        <f t="shared" si="11"/>
        <v>1</v>
      </c>
      <c r="I71" s="142">
        <f t="shared" si="12"/>
        <v>1</v>
      </c>
      <c r="J71" s="142">
        <f t="shared" si="13"/>
        <v>1</v>
      </c>
      <c r="K71" s="142">
        <f t="shared" si="14"/>
        <v>1</v>
      </c>
      <c r="L71" s="139">
        <f>Assumptions!$C$6*Assumptions!$C$7*(1+$G71-0.05*(1-1))^1+Assumptions!$C$6*Assumptions!$C$8*(1+Assumptions!$C$11)^1+Assumptions!$C$16*1+Assumptions!$C$6*Assumptions!$C$9*(1+Assumptions!$C$12)^1</f>
        <v>746.5275115</v>
      </c>
      <c r="M71" s="139">
        <f>Assumptions!$C$6*Assumptions!$C$7*(1+$G71-0.05*(1-$H71))^2+Assumptions!$C$6*Assumptions!$C$8*(1+Assumptions!$C$11)^2+Assumptions!$C$16*$H71+Assumptions!$C$6*Assumptions!$C$9*(1+Assumptions!$C$12)^2</f>
        <v>774.3798197</v>
      </c>
      <c r="N71" s="139">
        <f>Assumptions!$C$6*Assumptions!$C$7*(1+$G71-0.05*(1-$I71))^3+Assumptions!$C$6*Assumptions!$C$8*(1+Assumptions!$C$11)^3+Assumptions!$C$16*$I71+Assumptions!$C$6*Assumptions!$C$9*(1+Assumptions!$C$12)^3</f>
        <v>803.6307534</v>
      </c>
      <c r="O71" s="139">
        <f>Assumptions!$C$6*Assumptions!$C$7*(1+$G71-0.05*(1-$J71))^4+Assumptions!$C$6*Assumptions!$C$8*(1+Assumptions!$C$11)^4+Assumptions!$C$16*$J71+Assumptions!$C$6*Assumptions!$C$9*(1+Assumptions!$C$12)^4</f>
        <v>834.3584384</v>
      </c>
      <c r="P71" s="139">
        <f>Assumptions!$C$6*Assumptions!$C$7*(1+$G71-0.05*(1-$K71))^5+Assumptions!$C$6*Assumptions!$C$8*(1+Assumptions!$C$11)^5+Assumptions!$C$16*$K71+Assumptions!$C$6*Assumptions!$C$9*(1+Assumptions!$C$12)^5</f>
        <v>866.6455522</v>
      </c>
      <c r="Q71" s="139">
        <f>($L71*(1-(Assumptions!$C$25+0.06*(1-1))-Assumptions!$C$27)-Assumptions!$C$28)-MAX(0,($L71*(1-(Assumptions!$C$25+0.06*(1-1))-Assumptions!$C$27)-Assumptions!$C$28)*Assumptions!$C$31)+Assumptions!$C$28-Assumptions!$C$29-$L71*Assumptions!$C$30</f>
        <v>93.00341497</v>
      </c>
      <c r="R71" s="139">
        <f>($M71*(1-(Assumptions!$C$25+0.06*(1-$H71))-Assumptions!$C$27)-Assumptions!$C$28)-MAX(0,($M71*(1-(Assumptions!$C$25+0.06*(1-$H71))-Assumptions!$C$27)-Assumptions!$C$28)*Assumptions!$C$31)+Assumptions!$C$28-Assumptions!$C$29-$M71*Assumptions!$C$30</f>
        <v>98.99166124</v>
      </c>
      <c r="S71" s="139">
        <f>($N71*(1-(Assumptions!$C$25+0.06*(1-$I71))-Assumptions!$C$27)-Assumptions!$C$28)-MAX(0,($N71*(1-(Assumptions!$C$25+0.06*(1-$I71))-Assumptions!$C$27)-Assumptions!$C$28)*Assumptions!$C$31)+Assumptions!$C$28-Assumptions!$C$29-$N71*Assumptions!$C$30</f>
        <v>105.280612</v>
      </c>
      <c r="T71" s="139">
        <f>($O71*(1-(Assumptions!$C$25+0.06*(1-$J71))-Assumptions!$C$27)-Assumptions!$C$28)-MAX(0,($O71*(1-(Assumptions!$C$25+0.06*(1-$J71))-Assumptions!$C$27)-Assumptions!$C$28)*Assumptions!$C$31)+Assumptions!$C$28-Assumptions!$C$29-$O71*Assumptions!$C$30</f>
        <v>111.8870642</v>
      </c>
      <c r="U71" s="139">
        <f>($P71*(1-(Assumptions!$C$25+0.06*(1-$K71))-Assumptions!$C$27)-Assumptions!$C$28)-MAX(0,($P71*(1-(Assumptions!$C$25+0.06*(1-$K71))-Assumptions!$C$27)-Assumptions!$C$28)*Assumptions!$C$31)+Assumptions!$C$28-Assumptions!$C$29-$P71*Assumptions!$C$30</f>
        <v>118.8287937</v>
      </c>
      <c r="V71" s="143">
        <f>(($Q71/(1+$D71)^1+$R71/(1+$D71)^2+$S71/(1+$D71)^3+$T71/(1+$D71)^4+$U71/(1+$D71)^5+$U71*(1+$E71)/($D71-$E71)/(1+$D71)^5)-Assumptions!$C$37)/Assumptions!$C$40/Assumptions!$C$38</f>
        <v>6.379349045</v>
      </c>
    </row>
    <row r="72" ht="12.0" customHeight="1">
      <c r="B72" s="139">
        <v>20.0</v>
      </c>
      <c r="C72" s="140">
        <f t="shared" si="6"/>
        <v>0.8519445231</v>
      </c>
      <c r="D72" s="141">
        <f t="shared" si="7"/>
        <v>0.1058863222</v>
      </c>
      <c r="E72" s="141">
        <f t="shared" si="8"/>
        <v>0.02861898188</v>
      </c>
      <c r="F72" s="140">
        <f t="shared" si="9"/>
        <v>0.9616048288</v>
      </c>
      <c r="G72" s="141">
        <f t="shared" si="10"/>
        <v>0.08168667887</v>
      </c>
      <c r="H72" s="142">
        <f t="shared" si="11"/>
        <v>0</v>
      </c>
      <c r="I72" s="142">
        <f t="shared" si="12"/>
        <v>0</v>
      </c>
      <c r="J72" s="142">
        <f t="shared" si="13"/>
        <v>0</v>
      </c>
      <c r="K72" s="142">
        <f t="shared" si="14"/>
        <v>0</v>
      </c>
      <c r="L72" s="139">
        <f>Assumptions!$C$6*Assumptions!$C$7*(1+$G72-0.05*(1-1))^1+Assumptions!$C$6*Assumptions!$C$8*(1+Assumptions!$C$11)^1+Assumptions!$C$16*1+Assumptions!$C$6*Assumptions!$C$9*(1+Assumptions!$C$12)^1</f>
        <v>753.9637361</v>
      </c>
      <c r="M72" s="139">
        <f>Assumptions!$C$6*Assumptions!$C$7*(1+$G72-0.05*(1-$H72))^2+Assumptions!$C$6*Assumptions!$C$8*(1+Assumptions!$C$11)^2+Assumptions!$C$16*$H72+Assumptions!$C$6*Assumptions!$C$9*(1+Assumptions!$C$12)^2</f>
        <v>694.734794</v>
      </c>
      <c r="N72" s="139">
        <f>Assumptions!$C$6*Assumptions!$C$7*(1+$G72-0.05*(1-$I72))^3+Assumptions!$C$6*Assumptions!$C$8*(1+Assumptions!$C$11)^3+Assumptions!$C$16*$I72+Assumptions!$C$6*Assumptions!$C$9*(1+Assumptions!$C$12)^3</f>
        <v>712.8164697</v>
      </c>
      <c r="O72" s="139">
        <f>Assumptions!$C$6*Assumptions!$C$7*(1+$G72-0.05*(1-$J72))^4+Assumptions!$C$6*Assumptions!$C$8*(1+Assumptions!$C$11)^4+Assumptions!$C$16*$J72+Assumptions!$C$6*Assumptions!$C$9*(1+Assumptions!$C$12)^4</f>
        <v>731.3924504</v>
      </c>
      <c r="P72" s="139">
        <f>Assumptions!$C$6*Assumptions!$C$7*(1+$G72-0.05*(1-$K72))^5+Assumptions!$C$6*Assumptions!$C$8*(1+Assumptions!$C$11)^5+Assumptions!$C$16*$K72+Assumptions!$C$6*Assumptions!$C$9*(1+Assumptions!$C$12)^5</f>
        <v>750.4768261</v>
      </c>
      <c r="Q72" s="139">
        <f>($L72*(1-(Assumptions!$C$25+0.06*(1-1))-Assumptions!$C$27)-Assumptions!$C$28)-MAX(0,($L72*(1-(Assumptions!$C$25+0.06*(1-1))-Assumptions!$C$27)-Assumptions!$C$28)*Assumptions!$C$31)+Assumptions!$C$28-Assumptions!$C$29-$L72*Assumptions!$C$30</f>
        <v>94.60220326</v>
      </c>
      <c r="R72" s="139">
        <f>($M72*(1-(Assumptions!$C$25+0.06*(1-$H72))-Assumptions!$C$27)-Assumptions!$C$28)-MAX(0,($M72*(1-(Assumptions!$C$25+0.06*(1-$H72))-Assumptions!$C$27)-Assumptions!$C$28)*Assumptions!$C$31)+Assumptions!$C$28-Assumptions!$C$29-$M72*Assumptions!$C$30</f>
        <v>39.78900261</v>
      </c>
      <c r="S72" s="139">
        <f>($N72*(1-(Assumptions!$C$25+0.06*(1-$I72))-Assumptions!$C$27)-Assumptions!$C$28)-MAX(0,($N72*(1-(Assumptions!$C$25+0.06*(1-$I72))-Assumptions!$C$27)-Assumptions!$C$28)*Assumptions!$C$31)+Assumptions!$C$28-Assumptions!$C$29-$N72*Assumptions!$C$30</f>
        <v>43.94778802</v>
      </c>
      <c r="T72" s="139">
        <f>($O72*(1-(Assumptions!$C$25+0.06*(1-$J72))-Assumptions!$C$27)-Assumptions!$C$28)-MAX(0,($O72*(1-(Assumptions!$C$25+0.06*(1-$J72))-Assumptions!$C$27)-Assumptions!$C$28)*Assumptions!$C$31)+Assumptions!$C$28-Assumptions!$C$29-$O72*Assumptions!$C$30</f>
        <v>48.22026359</v>
      </c>
      <c r="U72" s="139">
        <f>($P72*(1-(Assumptions!$C$25+0.06*(1-$K72))-Assumptions!$C$27)-Assumptions!$C$28)-MAX(0,($P72*(1-(Assumptions!$C$25+0.06*(1-$K72))-Assumptions!$C$27)-Assumptions!$C$28)*Assumptions!$C$31)+Assumptions!$C$28-Assumptions!$C$29-$P72*Assumptions!$C$30</f>
        <v>52.60967</v>
      </c>
      <c r="V72" s="143">
        <f>(($Q72/(1+$D72)^1+$R72/(1+$D72)^2+$S72/(1+$D72)^3+$T72/(1+$D72)^4+$U72/(1+$D72)^5+$U72*(1+$E72)/($D72-$E72)/(1+$D72)^5)-Assumptions!$C$37)/Assumptions!$C$40/Assumptions!$C$38</f>
        <v>-0.4187696916</v>
      </c>
    </row>
    <row r="73" ht="12.0" customHeight="1">
      <c r="B73" s="139">
        <v>21.0</v>
      </c>
      <c r="C73" s="140">
        <f t="shared" si="6"/>
        <v>0.8989606676</v>
      </c>
      <c r="D73" s="141">
        <f t="shared" si="7"/>
        <v>0.1074711843</v>
      </c>
      <c r="E73" s="141">
        <f t="shared" si="8"/>
        <v>0.02865734123</v>
      </c>
      <c r="F73" s="140">
        <f t="shared" si="9"/>
        <v>0.7645894431</v>
      </c>
      <c r="G73" s="141">
        <f t="shared" si="10"/>
        <v>0.06941507827</v>
      </c>
      <c r="H73" s="142">
        <f t="shared" si="11"/>
        <v>1</v>
      </c>
      <c r="I73" s="142">
        <f t="shared" si="12"/>
        <v>0</v>
      </c>
      <c r="J73" s="142">
        <f t="shared" si="13"/>
        <v>1</v>
      </c>
      <c r="K73" s="142">
        <f t="shared" si="14"/>
        <v>1</v>
      </c>
      <c r="L73" s="139">
        <f>Assumptions!$C$6*Assumptions!$C$7*(1+$G73-0.05*(1-1))^1+Assumptions!$C$6*Assumptions!$C$8*(1+Assumptions!$C$11)^1+Assumptions!$C$16*1+Assumptions!$C$6*Assumptions!$C$9*(1+Assumptions!$C$12)^1</f>
        <v>749.8331153</v>
      </c>
      <c r="M73" s="139">
        <f>Assumptions!$C$6*Assumptions!$C$7*(1+$G73-0.05*(1-$H73))^2+Assumptions!$C$6*Assumptions!$C$8*(1+Assumptions!$C$11)^2+Assumptions!$C$16*$H73+Assumptions!$C$6*Assumptions!$C$9*(1+Assumptions!$C$12)^2</f>
        <v>781.417482</v>
      </c>
      <c r="N73" s="139">
        <f>Assumptions!$C$6*Assumptions!$C$7*(1+$G73-0.05*(1-$I73))^3+Assumptions!$C$6*Assumptions!$C$8*(1+Assumptions!$C$11)^3+Assumptions!$C$16*$I73+Assumptions!$C$6*Assumptions!$C$9*(1+Assumptions!$C$12)^3</f>
        <v>699.7831159</v>
      </c>
      <c r="O73" s="139">
        <f>Assumptions!$C$6*Assumptions!$C$7*(1+$G73-0.05*(1-$J73))^4+Assumptions!$C$6*Assumptions!$C$8*(1+Assumptions!$C$11)^4+Assumptions!$C$16*$J73+Assumptions!$C$6*Assumptions!$C$9*(1+Assumptions!$C$12)^4</f>
        <v>850.3085197</v>
      </c>
      <c r="P73" s="139">
        <f>Assumptions!$C$6*Assumptions!$C$7*(1+$G73-0.05*(1-$K73))^5+Assumptions!$C$6*Assumptions!$C$8*(1+Assumptions!$C$11)^5+Assumptions!$C$16*$K73+Assumptions!$C$6*Assumptions!$C$9*(1+Assumptions!$C$12)^5</f>
        <v>887.8696762</v>
      </c>
      <c r="Q73" s="139">
        <f>($L73*(1-(Assumptions!$C$25+0.06*(1-1))-Assumptions!$C$27)-Assumptions!$C$28)-MAX(0,($L73*(1-(Assumptions!$C$25+0.06*(1-1))-Assumptions!$C$27)-Assumptions!$C$28)*Assumptions!$C$31)+Assumptions!$C$28-Assumptions!$C$29-$L73*Assumptions!$C$30</f>
        <v>93.7141198</v>
      </c>
      <c r="R73" s="139">
        <f>($M73*(1-(Assumptions!$C$25+0.06*(1-$H73))-Assumptions!$C$27)-Assumptions!$C$28)-MAX(0,($M73*(1-(Assumptions!$C$25+0.06*(1-$H73))-Assumptions!$C$27)-Assumptions!$C$28)*Assumptions!$C$31)+Assumptions!$C$28-Assumptions!$C$29-$M73*Assumptions!$C$30</f>
        <v>100.5047586</v>
      </c>
      <c r="S73" s="139">
        <f>($N73*(1-(Assumptions!$C$25+0.06*(1-$I73))-Assumptions!$C$27)-Assumptions!$C$28)-MAX(0,($N73*(1-(Assumptions!$C$25+0.06*(1-$I73))-Assumptions!$C$27)-Assumptions!$C$28)*Assumptions!$C$31)+Assumptions!$C$28-Assumptions!$C$29-$N73*Assumptions!$C$30</f>
        <v>40.95011667</v>
      </c>
      <c r="T73" s="139">
        <f>($O73*(1-(Assumptions!$C$25+0.06*(1-$J73))-Assumptions!$C$27)-Assumptions!$C$28)-MAX(0,($O73*(1-(Assumptions!$C$25+0.06*(1-$J73))-Assumptions!$C$27)-Assumptions!$C$28)*Assumptions!$C$31)+Assumptions!$C$28-Assumptions!$C$29-$O73*Assumptions!$C$30</f>
        <v>115.3163317</v>
      </c>
      <c r="U73" s="139">
        <f>($P73*(1-(Assumptions!$C$25+0.06*(1-$K73))-Assumptions!$C$27)-Assumptions!$C$28)-MAX(0,($P73*(1-(Assumptions!$C$25+0.06*(1-$K73))-Assumptions!$C$27)-Assumptions!$C$28)*Assumptions!$C$31)+Assumptions!$C$28-Assumptions!$C$29-$P73*Assumptions!$C$30</f>
        <v>123.3919804</v>
      </c>
      <c r="V73" s="143">
        <f>(($Q73/(1+$D73)^1+$R73/(1+$D73)^2+$S73/(1+$D73)^3+$T73/(1+$D73)^4+$U73/(1+$D73)^5+$U73*(1+$E73)/($D73-$E73)/(1+$D73)^5)-Assumptions!$C$37)/Assumptions!$C$40/Assumptions!$C$38</f>
        <v>4.857508904</v>
      </c>
    </row>
    <row r="74" ht="12.0" customHeight="1">
      <c r="B74" s="139">
        <v>22.0</v>
      </c>
      <c r="C74" s="140">
        <f t="shared" si="6"/>
        <v>0.1366922146</v>
      </c>
      <c r="D74" s="141">
        <f t="shared" si="7"/>
        <v>0.0918072506</v>
      </c>
      <c r="E74" s="141">
        <f t="shared" si="8"/>
        <v>0.02783031011</v>
      </c>
      <c r="F74" s="140">
        <f t="shared" si="9"/>
        <v>0.3703468684</v>
      </c>
      <c r="G74" s="141">
        <f t="shared" si="10"/>
        <v>0.05581906976</v>
      </c>
      <c r="H74" s="142">
        <f t="shared" si="11"/>
        <v>0</v>
      </c>
      <c r="I74" s="142">
        <f t="shared" si="12"/>
        <v>0</v>
      </c>
      <c r="J74" s="142">
        <f t="shared" si="13"/>
        <v>1</v>
      </c>
      <c r="K74" s="142">
        <f t="shared" si="14"/>
        <v>0</v>
      </c>
      <c r="L74" s="139">
        <f>Assumptions!$C$6*Assumptions!$C$7*(1+$G74-0.05*(1-1))^1+Assumptions!$C$6*Assumptions!$C$8*(1+Assumptions!$C$11)^1+Assumptions!$C$16*1+Assumptions!$C$6*Assumptions!$C$9*(1+Assumptions!$C$12)^1</f>
        <v>745.2566989</v>
      </c>
      <c r="M74" s="139">
        <f>Assumptions!$C$6*Assumptions!$C$7*(1+$G74-0.05*(1-$H74))^2+Assumptions!$C$6*Assumptions!$C$8*(1+Assumptions!$C$11)^2+Assumptions!$C$16*$H74+Assumptions!$C$6*Assumptions!$C$9*(1+Assumptions!$C$12)^2</f>
        <v>676.9941556</v>
      </c>
      <c r="N74" s="139">
        <f>Assumptions!$C$6*Assumptions!$C$7*(1+$G74-0.05*(1-$I74))^3+Assumptions!$C$6*Assumptions!$C$8*(1+Assumptions!$C$11)^3+Assumptions!$C$16*$I74+Assumptions!$C$6*Assumptions!$C$9*(1+Assumptions!$C$12)^3</f>
        <v>685.7050236</v>
      </c>
      <c r="O74" s="139">
        <f>Assumptions!$C$6*Assumptions!$C$7*(1+$G74-0.05*(1-$J74))^4+Assumptions!$C$6*Assumptions!$C$8*(1+Assumptions!$C$11)^4+Assumptions!$C$16*$J74+Assumptions!$C$6*Assumptions!$C$9*(1+Assumptions!$C$12)^4</f>
        <v>828.3433949</v>
      </c>
      <c r="P74" s="139">
        <f>Assumptions!$C$6*Assumptions!$C$7*(1+$G74-0.05*(1-$K74))^5+Assumptions!$C$6*Assumptions!$C$8*(1+Assumptions!$C$11)^5+Assumptions!$C$16*$K74+Assumptions!$C$6*Assumptions!$C$9*(1+Assumptions!$C$12)^5</f>
        <v>703.5678694</v>
      </c>
      <c r="Q74" s="139">
        <f>($L74*(1-(Assumptions!$C$25+0.06*(1-1))-Assumptions!$C$27)-Assumptions!$C$28)-MAX(0,($L74*(1-(Assumptions!$C$25+0.06*(1-1))-Assumptions!$C$27)-Assumptions!$C$28)*Assumptions!$C$31)+Assumptions!$C$28-Assumptions!$C$29-$L74*Assumptions!$C$30</f>
        <v>92.73019026</v>
      </c>
      <c r="R74" s="139">
        <f>($M74*(1-(Assumptions!$C$25+0.06*(1-$H74))-Assumptions!$C$27)-Assumptions!$C$28)-MAX(0,($M74*(1-(Assumptions!$C$25+0.06*(1-$H74))-Assumptions!$C$27)-Assumptions!$C$28)*Assumptions!$C$31)+Assumptions!$C$28-Assumptions!$C$29-$M74*Assumptions!$C$30</f>
        <v>35.70865578</v>
      </c>
      <c r="S74" s="139">
        <f>($N74*(1-(Assumptions!$C$25+0.06*(1-$I74))-Assumptions!$C$27)-Assumptions!$C$28)-MAX(0,($N74*(1-(Assumptions!$C$25+0.06*(1-$I74))-Assumptions!$C$27)-Assumptions!$C$28)*Assumptions!$C$31)+Assumptions!$C$28-Assumptions!$C$29-$N74*Assumptions!$C$30</f>
        <v>37.71215542</v>
      </c>
      <c r="T74" s="139">
        <f>($O74*(1-(Assumptions!$C$25+0.06*(1-$J74))-Assumptions!$C$27)-Assumptions!$C$28)-MAX(0,($O74*(1-(Assumptions!$C$25+0.06*(1-$J74))-Assumptions!$C$27)-Assumptions!$C$28)*Assumptions!$C$31)+Assumptions!$C$28-Assumptions!$C$29-$O74*Assumptions!$C$30</f>
        <v>110.5938299</v>
      </c>
      <c r="U74" s="139">
        <f>($P74*(1-(Assumptions!$C$25+0.06*(1-$K74))-Assumptions!$C$27)-Assumptions!$C$28)-MAX(0,($P74*(1-(Assumptions!$C$25+0.06*(1-$K74))-Assumptions!$C$27)-Assumptions!$C$28)*Assumptions!$C$31)+Assumptions!$C$28-Assumptions!$C$29-$P74*Assumptions!$C$30</f>
        <v>41.82060996</v>
      </c>
      <c r="V74" s="143">
        <f>(($Q74/(1+$D74)^1+$R74/(1+$D74)^2+$S74/(1+$D74)^3+$T74/(1+$D74)^4+$U74/(1+$D74)^5+$U74*(1+$E74)/($D74-$E74)/(1+$D74)^5)-Assumptions!$C$37)/Assumptions!$C$40/Assumptions!$C$38</f>
        <v>-0.07787125095</v>
      </c>
    </row>
    <row r="75" ht="12.0" customHeight="1">
      <c r="B75" s="139">
        <v>23.0</v>
      </c>
      <c r="C75" s="140">
        <f t="shared" si="6"/>
        <v>0.9135774048</v>
      </c>
      <c r="D75" s="141">
        <f t="shared" si="7"/>
        <v>0.108037021</v>
      </c>
      <c r="E75" s="141">
        <f t="shared" si="8"/>
        <v>0.0210521489</v>
      </c>
      <c r="F75" s="140">
        <f t="shared" si="9"/>
        <v>0.4870693047</v>
      </c>
      <c r="G75" s="141">
        <f t="shared" si="10"/>
        <v>0.05960953813</v>
      </c>
      <c r="H75" s="142">
        <f t="shared" si="11"/>
        <v>1</v>
      </c>
      <c r="I75" s="142">
        <f t="shared" si="12"/>
        <v>0</v>
      </c>
      <c r="J75" s="142">
        <f t="shared" si="13"/>
        <v>0</v>
      </c>
      <c r="K75" s="142">
        <f t="shared" si="14"/>
        <v>1</v>
      </c>
      <c r="L75" s="139">
        <f>Assumptions!$C$6*Assumptions!$C$7*(1+$G75-0.05*(1-1))^1+Assumptions!$C$6*Assumptions!$C$8*(1+Assumptions!$C$11)^1+Assumptions!$C$16*1+Assumptions!$C$6*Assumptions!$C$9*(1+Assumptions!$C$12)^1</f>
        <v>746.5325705</v>
      </c>
      <c r="M75" s="139">
        <f>Assumptions!$C$6*Assumptions!$C$7*(1+$G75-0.05*(1-$H75))^2+Assumptions!$C$6*Assumptions!$C$8*(1+Assumptions!$C$11)^2+Assumptions!$C$16*$H75+Assumptions!$C$6*Assumptions!$C$9*(1+Assumptions!$C$12)^2</f>
        <v>774.3905409</v>
      </c>
      <c r="N75" s="139">
        <f>Assumptions!$C$6*Assumptions!$C$7*(1+$G75-0.05*(1-$I75))^3+Assumptions!$C$6*Assumptions!$C$8*(1+Assumptions!$C$11)^3+Assumptions!$C$16*$I75+Assumptions!$C$6*Assumptions!$C$9*(1+Assumptions!$C$12)^3</f>
        <v>689.5919257</v>
      </c>
      <c r="O75" s="139">
        <f>Assumptions!$C$6*Assumptions!$C$7*(1+$G75-0.05*(1-$J75))^4+Assumptions!$C$6*Assumptions!$C$8*(1+Assumptions!$C$11)^4+Assumptions!$C$16*$J75+Assumptions!$C$6*Assumptions!$C$9*(1+Assumptions!$C$12)^4</f>
        <v>699.7845367</v>
      </c>
      <c r="P75" s="139">
        <f>Assumptions!$C$6*Assumptions!$C$7*(1+$G75-0.05*(1-$K75))^5+Assumptions!$C$6*Assumptions!$C$8*(1+Assumptions!$C$11)^5+Assumptions!$C$16*$K75+Assumptions!$C$6*Assumptions!$C$9*(1+Assumptions!$C$12)^5</f>
        <v>866.6774388</v>
      </c>
      <c r="Q75" s="139">
        <f>($L75*(1-(Assumptions!$C$25+0.06*(1-1))-Assumptions!$C$27)-Assumptions!$C$28)-MAX(0,($L75*(1-(Assumptions!$C$25+0.06*(1-1))-Assumptions!$C$27)-Assumptions!$C$28)*Assumptions!$C$31)+Assumptions!$C$28-Assumptions!$C$29-$L75*Assumptions!$C$30</f>
        <v>93.00450267</v>
      </c>
      <c r="R75" s="139">
        <f>($M75*(1-(Assumptions!$C$25+0.06*(1-$H75))-Assumptions!$C$27)-Assumptions!$C$28)-MAX(0,($M75*(1-(Assumptions!$C$25+0.06*(1-$H75))-Assumptions!$C$27)-Assumptions!$C$28)*Assumptions!$C$31)+Assumptions!$C$28-Assumptions!$C$29-$M75*Assumptions!$C$30</f>
        <v>98.99396628</v>
      </c>
      <c r="S75" s="139">
        <f>($N75*(1-(Assumptions!$C$25+0.06*(1-$I75))-Assumptions!$C$27)-Assumptions!$C$28)-MAX(0,($N75*(1-(Assumptions!$C$25+0.06*(1-$I75))-Assumptions!$C$27)-Assumptions!$C$28)*Assumptions!$C$31)+Assumptions!$C$28-Assumptions!$C$29-$N75*Assumptions!$C$30</f>
        <v>38.60614291</v>
      </c>
      <c r="T75" s="139">
        <f>($O75*(1-(Assumptions!$C$25+0.06*(1-$J75))-Assumptions!$C$27)-Assumptions!$C$28)-MAX(0,($O75*(1-(Assumptions!$C$25+0.06*(1-$J75))-Assumptions!$C$27)-Assumptions!$C$28)*Assumptions!$C$31)+Assumptions!$C$28-Assumptions!$C$29-$O75*Assumptions!$C$30</f>
        <v>40.95044344</v>
      </c>
      <c r="U75" s="139">
        <f>($P75*(1-(Assumptions!$C$25+0.06*(1-$K75))-Assumptions!$C$27)-Assumptions!$C$28)-MAX(0,($P75*(1-(Assumptions!$C$25+0.06*(1-$K75))-Assumptions!$C$27)-Assumptions!$C$28)*Assumptions!$C$31)+Assumptions!$C$28-Assumptions!$C$29-$P75*Assumptions!$C$30</f>
        <v>118.8356493</v>
      </c>
      <c r="V75" s="143">
        <f>(($Q75/(1+$D75)^1+$R75/(1+$D75)^2+$S75/(1+$D75)^3+$T75/(1+$D75)^4+$U75/(1+$D75)^5+$U75*(1+$E75)/($D75-$E75)/(1+$D75)^5)-Assumptions!$C$37)/Assumptions!$C$40/Assumptions!$C$38</f>
        <v>3.39270958</v>
      </c>
    </row>
    <row r="76" ht="12.0" customHeight="1">
      <c r="B76" s="139">
        <v>24.0</v>
      </c>
      <c r="C76" s="140">
        <f t="shared" si="6"/>
        <v>0.8904939953</v>
      </c>
      <c r="D76" s="141">
        <f t="shared" si="7"/>
        <v>0.1071620877</v>
      </c>
      <c r="E76" s="141">
        <f t="shared" si="8"/>
        <v>0.01834220043</v>
      </c>
      <c r="F76" s="140">
        <f t="shared" si="9"/>
        <v>0.2215302698</v>
      </c>
      <c r="G76" s="141">
        <f t="shared" si="10"/>
        <v>0.04996883786</v>
      </c>
      <c r="H76" s="142">
        <f t="shared" si="11"/>
        <v>0</v>
      </c>
      <c r="I76" s="142">
        <f t="shared" si="12"/>
        <v>1</v>
      </c>
      <c r="J76" s="142">
        <f t="shared" si="13"/>
        <v>0</v>
      </c>
      <c r="K76" s="142">
        <f t="shared" si="14"/>
        <v>1</v>
      </c>
      <c r="L76" s="139">
        <f>Assumptions!$C$6*Assumptions!$C$7*(1+$G76-0.05*(1-1))^1+Assumptions!$C$6*Assumptions!$C$8*(1+Assumptions!$C$11)^1+Assumptions!$C$16*1+Assumptions!$C$6*Assumptions!$C$9*(1+Assumptions!$C$12)^1</f>
        <v>743.2875108</v>
      </c>
      <c r="M76" s="139">
        <f>Assumptions!$C$6*Assumptions!$C$7*(1+$G76-0.05*(1-$H76))^2+Assumptions!$C$6*Assumptions!$C$8*(1+Assumptions!$C$11)^2+Assumptions!$C$16*$H76+Assumptions!$C$6*Assumptions!$C$9*(1+Assumptions!$C$12)^2</f>
        <v>673.044382</v>
      </c>
      <c r="N76" s="139">
        <f>Assumptions!$C$6*Assumptions!$C$7*(1+$G76-0.05*(1-$I76))^3+Assumptions!$C$6*Assumptions!$C$8*(1+Assumptions!$C$11)^3+Assumptions!$C$16*$I76+Assumptions!$C$6*Assumptions!$C$9*(1+Assumptions!$C$12)^3</f>
        <v>792.8165503</v>
      </c>
      <c r="O76" s="139">
        <f>Assumptions!$C$6*Assumptions!$C$7*(1+$G76-0.05*(1-$J76))^4+Assumptions!$C$6*Assumptions!$C$8*(1+Assumptions!$C$11)^4+Assumptions!$C$16*$J76+Assumptions!$C$6*Assumptions!$C$9*(1+Assumptions!$C$12)^4</f>
        <v>686.6166058</v>
      </c>
      <c r="P76" s="139">
        <f>Assumptions!$C$6*Assumptions!$C$7*(1+$G76-0.05*(1-$K76))^5+Assumptions!$C$6*Assumptions!$C$8*(1+Assumptions!$C$11)^5+Assumptions!$C$16*$K76+Assumptions!$C$6*Assumptions!$C$9*(1+Assumptions!$C$12)^5</f>
        <v>846.5923612</v>
      </c>
      <c r="Q76" s="139">
        <f>($L76*(1-(Assumptions!$C$25+0.06*(1-1))-Assumptions!$C$27)-Assumptions!$C$28)-MAX(0,($L76*(1-(Assumptions!$C$25+0.06*(1-1))-Assumptions!$C$27)-Assumptions!$C$28)*Assumptions!$C$31)+Assumptions!$C$28-Assumptions!$C$29-$L76*Assumptions!$C$30</f>
        <v>92.30681483</v>
      </c>
      <c r="R76" s="139">
        <f>($M76*(1-(Assumptions!$C$25+0.06*(1-$H76))-Assumptions!$C$27)-Assumptions!$C$28)-MAX(0,($M76*(1-(Assumptions!$C$25+0.06*(1-$H76))-Assumptions!$C$27)-Assumptions!$C$28)*Assumptions!$C$31)+Assumptions!$C$28-Assumptions!$C$29-$M76*Assumptions!$C$30</f>
        <v>34.80020785</v>
      </c>
      <c r="S76" s="139">
        <f>($N76*(1-(Assumptions!$C$25+0.06*(1-$I76))-Assumptions!$C$27)-Assumptions!$C$28)-MAX(0,($N76*(1-(Assumptions!$C$25+0.06*(1-$I76))-Assumptions!$C$27)-Assumptions!$C$28)*Assumptions!$C$31)+Assumptions!$C$28-Assumptions!$C$29-$N76*Assumptions!$C$30</f>
        <v>102.9555583</v>
      </c>
      <c r="T76" s="139">
        <f>($O76*(1-(Assumptions!$C$25+0.06*(1-$J76))-Assumptions!$C$27)-Assumptions!$C$28)-MAX(0,($O76*(1-(Assumptions!$C$25+0.06*(1-$J76))-Assumptions!$C$27)-Assumptions!$C$28)*Assumptions!$C$31)+Assumptions!$C$28-Assumptions!$C$29-$O76*Assumptions!$C$30</f>
        <v>37.92181933</v>
      </c>
      <c r="U76" s="139">
        <f>($P76*(1-(Assumptions!$C$25+0.06*(1-$K76))-Assumptions!$C$27)-Assumptions!$C$28)-MAX(0,($P76*(1-(Assumptions!$C$25+0.06*(1-$K76))-Assumptions!$C$27)-Assumptions!$C$28)*Assumptions!$C$31)+Assumptions!$C$28-Assumptions!$C$29-$P76*Assumptions!$C$30</f>
        <v>114.5173577</v>
      </c>
      <c r="V76" s="143">
        <f>(($Q76/(1+$D76)^1+$R76/(1+$D76)^2+$S76/(1+$D76)^3+$T76/(1+$D76)^4+$U76/(1+$D76)^5+$U76*(1+$E76)/($D76-$E76)/(1+$D76)^5)-Assumptions!$C$37)/Assumptions!$C$40/Assumptions!$C$38</f>
        <v>2.95939832</v>
      </c>
    </row>
    <row r="77" ht="12.0" customHeight="1">
      <c r="B77" s="139">
        <v>25.0</v>
      </c>
      <c r="C77" s="140">
        <f t="shared" si="6"/>
        <v>0.9049801998</v>
      </c>
      <c r="D77" s="141">
        <f t="shared" si="7"/>
        <v>0.1076988968</v>
      </c>
      <c r="E77" s="141">
        <f t="shared" si="8"/>
        <v>0.02830567245</v>
      </c>
      <c r="F77" s="140">
        <f t="shared" si="9"/>
        <v>0.3224249636</v>
      </c>
      <c r="G77" s="141">
        <f t="shared" si="10"/>
        <v>0.05409076451</v>
      </c>
      <c r="H77" s="142">
        <f t="shared" si="11"/>
        <v>1</v>
      </c>
      <c r="I77" s="142">
        <f t="shared" si="12"/>
        <v>0</v>
      </c>
      <c r="J77" s="142">
        <f t="shared" si="13"/>
        <v>1</v>
      </c>
      <c r="K77" s="142">
        <f t="shared" si="14"/>
        <v>1</v>
      </c>
      <c r="L77" s="139">
        <f>Assumptions!$C$6*Assumptions!$C$7*(1+$G77-0.05*(1-1))^1+Assumptions!$C$6*Assumptions!$C$8*(1+Assumptions!$C$11)^1+Assumptions!$C$16*1+Assumptions!$C$6*Assumptions!$C$9*(1+Assumptions!$C$12)^1</f>
        <v>744.6749513</v>
      </c>
      <c r="M77" s="139">
        <f>Assumptions!$C$6*Assumptions!$C$7*(1+$G77-0.05*(1-$H77))^2+Assumptions!$C$6*Assumptions!$C$8*(1+Assumptions!$C$11)^2+Assumptions!$C$16*$H77+Assumptions!$C$6*Assumptions!$C$9*(1+Assumptions!$C$12)^2</f>
        <v>770.4640906</v>
      </c>
      <c r="N77" s="139">
        <f>Assumptions!$C$6*Assumptions!$C$7*(1+$G77-0.05*(1-$I77))^3+Assumptions!$C$6*Assumptions!$C$8*(1+Assumptions!$C$11)^3+Assumptions!$C$16*$I77+Assumptions!$C$6*Assumptions!$C$9*(1+Assumptions!$C$12)^3</f>
        <v>683.9424426</v>
      </c>
      <c r="O77" s="139">
        <f>Assumptions!$C$6*Assumptions!$C$7*(1+$G77-0.05*(1-$J77))^4+Assumptions!$C$6*Assumptions!$C$8*(1+Assumptions!$C$11)^4+Assumptions!$C$16*$J77+Assumptions!$C$6*Assumptions!$C$9*(1+Assumptions!$C$12)^4</f>
        <v>825.6112952</v>
      </c>
      <c r="P77" s="139">
        <f>Assumptions!$C$6*Assumptions!$C$7*(1+$G77-0.05*(1-$K77))^5+Assumptions!$C$6*Assumptions!$C$8*(1+Assumptions!$C$11)^5+Assumptions!$C$16*$K77+Assumptions!$C$6*Assumptions!$C$9*(1+Assumptions!$C$12)^5</f>
        <v>855.0900315</v>
      </c>
      <c r="Q77" s="139">
        <f>($L77*(1-(Assumptions!$C$25+0.06*(1-1))-Assumptions!$C$27)-Assumptions!$C$28)-MAX(0,($L77*(1-(Assumptions!$C$25+0.06*(1-1))-Assumptions!$C$27)-Assumptions!$C$28)*Assumptions!$C$31)+Assumptions!$C$28-Assumptions!$C$29-$L77*Assumptions!$C$30</f>
        <v>92.60511454</v>
      </c>
      <c r="R77" s="139">
        <f>($M77*(1-(Assumptions!$C$25+0.06*(1-$H77))-Assumptions!$C$27)-Assumptions!$C$28)-MAX(0,($M77*(1-(Assumptions!$C$25+0.06*(1-$H77))-Assumptions!$C$27)-Assumptions!$C$28)*Assumptions!$C$31)+Assumptions!$C$28-Assumptions!$C$29-$M77*Assumptions!$C$30</f>
        <v>98.14977948</v>
      </c>
      <c r="S77" s="139">
        <f>($N77*(1-(Assumptions!$C$25+0.06*(1-$I77))-Assumptions!$C$27)-Assumptions!$C$28)-MAX(0,($N77*(1-(Assumptions!$C$25+0.06*(1-$I77))-Assumptions!$C$27)-Assumptions!$C$28)*Assumptions!$C$31)+Assumptions!$C$28-Assumptions!$C$29-$N77*Assumptions!$C$30</f>
        <v>37.3067618</v>
      </c>
      <c r="T77" s="139">
        <f>($O77*(1-(Assumptions!$C$25+0.06*(1-$J77))-Assumptions!$C$27)-Assumptions!$C$28)-MAX(0,($O77*(1-(Assumptions!$C$25+0.06*(1-$J77))-Assumptions!$C$27)-Assumptions!$C$28)*Assumptions!$C$31)+Assumptions!$C$28-Assumptions!$C$29-$O77*Assumptions!$C$30</f>
        <v>110.0064285</v>
      </c>
      <c r="U77" s="139">
        <f>($P77*(1-(Assumptions!$C$25+0.06*(1-$K77))-Assumptions!$C$27)-Assumptions!$C$28)-MAX(0,($P77*(1-(Assumptions!$C$25+0.06*(1-$K77))-Assumptions!$C$27)-Assumptions!$C$28)*Assumptions!$C$31)+Assumptions!$C$28-Assumptions!$C$29-$P77*Assumptions!$C$30</f>
        <v>116.3443568</v>
      </c>
      <c r="V77" s="143">
        <f>(($Q77/(1+$D77)^1+$R77/(1+$D77)^2+$S77/(1+$D77)^3+$T77/(1+$D77)^4+$U77/(1+$D77)^5+$U77*(1+$E77)/($D77-$E77)/(1+$D77)^5)-Assumptions!$C$37)/Assumptions!$C$40/Assumptions!$C$38</f>
        <v>4.259200656</v>
      </c>
    </row>
    <row r="78" ht="12.0" customHeight="1">
      <c r="B78" s="139">
        <v>26.0</v>
      </c>
      <c r="C78" s="140">
        <f t="shared" si="6"/>
        <v>0.3336366755</v>
      </c>
      <c r="D78" s="141">
        <f t="shared" si="7"/>
        <v>0.09563498157</v>
      </c>
      <c r="E78" s="141">
        <f t="shared" si="8"/>
        <v>0.02955403188</v>
      </c>
      <c r="F78" s="140">
        <f t="shared" si="9"/>
        <v>0.7321488975</v>
      </c>
      <c r="G78" s="141">
        <f t="shared" si="10"/>
        <v>0.06804249594</v>
      </c>
      <c r="H78" s="142">
        <f t="shared" si="11"/>
        <v>1</v>
      </c>
      <c r="I78" s="142">
        <f t="shared" si="12"/>
        <v>1</v>
      </c>
      <c r="J78" s="142">
        <f t="shared" si="13"/>
        <v>1</v>
      </c>
      <c r="K78" s="142">
        <f t="shared" si="14"/>
        <v>1</v>
      </c>
      <c r="L78" s="139">
        <f>Assumptions!$C$6*Assumptions!$C$7*(1+$G78-0.05*(1-1))^1+Assumptions!$C$6*Assumptions!$C$8*(1+Assumptions!$C$11)^1+Assumptions!$C$16*1+Assumptions!$C$6*Assumptions!$C$9*(1+Assumptions!$C$12)^1</f>
        <v>749.3711041</v>
      </c>
      <c r="M78" s="139">
        <f>Assumptions!$C$6*Assumptions!$C$7*(1+$G78-0.05*(1-$H78))^2+Assumptions!$C$6*Assumptions!$C$8*(1+Assumptions!$C$11)^2+Assumptions!$C$16*$H78+Assumptions!$C$6*Assumptions!$C$9*(1+Assumptions!$C$12)^2</f>
        <v>780.4299526</v>
      </c>
      <c r="N78" s="139">
        <f>Assumptions!$C$6*Assumptions!$C$7*(1+$G78-0.05*(1-$I78))^3+Assumptions!$C$6*Assumptions!$C$8*(1+Assumptions!$C$11)^3+Assumptions!$C$16*$I78+Assumptions!$C$6*Assumptions!$C$9*(1+Assumptions!$C$12)^3</f>
        <v>813.2851691</v>
      </c>
      <c r="O78" s="139">
        <f>Assumptions!$C$6*Assumptions!$C$7*(1+$G78-0.05*(1-$J78))^4+Assumptions!$C$6*Assumptions!$C$8*(1+Assumptions!$C$11)^4+Assumptions!$C$16*$J78+Assumptions!$C$6*Assumptions!$C$9*(1+Assumptions!$C$12)^4</f>
        <v>848.0526437</v>
      </c>
      <c r="P78" s="139">
        <f>Assumptions!$C$6*Assumptions!$C$7*(1+$G78-0.05*(1-$K78))^5+Assumptions!$C$6*Assumptions!$C$8*(1+Assumptions!$C$11)^5+Assumptions!$C$16*$K78+Assumptions!$C$6*Assumptions!$C$9*(1+Assumptions!$C$12)^5</f>
        <v>884.8560256</v>
      </c>
      <c r="Q78" s="139">
        <f>($L78*(1-(Assumptions!$C$25+0.06*(1-1))-Assumptions!$C$27)-Assumptions!$C$28)-MAX(0,($L78*(1-(Assumptions!$C$25+0.06*(1-1))-Assumptions!$C$27)-Assumptions!$C$28)*Assumptions!$C$31)+Assumptions!$C$28-Assumptions!$C$29-$L78*Assumptions!$C$30</f>
        <v>93.61478739</v>
      </c>
      <c r="R78" s="139">
        <f>($M78*(1-(Assumptions!$C$25+0.06*(1-$H78))-Assumptions!$C$27)-Assumptions!$C$28)-MAX(0,($M78*(1-(Assumptions!$C$25+0.06*(1-$H78))-Assumptions!$C$27)-Assumptions!$C$28)*Assumptions!$C$31)+Assumptions!$C$28-Assumptions!$C$29-$M78*Assumptions!$C$30</f>
        <v>100.2924398</v>
      </c>
      <c r="S78" s="139">
        <f>($N78*(1-(Assumptions!$C$25+0.06*(1-$I78))-Assumptions!$C$27)-Assumptions!$C$28)-MAX(0,($N78*(1-(Assumptions!$C$25+0.06*(1-$I78))-Assumptions!$C$27)-Assumptions!$C$28)*Assumptions!$C$31)+Assumptions!$C$28-Assumptions!$C$29-$N78*Assumptions!$C$30</f>
        <v>107.3563114</v>
      </c>
      <c r="T78" s="139">
        <f>($O78*(1-(Assumptions!$C$25+0.06*(1-$J78))-Assumptions!$C$27)-Assumptions!$C$28)-MAX(0,($O78*(1-(Assumptions!$C$25+0.06*(1-$J78))-Assumptions!$C$27)-Assumptions!$C$28)*Assumptions!$C$31)+Assumptions!$C$28-Assumptions!$C$29-$O78*Assumptions!$C$30</f>
        <v>114.8313184</v>
      </c>
      <c r="U78" s="139">
        <f>($P78*(1-(Assumptions!$C$25+0.06*(1-$K78))-Assumptions!$C$27)-Assumptions!$C$28)-MAX(0,($P78*(1-(Assumptions!$C$25+0.06*(1-$K78))-Assumptions!$C$27)-Assumptions!$C$28)*Assumptions!$C$31)+Assumptions!$C$28-Assumptions!$C$29-$P78*Assumptions!$C$30</f>
        <v>122.7440455</v>
      </c>
      <c r="V78" s="143">
        <f>(($Q78/(1+$D78)^1+$R78/(1+$D78)^2+$S78/(1+$D78)^3+$T78/(1+$D78)^4+$U78/(1+$D78)^5+$U78*(1+$E78)/($D78-$E78)/(1+$D78)^5)-Assumptions!$C$37)/Assumptions!$C$40/Assumptions!$C$38</f>
        <v>7.239185601</v>
      </c>
    </row>
    <row r="79" ht="12.0" customHeight="1">
      <c r="B79" s="139">
        <v>27.0</v>
      </c>
      <c r="C79" s="140">
        <f t="shared" si="6"/>
        <v>0.6869217693</v>
      </c>
      <c r="D79" s="141">
        <f t="shared" si="7"/>
        <v>0.1017471932</v>
      </c>
      <c r="E79" s="141">
        <f t="shared" si="8"/>
        <v>0.02216129239</v>
      </c>
      <c r="F79" s="140">
        <f t="shared" si="9"/>
        <v>0.6436598965</v>
      </c>
      <c r="G79" s="141">
        <f t="shared" si="10"/>
        <v>0.06467388332</v>
      </c>
      <c r="H79" s="142">
        <f t="shared" si="11"/>
        <v>1</v>
      </c>
      <c r="I79" s="142">
        <f t="shared" si="12"/>
        <v>0</v>
      </c>
      <c r="J79" s="142">
        <f t="shared" si="13"/>
        <v>0</v>
      </c>
      <c r="K79" s="142">
        <f t="shared" si="14"/>
        <v>1</v>
      </c>
      <c r="L79" s="139">
        <f>Assumptions!$C$6*Assumptions!$C$7*(1+$G79-0.05*(1-1))^1+Assumptions!$C$6*Assumptions!$C$8*(1+Assumptions!$C$11)^1+Assumptions!$C$16*1+Assumptions!$C$6*Assumptions!$C$9*(1+Assumptions!$C$12)^1</f>
        <v>748.2372291</v>
      </c>
      <c r="M79" s="139">
        <f>Assumptions!$C$6*Assumptions!$C$7*(1+$G79-0.05*(1-$H79))^2+Assumptions!$C$6*Assumptions!$C$8*(1+Assumptions!$C$11)^2+Assumptions!$C$16*$H79+Assumptions!$C$6*Assumptions!$C$9*(1+Assumptions!$C$12)^2</f>
        <v>778.0117188</v>
      </c>
      <c r="N79" s="139">
        <f>Assumptions!$C$6*Assumptions!$C$7*(1+$G79-0.05*(1-$I79))^3+Assumptions!$C$6*Assumptions!$C$8*(1+Assumptions!$C$11)^3+Assumptions!$C$16*$I79+Assumptions!$C$6*Assumptions!$C$9*(1+Assumptions!$C$12)^3</f>
        <v>694.8308511</v>
      </c>
      <c r="O79" s="139">
        <f>Assumptions!$C$6*Assumptions!$C$7*(1+$G79-0.05*(1-$J79))^4+Assumptions!$C$6*Assumptions!$C$8*(1+Assumptions!$C$11)^4+Assumptions!$C$16*$J79+Assumptions!$C$6*Assumptions!$C$9*(1+Assumptions!$C$12)^4</f>
        <v>706.8546128</v>
      </c>
      <c r="P79" s="139">
        <f>Assumptions!$C$6*Assumptions!$C$7*(1+$G79-0.05*(1-$K79))^5+Assumptions!$C$6*Assumptions!$C$8*(1+Assumptions!$C$11)^5+Assumptions!$C$16*$K79+Assumptions!$C$6*Assumptions!$C$9*(1+Assumptions!$C$12)^5</f>
        <v>877.5252523</v>
      </c>
      <c r="Q79" s="139">
        <f>($L79*(1-(Assumptions!$C$25+0.06*(1-1))-Assumptions!$C$27)-Assumptions!$C$28)-MAX(0,($L79*(1-(Assumptions!$C$25+0.06*(1-1))-Assumptions!$C$27)-Assumptions!$C$28)*Assumptions!$C$31)+Assumptions!$C$28-Assumptions!$C$29-$L79*Assumptions!$C$30</f>
        <v>93.37100426</v>
      </c>
      <c r="R79" s="139">
        <f>($M79*(1-(Assumptions!$C$25+0.06*(1-$H79))-Assumptions!$C$27)-Assumptions!$C$28)-MAX(0,($M79*(1-(Assumptions!$C$25+0.06*(1-$H79))-Assumptions!$C$27)-Assumptions!$C$28)*Assumptions!$C$31)+Assumptions!$C$28-Assumptions!$C$29-$M79*Assumptions!$C$30</f>
        <v>99.77251955</v>
      </c>
      <c r="S79" s="139">
        <f>($N79*(1-(Assumptions!$C$25+0.06*(1-$I79))-Assumptions!$C$27)-Assumptions!$C$28)-MAX(0,($N79*(1-(Assumptions!$C$25+0.06*(1-$I79))-Assumptions!$C$27)-Assumptions!$C$28)*Assumptions!$C$31)+Assumptions!$C$28-Assumptions!$C$29-$N79*Assumptions!$C$30</f>
        <v>39.81109576</v>
      </c>
      <c r="T79" s="139">
        <f>($O79*(1-(Assumptions!$C$25+0.06*(1-$J79))-Assumptions!$C$27)-Assumptions!$C$28)-MAX(0,($O79*(1-(Assumptions!$C$25+0.06*(1-$J79))-Assumptions!$C$27)-Assumptions!$C$28)*Assumptions!$C$31)+Assumptions!$C$28-Assumptions!$C$29-$O79*Assumptions!$C$30</f>
        <v>42.57656094</v>
      </c>
      <c r="U79" s="139">
        <f>($P79*(1-(Assumptions!$C$25+0.06*(1-$K79))-Assumptions!$C$27)-Assumptions!$C$28)-MAX(0,($P79*(1-(Assumptions!$C$25+0.06*(1-$K79))-Assumptions!$C$27)-Assumptions!$C$28)*Assumptions!$C$31)+Assumptions!$C$28-Assumptions!$C$29-$P79*Assumptions!$C$30</f>
        <v>121.1679292</v>
      </c>
      <c r="V79" s="143">
        <f>(($Q79/(1+$D79)^1+$R79/(1+$D79)^2+$S79/(1+$D79)^3+$T79/(1+$D79)^4+$U79/(1+$D79)^5+$U79*(1+$E79)/($D79-$E79)/(1+$D79)^5)-Assumptions!$C$37)/Assumptions!$C$40/Assumptions!$C$38</f>
        <v>4.426423858</v>
      </c>
    </row>
    <row r="80" ht="12.0" customHeight="1">
      <c r="B80" s="139">
        <v>28.0</v>
      </c>
      <c r="C80" s="140">
        <f t="shared" si="6"/>
        <v>0.1388373225</v>
      </c>
      <c r="D80" s="141">
        <f t="shared" si="7"/>
        <v>0.09186045569</v>
      </c>
      <c r="E80" s="141">
        <f t="shared" si="8"/>
        <v>0.01128064735</v>
      </c>
      <c r="F80" s="140">
        <f t="shared" si="9"/>
        <v>0.6491318059</v>
      </c>
      <c r="G80" s="141">
        <f t="shared" si="10"/>
        <v>0.06486908777</v>
      </c>
      <c r="H80" s="142">
        <f t="shared" si="11"/>
        <v>1</v>
      </c>
      <c r="I80" s="142">
        <f t="shared" si="12"/>
        <v>0</v>
      </c>
      <c r="J80" s="142">
        <f t="shared" si="13"/>
        <v>1</v>
      </c>
      <c r="K80" s="142">
        <f t="shared" si="14"/>
        <v>0</v>
      </c>
      <c r="L80" s="139">
        <f>Assumptions!$C$6*Assumptions!$C$7*(1+$G80-0.05*(1-1))^1+Assumptions!$C$6*Assumptions!$C$8*(1+Assumptions!$C$11)^1+Assumptions!$C$16*1+Assumptions!$C$6*Assumptions!$C$9*(1+Assumptions!$C$12)^1</f>
        <v>748.3029349</v>
      </c>
      <c r="M80" s="139">
        <f>Assumptions!$C$6*Assumptions!$C$7*(1+$G80-0.05*(1-$H80))^2+Assumptions!$C$6*Assumptions!$C$8*(1+Assumptions!$C$11)^2+Assumptions!$C$16*$H80+Assumptions!$C$6*Assumptions!$C$9*(1+Assumptions!$C$12)^2</f>
        <v>778.1516422</v>
      </c>
      <c r="N80" s="139">
        <f>Assumptions!$C$6*Assumptions!$C$7*(1+$G80-0.05*(1-$I80))^3+Assumptions!$C$6*Assumptions!$C$8*(1+Assumptions!$C$11)^3+Assumptions!$C$16*$I80+Assumptions!$C$6*Assumptions!$C$9*(1+Assumptions!$C$12)^3</f>
        <v>695.033835</v>
      </c>
      <c r="O80" s="139">
        <f>Assumptions!$C$6*Assumptions!$C$7*(1+$G80-0.05*(1-$J80))^4+Assumptions!$C$6*Assumptions!$C$8*(1+Assumptions!$C$11)^4+Assumptions!$C$16*$J80+Assumptions!$C$6*Assumptions!$C$9*(1+Assumptions!$C$12)^4</f>
        <v>842.87026</v>
      </c>
      <c r="P80" s="139">
        <f>Assumptions!$C$6*Assumptions!$C$7*(1+$G80-0.05*(1-$K80))^5+Assumptions!$C$6*Assumptions!$C$8*(1+Assumptions!$C$11)^5+Assumptions!$C$16*$K80+Assumptions!$C$6*Assumptions!$C$9*(1+Assumptions!$C$12)^5</f>
        <v>719.4397426</v>
      </c>
      <c r="Q80" s="139">
        <f>($L80*(1-(Assumptions!$C$25+0.06*(1-1))-Assumptions!$C$27)-Assumptions!$C$28)-MAX(0,($L80*(1-(Assumptions!$C$25+0.06*(1-1))-Assumptions!$C$27)-Assumptions!$C$28)*Assumptions!$C$31)+Assumptions!$C$28-Assumptions!$C$29-$L80*Assumptions!$C$30</f>
        <v>93.38513101</v>
      </c>
      <c r="R80" s="139">
        <f>($M80*(1-(Assumptions!$C$25+0.06*(1-$H80))-Assumptions!$C$27)-Assumptions!$C$28)-MAX(0,($M80*(1-(Assumptions!$C$25+0.06*(1-$H80))-Assumptions!$C$27)-Assumptions!$C$28)*Assumptions!$C$31)+Assumptions!$C$28-Assumptions!$C$29-$M80*Assumptions!$C$30</f>
        <v>99.80260307</v>
      </c>
      <c r="S80" s="139">
        <f>($N80*(1-(Assumptions!$C$25+0.06*(1-$I80))-Assumptions!$C$27)-Assumptions!$C$28)-MAX(0,($N80*(1-(Assumptions!$C$25+0.06*(1-$I80))-Assumptions!$C$27)-Assumptions!$C$28)*Assumptions!$C$31)+Assumptions!$C$28-Assumptions!$C$29-$N80*Assumptions!$C$30</f>
        <v>39.85778206</v>
      </c>
      <c r="T80" s="139">
        <f>($O80*(1-(Assumptions!$C$25+0.06*(1-$J80))-Assumptions!$C$27)-Assumptions!$C$28)-MAX(0,($O80*(1-(Assumptions!$C$25+0.06*(1-$J80))-Assumptions!$C$27)-Assumptions!$C$28)*Assumptions!$C$31)+Assumptions!$C$28-Assumptions!$C$29-$O80*Assumptions!$C$30</f>
        <v>113.7171059</v>
      </c>
      <c r="U80" s="139">
        <f>($P80*(1-(Assumptions!$C$25+0.06*(1-$K80))-Assumptions!$C$27)-Assumptions!$C$28)-MAX(0,($P80*(1-(Assumptions!$C$25+0.06*(1-$K80))-Assumptions!$C$27)-Assumptions!$C$28)*Assumptions!$C$31)+Assumptions!$C$28-Assumptions!$C$29-$P80*Assumptions!$C$30</f>
        <v>45.47114079</v>
      </c>
      <c r="V80" s="143">
        <f>(($Q80/(1+$D80)^1+$R80/(1+$D80)^2+$S80/(1+$D80)^3+$T80/(1+$D80)^4+$U80/(1+$D80)^5+$U80*(1+$E80)/($D80-$E80)/(1+$D80)^5)-Assumptions!$C$37)/Assumptions!$C$40/Assumptions!$C$38</f>
        <v>-0.1153164025</v>
      </c>
    </row>
    <row r="81" ht="12.0" customHeight="1">
      <c r="B81" s="139">
        <v>29.0</v>
      </c>
      <c r="C81" s="140">
        <f t="shared" si="6"/>
        <v>0.01785784746</v>
      </c>
      <c r="D81" s="141">
        <f t="shared" si="7"/>
        <v>0.0874604492</v>
      </c>
      <c r="E81" s="141">
        <f t="shared" si="8"/>
        <v>0.02703063558</v>
      </c>
      <c r="F81" s="140">
        <f t="shared" si="9"/>
        <v>0.9286010204</v>
      </c>
      <c r="G81" s="141">
        <f t="shared" si="10"/>
        <v>0.07866341483</v>
      </c>
      <c r="H81" s="142">
        <f t="shared" si="11"/>
        <v>0</v>
      </c>
      <c r="I81" s="142">
        <f t="shared" si="12"/>
        <v>1</v>
      </c>
      <c r="J81" s="142">
        <f t="shared" si="13"/>
        <v>0</v>
      </c>
      <c r="K81" s="142">
        <f t="shared" si="14"/>
        <v>0</v>
      </c>
      <c r="L81" s="139">
        <f>Assumptions!$C$6*Assumptions!$C$7*(1+$G81-0.05*(1-1))^1+Assumptions!$C$6*Assumptions!$C$8*(1+Assumptions!$C$11)^1+Assumptions!$C$16*1+Assumptions!$C$6*Assumptions!$C$9*(1+Assumptions!$C$12)^1</f>
        <v>752.9461054</v>
      </c>
      <c r="M81" s="139">
        <f>Assumptions!$C$6*Assumptions!$C$7*(1+$G81-0.05*(1-$H81))^2+Assumptions!$C$6*Assumptions!$C$8*(1+Assumptions!$C$11)^2+Assumptions!$C$16*$H81+Assumptions!$C$6*Assumptions!$C$9*(1+Assumptions!$C$12)^2</f>
        <v>692.6381185</v>
      </c>
      <c r="N81" s="139">
        <f>Assumptions!$C$6*Assumptions!$C$7*(1+$G81-0.05*(1-$I81))^3+Assumptions!$C$6*Assumptions!$C$8*(1+Assumptions!$C$11)^3+Assumptions!$C$16*$I81+Assumptions!$C$6*Assumptions!$C$9*(1+Assumptions!$C$12)^3</f>
        <v>825.6414028</v>
      </c>
      <c r="O81" s="139">
        <f>Assumptions!$C$6*Assumptions!$C$7*(1+$G81-0.05*(1-$J81))^4+Assumptions!$C$6*Assumptions!$C$8*(1+Assumptions!$C$11)^4+Assumptions!$C$16*$J81+Assumptions!$C$6*Assumptions!$C$9*(1+Assumptions!$C$12)^4</f>
        <v>726.9422026</v>
      </c>
      <c r="P81" s="139">
        <f>Assumptions!$C$6*Assumptions!$C$7*(1+$G81-0.05*(1-$K81))^5+Assumptions!$C$6*Assumptions!$C$8*(1+Assumptions!$C$11)^5+Assumptions!$C$16*$K81+Assumptions!$C$6*Assumptions!$C$9*(1+Assumptions!$C$12)^5</f>
        <v>744.746146</v>
      </c>
      <c r="Q81" s="139">
        <f>($L81*(1-(Assumptions!$C$25+0.06*(1-1))-Assumptions!$C$27)-Assumptions!$C$28)-MAX(0,($L81*(1-(Assumptions!$C$25+0.06*(1-1))-Assumptions!$C$27)-Assumptions!$C$28)*Assumptions!$C$31)+Assumptions!$C$28-Assumptions!$C$29-$L81*Assumptions!$C$30</f>
        <v>94.38341267</v>
      </c>
      <c r="R81" s="139">
        <f>($M81*(1-(Assumptions!$C$25+0.06*(1-$H81))-Assumptions!$C$27)-Assumptions!$C$28)-MAX(0,($M81*(1-(Assumptions!$C$25+0.06*(1-$H81))-Assumptions!$C$27)-Assumptions!$C$28)*Assumptions!$C$31)+Assumptions!$C$28-Assumptions!$C$29-$M81*Assumptions!$C$30</f>
        <v>39.30676726</v>
      </c>
      <c r="S81" s="139">
        <f>($N81*(1-(Assumptions!$C$25+0.06*(1-$I81))-Assumptions!$C$27)-Assumptions!$C$28)-MAX(0,($N81*(1-(Assumptions!$C$25+0.06*(1-$I81))-Assumptions!$C$27)-Assumptions!$C$28)*Assumptions!$C$31)+Assumptions!$C$28-Assumptions!$C$29-$N81*Assumptions!$C$30</f>
        <v>110.0129016</v>
      </c>
      <c r="T81" s="139">
        <f>($O81*(1-(Assumptions!$C$25+0.06*(1-$J81))-Assumptions!$C$27)-Assumptions!$C$28)-MAX(0,($O81*(1-(Assumptions!$C$25+0.06*(1-$J81))-Assumptions!$C$27)-Assumptions!$C$28)*Assumptions!$C$31)+Assumptions!$C$28-Assumptions!$C$29-$O81*Assumptions!$C$30</f>
        <v>47.19670659</v>
      </c>
      <c r="U81" s="139">
        <f>($P81*(1-(Assumptions!$C$25+0.06*(1-$K81))-Assumptions!$C$27)-Assumptions!$C$28)-MAX(0,($P81*(1-(Assumptions!$C$25+0.06*(1-$K81))-Assumptions!$C$27)-Assumptions!$C$28)*Assumptions!$C$31)+Assumptions!$C$28-Assumptions!$C$29-$P81*Assumptions!$C$30</f>
        <v>51.29161357</v>
      </c>
      <c r="V81" s="143">
        <f>(($Q81/(1+$D81)^1+$R81/(1+$D81)^2+$S81/(1+$D81)^3+$T81/(1+$D81)^4+$U81/(1+$D81)^5+$U81*(1+$E81)/($D81-$E81)/(1+$D81)^5)-Assumptions!$C$37)/Assumptions!$C$40/Assumptions!$C$38</f>
        <v>1.206180988</v>
      </c>
    </row>
    <row r="82" ht="12.0" customHeight="1">
      <c r="B82" s="139">
        <v>30.0</v>
      </c>
      <c r="C82" s="140">
        <f t="shared" si="6"/>
        <v>0.9545224466</v>
      </c>
      <c r="D82" s="141">
        <f t="shared" si="7"/>
        <v>0.1099489697</v>
      </c>
      <c r="E82" s="141">
        <f t="shared" si="8"/>
        <v>0.01590250466</v>
      </c>
      <c r="F82" s="140">
        <f t="shared" si="9"/>
        <v>0.4003725963</v>
      </c>
      <c r="G82" s="141">
        <f t="shared" si="10"/>
        <v>0.05684531008</v>
      </c>
      <c r="H82" s="142">
        <f t="shared" si="11"/>
        <v>1</v>
      </c>
      <c r="I82" s="142">
        <f t="shared" si="12"/>
        <v>1</v>
      </c>
      <c r="J82" s="142">
        <f t="shared" si="13"/>
        <v>1</v>
      </c>
      <c r="K82" s="142">
        <f t="shared" si="14"/>
        <v>1</v>
      </c>
      <c r="L82" s="139">
        <f>Assumptions!$C$6*Assumptions!$C$7*(1+$G82-0.05*(1-1))^1+Assumptions!$C$6*Assumptions!$C$8*(1+Assumptions!$C$11)^1+Assumptions!$C$16*1+Assumptions!$C$6*Assumptions!$C$9*(1+Assumptions!$C$12)^1</f>
        <v>745.6021314</v>
      </c>
      <c r="M82" s="139">
        <f>Assumptions!$C$6*Assumptions!$C$7*(1+$G82-0.05*(1-$H82))^2+Assumptions!$C$6*Assumptions!$C$8*(1+Assumptions!$C$11)^2+Assumptions!$C$16*$H82+Assumptions!$C$6*Assumptions!$C$9*(1+Assumptions!$C$12)^2</f>
        <v>772.4213084</v>
      </c>
      <c r="N82" s="139">
        <f>Assumptions!$C$6*Assumptions!$C$7*(1+$G82-0.05*(1-$I82))^3+Assumptions!$C$6*Assumptions!$C$8*(1+Assumptions!$C$11)^3+Assumptions!$C$16*$I82+Assumptions!$C$6*Assumptions!$C$9*(1+Assumptions!$C$12)^3</f>
        <v>800.521948</v>
      </c>
      <c r="O82" s="139">
        <f>Assumptions!$C$6*Assumptions!$C$7*(1+$G82-0.05*(1-$J82))^4+Assumptions!$C$6*Assumptions!$C$8*(1+Assumptions!$C$11)^4+Assumptions!$C$16*$J82+Assumptions!$C$6*Assumptions!$C$9*(1+Assumptions!$C$12)^4</f>
        <v>829.9720339</v>
      </c>
      <c r="P82" s="139">
        <f>Assumptions!$C$6*Assumptions!$C$7*(1+$G82-0.05*(1-$K82))^5+Assumptions!$C$6*Assumptions!$C$8*(1+Assumptions!$C$11)^5+Assumptions!$C$16*$K82+Assumptions!$C$6*Assumptions!$C$9*(1+Assumptions!$C$12)^5</f>
        <v>860.8433167</v>
      </c>
      <c r="Q82" s="139">
        <f>($L82*(1-(Assumptions!$C$25+0.06*(1-1))-Assumptions!$C$27)-Assumptions!$C$28)-MAX(0,($L82*(1-(Assumptions!$C$25+0.06*(1-1))-Assumptions!$C$27)-Assumptions!$C$28)*Assumptions!$C$31)+Assumptions!$C$28-Assumptions!$C$29-$L82*Assumptions!$C$30</f>
        <v>92.80445825</v>
      </c>
      <c r="R82" s="139">
        <f>($M82*(1-(Assumptions!$C$25+0.06*(1-$H82))-Assumptions!$C$27)-Assumptions!$C$28)-MAX(0,($M82*(1-(Assumptions!$C$25+0.06*(1-$H82))-Assumptions!$C$27)-Assumptions!$C$28)*Assumptions!$C$31)+Assumptions!$C$28-Assumptions!$C$29-$M82*Assumptions!$C$30</f>
        <v>98.5705813</v>
      </c>
      <c r="S82" s="139">
        <f>($N82*(1-(Assumptions!$C$25+0.06*(1-$I82))-Assumptions!$C$27)-Assumptions!$C$28)-MAX(0,($N82*(1-(Assumptions!$C$25+0.06*(1-$I82))-Assumptions!$C$27)-Assumptions!$C$28)*Assumptions!$C$31)+Assumptions!$C$28-Assumptions!$C$29-$N82*Assumptions!$C$30</f>
        <v>104.6122188</v>
      </c>
      <c r="T82" s="139">
        <f>($O82*(1-(Assumptions!$C$25+0.06*(1-$J82))-Assumptions!$C$27)-Assumptions!$C$28)-MAX(0,($O82*(1-(Assumptions!$C$25+0.06*(1-$J82))-Assumptions!$C$27)-Assumptions!$C$28)*Assumptions!$C$31)+Assumptions!$C$28-Assumptions!$C$29-$O82*Assumptions!$C$30</f>
        <v>110.9439873</v>
      </c>
      <c r="U82" s="139">
        <f>($P82*(1-(Assumptions!$C$25+0.06*(1-$K82))-Assumptions!$C$27)-Assumptions!$C$28)-MAX(0,($P82*(1-(Assumptions!$C$25+0.06*(1-$K82))-Assumptions!$C$27)-Assumptions!$C$28)*Assumptions!$C$31)+Assumptions!$C$28-Assumptions!$C$29-$P82*Assumptions!$C$30</f>
        <v>117.5813131</v>
      </c>
      <c r="V82" s="143">
        <f>(($Q82/(1+$D82)^1+$R82/(1+$D82)^2+$S82/(1+$D82)^3+$T82/(1+$D82)^4+$U82/(1+$D82)^5+$U82*(1+$E82)/($D82-$E82)/(1+$D82)^5)-Assumptions!$C$37)/Assumptions!$C$40/Assumptions!$C$38</f>
        <v>3.47468869</v>
      </c>
    </row>
    <row r="83" ht="12.0" customHeight="1">
      <c r="B83" s="139">
        <v>31.0</v>
      </c>
      <c r="C83" s="140">
        <f t="shared" si="6"/>
        <v>0.7866145124</v>
      </c>
      <c r="D83" s="141">
        <f t="shared" si="7"/>
        <v>0.1040588274</v>
      </c>
      <c r="E83" s="141">
        <f t="shared" si="8"/>
        <v>0.02057727648</v>
      </c>
      <c r="F83" s="140">
        <f t="shared" si="9"/>
        <v>0.6494202208</v>
      </c>
      <c r="G83" s="141">
        <f t="shared" si="10"/>
        <v>0.06487941875</v>
      </c>
      <c r="H83" s="142">
        <f t="shared" si="11"/>
        <v>0</v>
      </c>
      <c r="I83" s="142">
        <f t="shared" si="12"/>
        <v>0</v>
      </c>
      <c r="J83" s="142">
        <f t="shared" si="13"/>
        <v>0</v>
      </c>
      <c r="K83" s="142">
        <f t="shared" si="14"/>
        <v>1</v>
      </c>
      <c r="L83" s="139">
        <f>Assumptions!$C$6*Assumptions!$C$7*(1+$G83-0.05*(1-1))^1+Assumptions!$C$6*Assumptions!$C$8*(1+Assumptions!$C$11)^1+Assumptions!$C$16*1+Assumptions!$C$6*Assumptions!$C$9*(1+Assumptions!$C$12)^1</f>
        <v>748.3064124</v>
      </c>
      <c r="M83" s="139">
        <f>Assumptions!$C$6*Assumptions!$C$7*(1+$G83-0.05*(1-$H83))^2+Assumptions!$C$6*Assumptions!$C$8*(1+Assumptions!$C$11)^2+Assumptions!$C$16*$H83+Assumptions!$C$6*Assumptions!$C$9*(1+Assumptions!$C$12)^2</f>
        <v>683.156707</v>
      </c>
      <c r="N83" s="139">
        <f>Assumptions!$C$6*Assumptions!$C$7*(1+$G83-0.05*(1-$I83))^3+Assumptions!$C$6*Assumptions!$C$8*(1+Assumptions!$C$11)^3+Assumptions!$C$16*$I83+Assumptions!$C$6*Assumptions!$C$9*(1+Assumptions!$C$12)^3</f>
        <v>695.0445799</v>
      </c>
      <c r="O83" s="139">
        <f>Assumptions!$C$6*Assumptions!$C$7*(1+$G83-0.05*(1-$J83))^4+Assumptions!$C$6*Assumptions!$C$8*(1+Assumptions!$C$11)^4+Assumptions!$C$16*$J83+Assumptions!$C$6*Assumptions!$C$9*(1+Assumptions!$C$12)^4</f>
        <v>707.1437954</v>
      </c>
      <c r="P83" s="139">
        <f>Assumptions!$C$6*Assumptions!$C$7*(1+$G83-0.05*(1-$K83))^5+Assumptions!$C$6*Assumptions!$C$8*(1+Assumptions!$C$11)^5+Assumptions!$C$16*$K83+Assumptions!$C$6*Assumptions!$C$9*(1+Assumptions!$C$12)^5</f>
        <v>877.9698885</v>
      </c>
      <c r="Q83" s="139">
        <f>($L83*(1-(Assumptions!$C$25+0.06*(1-1))-Assumptions!$C$27)-Assumptions!$C$28)-MAX(0,($L83*(1-(Assumptions!$C$25+0.06*(1-1))-Assumptions!$C$27)-Assumptions!$C$28)*Assumptions!$C$31)+Assumptions!$C$28-Assumptions!$C$29-$L83*Assumptions!$C$30</f>
        <v>93.38587866</v>
      </c>
      <c r="R83" s="139">
        <f>($M83*(1-(Assumptions!$C$25+0.06*(1-$H83))-Assumptions!$C$27)-Assumptions!$C$28)-MAX(0,($M83*(1-(Assumptions!$C$25+0.06*(1-$H83))-Assumptions!$C$27)-Assumptions!$C$28)*Assumptions!$C$31)+Assumptions!$C$28-Assumptions!$C$29-$M83*Assumptions!$C$30</f>
        <v>37.1260426</v>
      </c>
      <c r="S83" s="139">
        <f>($N83*(1-(Assumptions!$C$25+0.06*(1-$I83))-Assumptions!$C$27)-Assumptions!$C$28)-MAX(0,($N83*(1-(Assumptions!$C$25+0.06*(1-$I83))-Assumptions!$C$27)-Assumptions!$C$28)*Assumptions!$C$31)+Assumptions!$C$28-Assumptions!$C$29-$N83*Assumptions!$C$30</f>
        <v>39.86025338</v>
      </c>
      <c r="T83" s="139">
        <f>($O83*(1-(Assumptions!$C$25+0.06*(1-$J83))-Assumptions!$C$27)-Assumptions!$C$28)-MAX(0,($O83*(1-(Assumptions!$C$25+0.06*(1-$J83))-Assumptions!$C$27)-Assumptions!$C$28)*Assumptions!$C$31)+Assumptions!$C$28-Assumptions!$C$29-$O83*Assumptions!$C$30</f>
        <v>42.64307295</v>
      </c>
      <c r="U83" s="139">
        <f>($P83*(1-(Assumptions!$C$25+0.06*(1-$K83))-Assumptions!$C$27)-Assumptions!$C$28)-MAX(0,($P83*(1-(Assumptions!$C$25+0.06*(1-$K83))-Assumptions!$C$27)-Assumptions!$C$28)*Assumptions!$C$31)+Assumptions!$C$28-Assumptions!$C$29-$P83*Assumptions!$C$30</f>
        <v>121.263526</v>
      </c>
      <c r="V83" s="143">
        <f>(($Q83/(1+$D83)^1+$R83/(1+$D83)^2+$S83/(1+$D83)^3+$T83/(1+$D83)^4+$U83/(1+$D83)^5+$U83*(1+$E83)/($D83-$E83)/(1+$D83)^5)-Assumptions!$C$37)/Assumptions!$C$40/Assumptions!$C$38</f>
        <v>3.584218106</v>
      </c>
    </row>
    <row r="84" ht="12.0" customHeight="1">
      <c r="B84" s="139">
        <v>32.0</v>
      </c>
      <c r="C84" s="140">
        <f t="shared" si="6"/>
        <v>0.08921978449</v>
      </c>
      <c r="D84" s="141">
        <f t="shared" si="7"/>
        <v>0.09049959152</v>
      </c>
      <c r="E84" s="141">
        <f t="shared" si="8"/>
        <v>0.0290416716</v>
      </c>
      <c r="F84" s="140">
        <f t="shared" si="9"/>
        <v>0.3005725813</v>
      </c>
      <c r="G84" s="141">
        <f t="shared" si="10"/>
        <v>0.05326006548</v>
      </c>
      <c r="H84" s="142">
        <f t="shared" si="11"/>
        <v>0</v>
      </c>
      <c r="I84" s="142">
        <f t="shared" si="12"/>
        <v>1</v>
      </c>
      <c r="J84" s="142">
        <f t="shared" si="13"/>
        <v>0</v>
      </c>
      <c r="K84" s="142">
        <f t="shared" si="14"/>
        <v>0</v>
      </c>
      <c r="L84" s="139">
        <f>Assumptions!$C$6*Assumptions!$C$7*(1+$G84-0.05*(1-1))^1+Assumptions!$C$6*Assumptions!$C$8*(1+Assumptions!$C$11)^1+Assumptions!$C$16*1+Assumptions!$C$6*Assumptions!$C$9*(1+Assumptions!$C$12)^1</f>
        <v>744.395338</v>
      </c>
      <c r="M84" s="139">
        <f>Assumptions!$C$6*Assumptions!$C$7*(1+$G84-0.05*(1-$H84))^2+Assumptions!$C$6*Assumptions!$C$8*(1+Assumptions!$C$11)^2+Assumptions!$C$16*$H84+Assumptions!$C$6*Assumptions!$C$9*(1+Assumptions!$C$12)^2</f>
        <v>675.2636135</v>
      </c>
      <c r="N84" s="139">
        <f>Assumptions!$C$6*Assumptions!$C$7*(1+$G84-0.05*(1-$I84))^3+Assumptions!$C$6*Assumptions!$C$8*(1+Assumptions!$C$11)^3+Assumptions!$C$16*$I84+Assumptions!$C$6*Assumptions!$C$9*(1+Assumptions!$C$12)^3</f>
        <v>796.4919682</v>
      </c>
      <c r="O84" s="139">
        <f>Assumptions!$C$6*Assumptions!$C$7*(1+$G84-0.05*(1-$J84))^4+Assumptions!$C$6*Assumptions!$C$8*(1+Assumptions!$C$11)^4+Assumptions!$C$16*$J84+Assumptions!$C$6*Assumptions!$C$9*(1+Assumptions!$C$12)^4</f>
        <v>691.0694238</v>
      </c>
      <c r="P84" s="139">
        <f>Assumptions!$C$6*Assumptions!$C$7*(1+$G84-0.05*(1-$K84))^5+Assumptions!$C$6*Assumptions!$C$8*(1+Assumptions!$C$11)^5+Assumptions!$C$16*$K84+Assumptions!$C$6*Assumptions!$C$9*(1+Assumptions!$C$12)^5</f>
        <v>699.1823127</v>
      </c>
      <c r="Q84" s="139">
        <f>($L84*(1-(Assumptions!$C$25+0.06*(1-1))-Assumptions!$C$27)-Assumptions!$C$28)-MAX(0,($L84*(1-(Assumptions!$C$25+0.06*(1-1))-Assumptions!$C$27)-Assumptions!$C$28)*Assumptions!$C$31)+Assumptions!$C$28-Assumptions!$C$29-$L84*Assumptions!$C$30</f>
        <v>92.54499768</v>
      </c>
      <c r="R84" s="139">
        <f>($M84*(1-(Assumptions!$C$25+0.06*(1-$H84))-Assumptions!$C$27)-Assumptions!$C$28)-MAX(0,($M84*(1-(Assumptions!$C$25+0.06*(1-$H84))-Assumptions!$C$27)-Assumptions!$C$28)*Assumptions!$C$31)+Assumptions!$C$28-Assumptions!$C$29-$M84*Assumptions!$C$30</f>
        <v>35.3106311</v>
      </c>
      <c r="S84" s="139">
        <f>($N84*(1-(Assumptions!$C$25+0.06*(1-$I84))-Assumptions!$C$27)-Assumptions!$C$28)-MAX(0,($N84*(1-(Assumptions!$C$25+0.06*(1-$I84))-Assumptions!$C$27)-Assumptions!$C$28)*Assumptions!$C$31)+Assumptions!$C$28-Assumptions!$C$29-$N84*Assumptions!$C$30</f>
        <v>103.7457732</v>
      </c>
      <c r="T84" s="139">
        <f>($O84*(1-(Assumptions!$C$25+0.06*(1-$J84))-Assumptions!$C$27)-Assumptions!$C$28)-MAX(0,($O84*(1-(Assumptions!$C$25+0.06*(1-$J84))-Assumptions!$C$27)-Assumptions!$C$28)*Assumptions!$C$31)+Assumptions!$C$28-Assumptions!$C$29-$O84*Assumptions!$C$30</f>
        <v>38.94596747</v>
      </c>
      <c r="U84" s="139">
        <f>($P84*(1-(Assumptions!$C$25+0.06*(1-$K84))-Assumptions!$C$27)-Assumptions!$C$28)-MAX(0,($P84*(1-(Assumptions!$C$25+0.06*(1-$K84))-Assumptions!$C$27)-Assumptions!$C$28)*Assumptions!$C$31)+Assumptions!$C$28-Assumptions!$C$29-$P84*Assumptions!$C$30</f>
        <v>40.81193192</v>
      </c>
      <c r="V84" s="143">
        <f>(($Q84/(1+$D84)^1+$R84/(1+$D84)^2+$S84/(1+$D84)^3+$T84/(1+$D84)^4+$U84/(1+$D84)^5+$U84*(1+$E84)/($D84-$E84)/(1+$D84)^5)-Assumptions!$C$37)/Assumptions!$C$40/Assumptions!$C$38</f>
        <v>-0.0001889873369</v>
      </c>
    </row>
    <row r="85" ht="12.0" customHeight="1">
      <c r="B85" s="139">
        <v>33.0</v>
      </c>
      <c r="C85" s="140">
        <f t="shared" si="6"/>
        <v>0.4064652256</v>
      </c>
      <c r="D85" s="141">
        <f t="shared" si="7"/>
        <v>0.09675245199</v>
      </c>
      <c r="E85" s="141">
        <f t="shared" si="8"/>
        <v>0.01254312289</v>
      </c>
      <c r="F85" s="140">
        <f t="shared" si="9"/>
        <v>0.08520521712</v>
      </c>
      <c r="G85" s="141">
        <f t="shared" si="10"/>
        <v>0.04238423961</v>
      </c>
      <c r="H85" s="142">
        <f t="shared" si="11"/>
        <v>0</v>
      </c>
      <c r="I85" s="142">
        <f t="shared" si="12"/>
        <v>1</v>
      </c>
      <c r="J85" s="142">
        <f t="shared" si="13"/>
        <v>1</v>
      </c>
      <c r="K85" s="142">
        <f t="shared" si="14"/>
        <v>0</v>
      </c>
      <c r="L85" s="139">
        <f>Assumptions!$C$6*Assumptions!$C$7*(1+$G85-0.05*(1-1))^1+Assumptions!$C$6*Assumptions!$C$8*(1+Assumptions!$C$11)^1+Assumptions!$C$16*1+Assumptions!$C$6*Assumptions!$C$9*(1+Assumptions!$C$12)^1</f>
        <v>740.7345351</v>
      </c>
      <c r="M85" s="139">
        <f>Assumptions!$C$6*Assumptions!$C$7*(1+$G85-0.05*(1-$H85))^2+Assumptions!$C$6*Assumptions!$C$8*(1+Assumptions!$C$11)^2+Assumptions!$C$16*$H85+Assumptions!$C$6*Assumptions!$C$9*(1+Assumptions!$C$12)^2</f>
        <v>667.9579528</v>
      </c>
      <c r="N85" s="139">
        <f>Assumptions!$C$6*Assumptions!$C$7*(1+$G85-0.05*(1-$I85))^3+Assumptions!$C$6*Assumptions!$C$8*(1+Assumptions!$C$11)^3+Assumptions!$C$16*$I85+Assumptions!$C$6*Assumptions!$C$9*(1+Assumptions!$C$12)^3</f>
        <v>784.4339298</v>
      </c>
      <c r="O85" s="139">
        <f>Assumptions!$C$6*Assumptions!$C$7*(1+$G85-0.05*(1-$J85))^4+Assumptions!$C$6*Assumptions!$C$8*(1+Assumptions!$C$11)^4+Assumptions!$C$16*$J85+Assumptions!$C$6*Assumptions!$C$9*(1+Assumptions!$C$12)^4</f>
        <v>807.4563594</v>
      </c>
      <c r="P85" s="139">
        <f>Assumptions!$C$6*Assumptions!$C$7*(1+$G85-0.05*(1-$K85))^5+Assumptions!$C$6*Assumptions!$C$8*(1+Assumptions!$C$11)^5+Assumptions!$C$16*$K85+Assumptions!$C$6*Assumptions!$C$9*(1+Assumptions!$C$12)^5</f>
        <v>681.0361532</v>
      </c>
      <c r="Q85" s="139">
        <f>($L85*(1-(Assumptions!$C$25+0.06*(1-1))-Assumptions!$C$27)-Assumptions!$C$28)-MAX(0,($L85*(1-(Assumptions!$C$25+0.06*(1-1))-Assumptions!$C$27)-Assumptions!$C$28)*Assumptions!$C$31)+Assumptions!$C$28-Assumptions!$C$29-$L85*Assumptions!$C$30</f>
        <v>91.75792504</v>
      </c>
      <c r="R85" s="139">
        <f>($M85*(1-(Assumptions!$C$25+0.06*(1-$H85))-Assumptions!$C$27)-Assumptions!$C$28)-MAX(0,($M85*(1-(Assumptions!$C$25+0.06*(1-$H85))-Assumptions!$C$27)-Assumptions!$C$28)*Assumptions!$C$31)+Assumptions!$C$28-Assumptions!$C$29-$M85*Assumptions!$C$30</f>
        <v>33.63032915</v>
      </c>
      <c r="S85" s="139">
        <f>($N85*(1-(Assumptions!$C$25+0.06*(1-$I85))-Assumptions!$C$27)-Assumptions!$C$28)-MAX(0,($N85*(1-(Assumptions!$C$25+0.06*(1-$I85))-Assumptions!$C$27)-Assumptions!$C$28)*Assumptions!$C$31)+Assumptions!$C$28-Assumptions!$C$29-$N85*Assumptions!$C$30</f>
        <v>101.1532949</v>
      </c>
      <c r="T85" s="139">
        <f>($O85*(1-(Assumptions!$C$25+0.06*(1-$J85))-Assumptions!$C$27)-Assumptions!$C$28)-MAX(0,($O85*(1-(Assumptions!$C$25+0.06*(1-$J85))-Assumptions!$C$27)-Assumptions!$C$28)*Assumptions!$C$31)+Assumptions!$C$28-Assumptions!$C$29-$O85*Assumptions!$C$30</f>
        <v>106.1031173</v>
      </c>
      <c r="U85" s="139">
        <f>($P85*(1-(Assumptions!$C$25+0.06*(1-$K85))-Assumptions!$C$27)-Assumptions!$C$28)-MAX(0,($P85*(1-(Assumptions!$C$25+0.06*(1-$K85))-Assumptions!$C$27)-Assumptions!$C$28)*Assumptions!$C$31)+Assumptions!$C$28-Assumptions!$C$29-$P85*Assumptions!$C$30</f>
        <v>36.63831524</v>
      </c>
      <c r="V85" s="143">
        <f>(($Q85/(1+$D85)^1+$R85/(1+$D85)^2+$S85/(1+$D85)^3+$T85/(1+$D85)^4+$U85/(1+$D85)^5+$U85*(1+$E85)/($D85-$E85)/(1+$D85)^5)-Assumptions!$C$37)/Assumptions!$C$40/Assumptions!$C$38</f>
        <v>-1.009567488</v>
      </c>
    </row>
    <row r="86" ht="12.0" customHeight="1">
      <c r="B86" s="139">
        <v>34.0</v>
      </c>
      <c r="C86" s="140">
        <f t="shared" si="6"/>
        <v>0.2011844634</v>
      </c>
      <c r="D86" s="141">
        <f t="shared" si="7"/>
        <v>0.09325842195</v>
      </c>
      <c r="E86" s="141">
        <f t="shared" si="8"/>
        <v>0.02887760834</v>
      </c>
      <c r="F86" s="140">
        <f t="shared" si="9"/>
        <v>0.2770224896</v>
      </c>
      <c r="G86" s="141">
        <f t="shared" si="10"/>
        <v>0.05233025932</v>
      </c>
      <c r="H86" s="142">
        <f t="shared" si="11"/>
        <v>1</v>
      </c>
      <c r="I86" s="142">
        <f t="shared" si="12"/>
        <v>1</v>
      </c>
      <c r="J86" s="142">
        <f t="shared" si="13"/>
        <v>0</v>
      </c>
      <c r="K86" s="142">
        <f t="shared" si="14"/>
        <v>1</v>
      </c>
      <c r="L86" s="139">
        <f>Assumptions!$C$6*Assumptions!$C$7*(1+$G86-0.05*(1-1))^1+Assumptions!$C$6*Assumptions!$C$8*(1+Assumptions!$C$11)^1+Assumptions!$C$16*1+Assumptions!$C$6*Assumptions!$C$9*(1+Assumptions!$C$12)^1</f>
        <v>744.0823653</v>
      </c>
      <c r="M86" s="139">
        <f>Assumptions!$C$6*Assumptions!$C$7*(1+$G86-0.05*(1-$H86))^2+Assumptions!$C$6*Assumptions!$C$8*(1+Assumptions!$C$11)^2+Assumptions!$C$16*$H86+Assumptions!$C$6*Assumptions!$C$9*(1+Assumptions!$C$12)^2</f>
        <v>769.2158549</v>
      </c>
      <c r="N86" s="139">
        <f>Assumptions!$C$6*Assumptions!$C$7*(1+$G86-0.05*(1-$I86))^3+Assumptions!$C$6*Assumptions!$C$8*(1+Assumptions!$C$11)^3+Assumptions!$C$16*$I86+Assumptions!$C$6*Assumptions!$C$9*(1+Assumptions!$C$12)^3</f>
        <v>795.4512921</v>
      </c>
      <c r="O86" s="139">
        <f>Assumptions!$C$6*Assumptions!$C$7*(1+$G86-0.05*(1-$J86))^4+Assumptions!$C$6*Assumptions!$C$8*(1+Assumptions!$C$11)^4+Assumptions!$C$16*$J86+Assumptions!$C$6*Assumptions!$C$9*(1+Assumptions!$C$12)^4</f>
        <v>689.8070054</v>
      </c>
      <c r="P86" s="139">
        <f>Assumptions!$C$6*Assumptions!$C$7*(1+$G86-0.05*(1-$K86))^5+Assumptions!$C$6*Assumptions!$C$8*(1+Assumptions!$C$11)^5+Assumptions!$C$16*$K86+Assumptions!$C$6*Assumptions!$C$9*(1+Assumptions!$C$12)^5</f>
        <v>851.444316</v>
      </c>
      <c r="Q86" s="139">
        <f>($L86*(1-(Assumptions!$C$25+0.06*(1-1))-Assumptions!$C$27)-Assumptions!$C$28)-MAX(0,($L86*(1-(Assumptions!$C$25+0.06*(1-1))-Assumptions!$C$27)-Assumptions!$C$28)*Assumptions!$C$31)+Assumptions!$C$28-Assumptions!$C$29-$L86*Assumptions!$C$30</f>
        <v>92.47770854</v>
      </c>
      <c r="R86" s="139">
        <f>($M86*(1-(Assumptions!$C$25+0.06*(1-$H86))-Assumptions!$C$27)-Assumptions!$C$28)-MAX(0,($M86*(1-(Assumptions!$C$25+0.06*(1-$H86))-Assumptions!$C$27)-Assumptions!$C$28)*Assumptions!$C$31)+Assumptions!$C$28-Assumptions!$C$29-$M86*Assumptions!$C$30</f>
        <v>97.8814088</v>
      </c>
      <c r="S86" s="139">
        <f>($N86*(1-(Assumptions!$C$25+0.06*(1-$I86))-Assumptions!$C$27)-Assumptions!$C$28)-MAX(0,($N86*(1-(Assumptions!$C$25+0.06*(1-$I86))-Assumptions!$C$27)-Assumptions!$C$28)*Assumptions!$C$31)+Assumptions!$C$28-Assumptions!$C$29-$N86*Assumptions!$C$30</f>
        <v>103.5220278</v>
      </c>
      <c r="T86" s="139">
        <f>($O86*(1-(Assumptions!$C$25+0.06*(1-$J86))-Assumptions!$C$27)-Assumptions!$C$28)-MAX(0,($O86*(1-(Assumptions!$C$25+0.06*(1-$J86))-Assumptions!$C$27)-Assumptions!$C$28)*Assumptions!$C$31)+Assumptions!$C$28-Assumptions!$C$29-$O86*Assumptions!$C$30</f>
        <v>38.65561124</v>
      </c>
      <c r="U86" s="139">
        <f>($P86*(1-(Assumptions!$C$25+0.06*(1-$K86))-Assumptions!$C$27)-Assumptions!$C$28)-MAX(0,($P86*(1-(Assumptions!$C$25+0.06*(1-$K86))-Assumptions!$C$27)-Assumptions!$C$28)*Assumptions!$C$31)+Assumptions!$C$28-Assumptions!$C$29-$P86*Assumptions!$C$30</f>
        <v>115.5605279</v>
      </c>
      <c r="V86" s="143">
        <f>(($Q86/(1+$D86)^1+$R86/(1+$D86)^2+$S86/(1+$D86)^3+$T86/(1+$D86)^4+$U86/(1+$D86)^5+$U86*(1+$E86)/($D86-$E86)/(1+$D86)^5)-Assumptions!$C$37)/Assumptions!$C$40/Assumptions!$C$38</f>
        <v>6.53633747</v>
      </c>
    </row>
    <row r="87" ht="12.0" customHeight="1">
      <c r="B87" s="139">
        <v>35.0</v>
      </c>
      <c r="C87" s="140">
        <f t="shared" si="6"/>
        <v>0.5032040021</v>
      </c>
      <c r="D87" s="141">
        <f t="shared" si="7"/>
        <v>0.09830561307</v>
      </c>
      <c r="E87" s="141">
        <f t="shared" si="8"/>
        <v>0.01549364619</v>
      </c>
      <c r="F87" s="140">
        <f t="shared" si="9"/>
        <v>0.1140219829</v>
      </c>
      <c r="G87" s="141">
        <f t="shared" si="10"/>
        <v>0.04432618474</v>
      </c>
      <c r="H87" s="142">
        <f t="shared" si="11"/>
        <v>1</v>
      </c>
      <c r="I87" s="142">
        <f t="shared" si="12"/>
        <v>0</v>
      </c>
      <c r="J87" s="142">
        <f t="shared" si="13"/>
        <v>1</v>
      </c>
      <c r="K87" s="142">
        <f t="shared" si="14"/>
        <v>1</v>
      </c>
      <c r="L87" s="139">
        <f>Assumptions!$C$6*Assumptions!$C$7*(1+$G87-0.05*(1-1))^1+Assumptions!$C$6*Assumptions!$C$8*(1+Assumptions!$C$11)^1+Assumptions!$C$16*1+Assumptions!$C$6*Assumptions!$C$9*(1+Assumptions!$C$12)^1</f>
        <v>741.3881938</v>
      </c>
      <c r="M87" s="139">
        <f>Assumptions!$C$6*Assumptions!$C$7*(1+$G87-0.05*(1-$H87))^2+Assumptions!$C$6*Assumptions!$C$8*(1+Assumptions!$C$11)^2+Assumptions!$C$16*$H87+Assumptions!$C$6*Assumptions!$C$9*(1+Assumptions!$C$12)^2</f>
        <v>763.5671028</v>
      </c>
      <c r="N87" s="139">
        <f>Assumptions!$C$6*Assumptions!$C$7*(1+$G87-0.05*(1-$I87))^3+Assumptions!$C$6*Assumptions!$C$8*(1+Assumptions!$C$11)^3+Assumptions!$C$16*$I87+Assumptions!$C$6*Assumptions!$C$9*(1+Assumptions!$C$12)^3</f>
        <v>674.0976947</v>
      </c>
      <c r="O87" s="139">
        <f>Assumptions!$C$6*Assumptions!$C$7*(1+$G87-0.05*(1-$J87))^4+Assumptions!$C$6*Assumptions!$C$8*(1+Assumptions!$C$11)^4+Assumptions!$C$16*$J87+Assumptions!$C$6*Assumptions!$C$9*(1+Assumptions!$C$12)^4</f>
        <v>810.4260281</v>
      </c>
      <c r="P87" s="139">
        <f>Assumptions!$C$6*Assumptions!$C$7*(1+$G87-0.05*(1-$K87))^5+Assumptions!$C$6*Assumptions!$C$8*(1+Assumptions!$C$11)^5+Assumptions!$C$16*$K87+Assumptions!$C$6*Assumptions!$C$9*(1+Assumptions!$C$12)^5</f>
        <v>835.1739617</v>
      </c>
      <c r="Q87" s="139">
        <f>($L87*(1-(Assumptions!$C$25+0.06*(1-1))-Assumptions!$C$27)-Assumptions!$C$28)-MAX(0,($L87*(1-(Assumptions!$C$25+0.06*(1-1))-Assumptions!$C$27)-Assumptions!$C$28)*Assumptions!$C$31)+Assumptions!$C$28-Assumptions!$C$29-$L87*Assumptions!$C$30</f>
        <v>91.89846166</v>
      </c>
      <c r="R87" s="139">
        <f>($M87*(1-(Assumptions!$C$25+0.06*(1-$H87))-Assumptions!$C$27)-Assumptions!$C$28)-MAX(0,($M87*(1-(Assumptions!$C$25+0.06*(1-$H87))-Assumptions!$C$27)-Assumptions!$C$28)*Assumptions!$C$31)+Assumptions!$C$28-Assumptions!$C$29-$M87*Assumptions!$C$30</f>
        <v>96.66692711</v>
      </c>
      <c r="S87" s="139">
        <f>($N87*(1-(Assumptions!$C$25+0.06*(1-$I87))-Assumptions!$C$27)-Assumptions!$C$28)-MAX(0,($N87*(1-(Assumptions!$C$25+0.06*(1-$I87))-Assumptions!$C$27)-Assumptions!$C$28)*Assumptions!$C$31)+Assumptions!$C$28-Assumptions!$C$29-$N87*Assumptions!$C$30</f>
        <v>35.04246979</v>
      </c>
      <c r="T87" s="139">
        <f>($O87*(1-(Assumptions!$C$25+0.06*(1-$J87))-Assumptions!$C$27)-Assumptions!$C$28)-MAX(0,($O87*(1-(Assumptions!$C$25+0.06*(1-$J87))-Assumptions!$C$27)-Assumptions!$C$28)*Assumptions!$C$31)+Assumptions!$C$28-Assumptions!$C$29-$O87*Assumptions!$C$30</f>
        <v>106.741596</v>
      </c>
      <c r="U87" s="139">
        <f>($P87*(1-(Assumptions!$C$25+0.06*(1-$K87))-Assumptions!$C$27)-Assumptions!$C$28)-MAX(0,($P87*(1-(Assumptions!$C$25+0.06*(1-$K87))-Assumptions!$C$27)-Assumptions!$C$28)*Assumptions!$C$31)+Assumptions!$C$28-Assumptions!$C$29-$P87*Assumptions!$C$30</f>
        <v>112.0624018</v>
      </c>
      <c r="V87" s="143">
        <f>(($Q87/(1+$D87)^1+$R87/(1+$D87)^2+$S87/(1+$D87)^3+$T87/(1+$D87)^4+$U87/(1+$D87)^5+$U87*(1+$E87)/($D87-$E87)/(1+$D87)^5)-Assumptions!$C$37)/Assumptions!$C$40/Assumptions!$C$38</f>
        <v>3.916789202</v>
      </c>
    </row>
    <row r="88" ht="12.0" customHeight="1">
      <c r="B88" s="139">
        <v>36.0</v>
      </c>
      <c r="C88" s="140">
        <f t="shared" si="6"/>
        <v>0.5820454205</v>
      </c>
      <c r="D88" s="141">
        <f t="shared" si="7"/>
        <v>0.09968750448</v>
      </c>
      <c r="E88" s="141">
        <f t="shared" si="8"/>
        <v>0.01104843546</v>
      </c>
      <c r="F88" s="140">
        <f t="shared" si="9"/>
        <v>0.03458271337</v>
      </c>
      <c r="G88" s="141">
        <f t="shared" si="10"/>
        <v>0.0378897962</v>
      </c>
      <c r="H88" s="142">
        <f t="shared" si="11"/>
        <v>0</v>
      </c>
      <c r="I88" s="142">
        <f t="shared" si="12"/>
        <v>1</v>
      </c>
      <c r="J88" s="142">
        <f t="shared" si="13"/>
        <v>1</v>
      </c>
      <c r="K88" s="142">
        <f t="shared" si="14"/>
        <v>1</v>
      </c>
      <c r="L88" s="139">
        <f>Assumptions!$C$6*Assumptions!$C$7*(1+$G88-0.05*(1-1))^1+Assumptions!$C$6*Assumptions!$C$8*(1+Assumptions!$C$11)^1+Assumptions!$C$16*1+Assumptions!$C$6*Assumptions!$C$9*(1+Assumptions!$C$12)^1</f>
        <v>739.2217054</v>
      </c>
      <c r="M88" s="139">
        <f>Assumptions!$C$6*Assumptions!$C$7*(1+$G88-0.05*(1-$H88))^2+Assumptions!$C$6*Assumptions!$C$8*(1+Assumptions!$C$11)^2+Assumptions!$C$16*$H88+Assumptions!$C$6*Assumptions!$C$9*(1+Assumptions!$C$12)^2</f>
        <v>664.9621356</v>
      </c>
      <c r="N88" s="139">
        <f>Assumptions!$C$6*Assumptions!$C$7*(1+$G88-0.05*(1-$I88))^3+Assumptions!$C$6*Assumptions!$C$8*(1+Assumptions!$C$11)^3+Assumptions!$C$16*$I88+Assumptions!$C$6*Assumptions!$C$9*(1+Assumptions!$C$12)^3</f>
        <v>779.523799</v>
      </c>
      <c r="O88" s="139">
        <f>Assumptions!$C$6*Assumptions!$C$7*(1+$G88-0.05*(1-$J88))^4+Assumptions!$C$6*Assumptions!$C$8*(1+Assumptions!$C$11)^4+Assumptions!$C$16*$J88+Assumptions!$C$6*Assumptions!$C$9*(1+Assumptions!$C$12)^4</f>
        <v>800.6467264</v>
      </c>
      <c r="P88" s="139">
        <f>Assumptions!$C$6*Assumptions!$C$7*(1+$G88-0.05*(1-$K88))^5+Assumptions!$C$6*Assumptions!$C$8*(1+Assumptions!$C$11)^5+Assumptions!$C$16*$K88+Assumptions!$C$6*Assumptions!$C$9*(1+Assumptions!$C$12)^5</f>
        <v>822.4472036</v>
      </c>
      <c r="Q88" s="139">
        <f>($L88*(1-(Assumptions!$C$25+0.06*(1-1))-Assumptions!$C$27)-Assumptions!$C$28)-MAX(0,($L88*(1-(Assumptions!$C$25+0.06*(1-1))-Assumptions!$C$27)-Assumptions!$C$28)*Assumptions!$C$31)+Assumptions!$C$28-Assumptions!$C$29-$L88*Assumptions!$C$30</f>
        <v>91.43266666</v>
      </c>
      <c r="R88" s="139">
        <f>($M88*(1-(Assumptions!$C$25+0.06*(1-$H88))-Assumptions!$C$27)-Assumptions!$C$28)-MAX(0,($M88*(1-(Assumptions!$C$25+0.06*(1-$H88))-Assumptions!$C$27)-Assumptions!$C$28)*Assumptions!$C$31)+Assumptions!$C$28-Assumptions!$C$29-$M88*Assumptions!$C$30</f>
        <v>32.94129118</v>
      </c>
      <c r="S88" s="139">
        <f>($N88*(1-(Assumptions!$C$25+0.06*(1-$I88))-Assumptions!$C$27)-Assumptions!$C$28)-MAX(0,($N88*(1-(Assumptions!$C$25+0.06*(1-$I88))-Assumptions!$C$27)-Assumptions!$C$28)*Assumptions!$C$31)+Assumptions!$C$28-Assumptions!$C$29-$N88*Assumptions!$C$30</f>
        <v>100.0976168</v>
      </c>
      <c r="T88" s="139">
        <f>($O88*(1-(Assumptions!$C$25+0.06*(1-$J88))-Assumptions!$C$27)-Assumptions!$C$28)-MAX(0,($O88*(1-(Assumptions!$C$25+0.06*(1-$J88))-Assumptions!$C$27)-Assumptions!$C$28)*Assumptions!$C$31)+Assumptions!$C$28-Assumptions!$C$29-$O88*Assumptions!$C$30</f>
        <v>104.6390462</v>
      </c>
      <c r="U88" s="139">
        <f>($P88*(1-(Assumptions!$C$25+0.06*(1-$K88))-Assumptions!$C$27)-Assumptions!$C$28)-MAX(0,($P88*(1-(Assumptions!$C$25+0.06*(1-$K88))-Assumptions!$C$27)-Assumptions!$C$28)*Assumptions!$C$31)+Assumptions!$C$28-Assumptions!$C$29-$P88*Assumptions!$C$30</f>
        <v>109.3261488</v>
      </c>
      <c r="V88" s="143">
        <f>(($Q88/(1+$D88)^1+$R88/(1+$D88)^2+$S88/(1+$D88)^3+$T88/(1+$D88)^4+$U88/(1+$D88)^5+$U88*(1+$E88)/($D88-$E88)/(1+$D88)^5)-Assumptions!$C$37)/Assumptions!$C$40/Assumptions!$C$38</f>
        <v>3.190892075</v>
      </c>
    </row>
    <row r="89" ht="12.0" customHeight="1">
      <c r="B89" s="139">
        <v>37.0</v>
      </c>
      <c r="C89" s="140">
        <f t="shared" si="6"/>
        <v>0.5103325254</v>
      </c>
      <c r="D89" s="141">
        <f t="shared" si="7"/>
        <v>0.09842581968</v>
      </c>
      <c r="E89" s="141">
        <f t="shared" si="8"/>
        <v>0.0177487539</v>
      </c>
      <c r="F89" s="140">
        <f t="shared" si="9"/>
        <v>0.3130711645</v>
      </c>
      <c r="G89" s="141">
        <f t="shared" si="10"/>
        <v>0.05373874673</v>
      </c>
      <c r="H89" s="142">
        <f t="shared" si="11"/>
        <v>1</v>
      </c>
      <c r="I89" s="142">
        <f t="shared" si="12"/>
        <v>1</v>
      </c>
      <c r="J89" s="142">
        <f t="shared" si="13"/>
        <v>0</v>
      </c>
      <c r="K89" s="142">
        <f t="shared" si="14"/>
        <v>0</v>
      </c>
      <c r="L89" s="139">
        <f>Assumptions!$C$6*Assumptions!$C$7*(1+$G89-0.05*(1-1))^1+Assumptions!$C$6*Assumptions!$C$8*(1+Assumptions!$C$11)^1+Assumptions!$C$16*1+Assumptions!$C$6*Assumptions!$C$9*(1+Assumptions!$C$12)^1</f>
        <v>744.5564621</v>
      </c>
      <c r="M89" s="139">
        <f>Assumptions!$C$6*Assumptions!$C$7*(1+$G89-0.05*(1-$H89))^2+Assumptions!$C$6*Assumptions!$C$8*(1+Assumptions!$C$11)^2+Assumptions!$C$16*$H89+Assumptions!$C$6*Assumptions!$C$9*(1+Assumptions!$C$12)^2</f>
        <v>770.2143356</v>
      </c>
      <c r="N89" s="139">
        <f>Assumptions!$C$6*Assumptions!$C$7*(1+$G89-0.05*(1-$I89))^3+Assumptions!$C$6*Assumptions!$C$8*(1+Assumptions!$C$11)^3+Assumptions!$C$16*$I89+Assumptions!$C$6*Assumptions!$C$9*(1+Assumptions!$C$12)^3</f>
        <v>797.0284443</v>
      </c>
      <c r="O89" s="139">
        <f>Assumptions!$C$6*Assumptions!$C$7*(1+$G89-0.05*(1-$J89))^4+Assumptions!$C$6*Assumptions!$C$8*(1+Assumptions!$C$11)^4+Assumptions!$C$16*$J89+Assumptions!$C$6*Assumptions!$C$9*(1+Assumptions!$C$12)^4</f>
        <v>691.72071</v>
      </c>
      <c r="P89" s="139">
        <f>Assumptions!$C$6*Assumptions!$C$7*(1+$G89-0.05*(1-$K89))^5+Assumptions!$C$6*Assumptions!$C$8*(1+Assumptions!$C$11)^5+Assumptions!$C$16*$K89+Assumptions!$C$6*Assumptions!$C$9*(1+Assumptions!$C$12)^5</f>
        <v>699.9992694</v>
      </c>
      <c r="Q89" s="139">
        <f>($L89*(1-(Assumptions!$C$25+0.06*(1-1))-Assumptions!$C$27)-Assumptions!$C$28)-MAX(0,($L89*(1-(Assumptions!$C$25+0.06*(1-1))-Assumptions!$C$27)-Assumptions!$C$28)*Assumptions!$C$31)+Assumptions!$C$28-Assumptions!$C$29-$L89*Assumptions!$C$30</f>
        <v>92.57963936</v>
      </c>
      <c r="R89" s="139">
        <f>($M89*(1-(Assumptions!$C$25+0.06*(1-$H89))-Assumptions!$C$27)-Assumptions!$C$28)-MAX(0,($M89*(1-(Assumptions!$C$25+0.06*(1-$H89))-Assumptions!$C$27)-Assumptions!$C$28)*Assumptions!$C$31)+Assumptions!$C$28-Assumptions!$C$29-$M89*Assumptions!$C$30</f>
        <v>98.09608215</v>
      </c>
      <c r="S89" s="139">
        <f>($N89*(1-(Assumptions!$C$25+0.06*(1-$I89))-Assumptions!$C$27)-Assumptions!$C$28)-MAX(0,($N89*(1-(Assumptions!$C$25+0.06*(1-$I89))-Assumptions!$C$27)-Assumptions!$C$28)*Assumptions!$C$31)+Assumptions!$C$28-Assumptions!$C$29-$N89*Assumptions!$C$30</f>
        <v>103.8611155</v>
      </c>
      <c r="T89" s="139">
        <f>($O89*(1-(Assumptions!$C$25+0.06*(1-$J89))-Assumptions!$C$27)-Assumptions!$C$28)-MAX(0,($O89*(1-(Assumptions!$C$25+0.06*(1-$J89))-Assumptions!$C$27)-Assumptions!$C$28)*Assumptions!$C$31)+Assumptions!$C$28-Assumptions!$C$29-$O89*Assumptions!$C$30</f>
        <v>39.0957633</v>
      </c>
      <c r="U89" s="139">
        <f>($P89*(1-(Assumptions!$C$25+0.06*(1-$K89))-Assumptions!$C$27)-Assumptions!$C$28)-MAX(0,($P89*(1-(Assumptions!$C$25+0.06*(1-$K89))-Assumptions!$C$27)-Assumptions!$C$28)*Assumptions!$C$31)+Assumptions!$C$28-Assumptions!$C$29-$P89*Assumptions!$C$30</f>
        <v>40.99983197</v>
      </c>
      <c r="V89" s="143">
        <f>(($Q89/(1+$D89)^1+$R89/(1+$D89)^2+$S89/(1+$D89)^3+$T89/(1+$D89)^4+$U89/(1+$D89)^5+$U89*(1+$E89)/($D89-$E89)/(1+$D89)^5)-Assumptions!$C$37)/Assumptions!$C$40/Assumptions!$C$38</f>
        <v>-0.5602336274</v>
      </c>
    </row>
    <row r="90" ht="12.0" customHeight="1">
      <c r="B90" s="139">
        <v>38.0</v>
      </c>
      <c r="C90" s="140">
        <f t="shared" si="6"/>
        <v>0.4924930971</v>
      </c>
      <c r="D90" s="141">
        <f t="shared" si="7"/>
        <v>0.09812660756</v>
      </c>
      <c r="E90" s="141">
        <f t="shared" si="8"/>
        <v>0.01017219499</v>
      </c>
      <c r="F90" s="140">
        <f t="shared" si="9"/>
        <v>0.8843936434</v>
      </c>
      <c r="G90" s="141">
        <f t="shared" si="10"/>
        <v>0.07557462507</v>
      </c>
      <c r="H90" s="142">
        <f t="shared" si="11"/>
        <v>1</v>
      </c>
      <c r="I90" s="142">
        <f t="shared" si="12"/>
        <v>1</v>
      </c>
      <c r="J90" s="142">
        <f t="shared" si="13"/>
        <v>0</v>
      </c>
      <c r="K90" s="142">
        <f t="shared" si="14"/>
        <v>0</v>
      </c>
      <c r="L90" s="139">
        <f>Assumptions!$C$6*Assumptions!$C$7*(1+$G90-0.05*(1-1))^1+Assumptions!$C$6*Assumptions!$C$8*(1+Assumptions!$C$11)^1+Assumptions!$C$16*1+Assumptions!$C$6*Assumptions!$C$9*(1+Assumptions!$C$12)^1</f>
        <v>751.9064188</v>
      </c>
      <c r="M90" s="139">
        <f>Assumptions!$C$6*Assumptions!$C$7*(1+$G90-0.05*(1-$H90))^2+Assumptions!$C$6*Assumptions!$C$8*(1+Assumptions!$C$11)^2+Assumptions!$C$16*$H90+Assumptions!$C$6*Assumptions!$C$9*(1+Assumptions!$C$12)^2</f>
        <v>785.8646966</v>
      </c>
      <c r="N90" s="139">
        <f>Assumptions!$C$6*Assumptions!$C$7*(1+$G90-0.05*(1-$I90))^3+Assumptions!$C$6*Assumptions!$C$8*(1+Assumptions!$C$11)^3+Assumptions!$C$16*$I90+Assumptions!$C$6*Assumptions!$C$9*(1+Assumptions!$C$12)^3</f>
        <v>822.0227126</v>
      </c>
      <c r="O90" s="139">
        <f>Assumptions!$C$6*Assumptions!$C$7*(1+$G90-0.05*(1-$J90))^4+Assumptions!$C$6*Assumptions!$C$8*(1+Assumptions!$C$11)^4+Assumptions!$C$16*$J90+Assumptions!$C$6*Assumptions!$C$9*(1+Assumptions!$C$12)^4</f>
        <v>722.435844</v>
      </c>
      <c r="P90" s="139">
        <f>Assumptions!$C$6*Assumptions!$C$7*(1+$G90-0.05*(1-$K90))^5+Assumptions!$C$6*Assumptions!$C$8*(1+Assumptions!$C$11)^5+Assumptions!$C$16*$K90+Assumptions!$C$6*Assumptions!$C$9*(1+Assumptions!$C$12)^5</f>
        <v>738.9604246</v>
      </c>
      <c r="Q90" s="139">
        <f>($L90*(1-(Assumptions!$C$25+0.06*(1-1))-Assumptions!$C$27)-Assumptions!$C$28)-MAX(0,($L90*(1-(Assumptions!$C$25+0.06*(1-1))-Assumptions!$C$27)-Assumptions!$C$28)*Assumptions!$C$31)+Assumptions!$C$28-Assumptions!$C$29-$L90*Assumptions!$C$30</f>
        <v>94.15988004</v>
      </c>
      <c r="R90" s="139">
        <f>($M90*(1-(Assumptions!$C$25+0.06*(1-$H90))-Assumptions!$C$27)-Assumptions!$C$28)-MAX(0,($M90*(1-(Assumptions!$C$25+0.06*(1-$H90))-Assumptions!$C$27)-Assumptions!$C$28)*Assumptions!$C$31)+Assumptions!$C$28-Assumptions!$C$29-$M90*Assumptions!$C$30</f>
        <v>101.4609098</v>
      </c>
      <c r="S90" s="139">
        <f>($N90*(1-(Assumptions!$C$25+0.06*(1-$I90))-Assumptions!$C$27)-Assumptions!$C$28)-MAX(0,($N90*(1-(Assumptions!$C$25+0.06*(1-$I90))-Assumptions!$C$27)-Assumptions!$C$28)*Assumptions!$C$31)+Assumptions!$C$28-Assumptions!$C$29-$N90*Assumptions!$C$30</f>
        <v>109.2348832</v>
      </c>
      <c r="T90" s="139">
        <f>($O90*(1-(Assumptions!$C$25+0.06*(1-$J90))-Assumptions!$C$27)-Assumptions!$C$28)-MAX(0,($O90*(1-(Assumptions!$C$25+0.06*(1-$J90))-Assumptions!$C$27)-Assumptions!$C$28)*Assumptions!$C$31)+Assumptions!$C$28-Assumptions!$C$29-$O90*Assumptions!$C$30</f>
        <v>46.16024411</v>
      </c>
      <c r="U90" s="139">
        <f>($P90*(1-(Assumptions!$C$25+0.06*(1-$K90))-Assumptions!$C$27)-Assumptions!$C$28)-MAX(0,($P90*(1-(Assumptions!$C$25+0.06*(1-$K90))-Assumptions!$C$27)-Assumptions!$C$28)*Assumptions!$C$31)+Assumptions!$C$28-Assumptions!$C$29-$P90*Assumptions!$C$30</f>
        <v>49.96089766</v>
      </c>
      <c r="V90" s="143">
        <f>(($Q90/(1+$D90)^1+$R90/(1+$D90)^2+$S90/(1+$D90)^3+$T90/(1+$D90)^4+$U90/(1+$D90)^5+$U90*(1+$E90)/($D90-$E90)/(1+$D90)^5)-Assumptions!$C$37)/Assumptions!$C$40/Assumptions!$C$38</f>
        <v>-0.1323070661</v>
      </c>
    </row>
    <row r="91" ht="12.0" customHeight="1">
      <c r="B91" s="139">
        <v>39.0</v>
      </c>
      <c r="C91" s="140">
        <f t="shared" si="6"/>
        <v>0.29839838</v>
      </c>
      <c r="D91" s="141">
        <f t="shared" si="7"/>
        <v>0.09505768616</v>
      </c>
      <c r="E91" s="141">
        <f t="shared" si="8"/>
        <v>0.01547517597</v>
      </c>
      <c r="F91" s="140">
        <f t="shared" si="9"/>
        <v>0.2431514911</v>
      </c>
      <c r="G91" s="141">
        <f t="shared" si="10"/>
        <v>0.05092062819</v>
      </c>
      <c r="H91" s="142">
        <f t="shared" si="11"/>
        <v>0</v>
      </c>
      <c r="I91" s="142">
        <f t="shared" si="12"/>
        <v>1</v>
      </c>
      <c r="J91" s="142">
        <f t="shared" si="13"/>
        <v>0</v>
      </c>
      <c r="K91" s="142">
        <f t="shared" si="14"/>
        <v>1</v>
      </c>
      <c r="L91" s="139">
        <f>Assumptions!$C$6*Assumptions!$C$7*(1+$G91-0.05*(1-1))^1+Assumptions!$C$6*Assumptions!$C$8*(1+Assumptions!$C$11)^1+Assumptions!$C$16*1+Assumptions!$C$6*Assumptions!$C$9*(1+Assumptions!$C$12)^1</f>
        <v>743.6078835</v>
      </c>
      <c r="M91" s="139">
        <f>Assumptions!$C$6*Assumptions!$C$7*(1+$G91-0.05*(1-$H91))^2+Assumptions!$C$6*Assumptions!$C$8*(1+Assumptions!$C$11)^2+Assumptions!$C$16*$H91+Assumptions!$C$6*Assumptions!$C$9*(1+Assumptions!$C$12)^2</f>
        <v>673.6854122</v>
      </c>
      <c r="N91" s="139">
        <f>Assumptions!$C$6*Assumptions!$C$7*(1+$G91-0.05*(1-$I91))^3+Assumptions!$C$6*Assumptions!$C$8*(1+Assumptions!$C$11)^3+Assumptions!$C$16*$I91+Assumptions!$C$6*Assumptions!$C$9*(1+Assumptions!$C$12)^3</f>
        <v>793.8770806</v>
      </c>
      <c r="O91" s="139">
        <f>Assumptions!$C$6*Assumptions!$C$7*(1+$G91-0.05*(1-$J91))^4+Assumptions!$C$6*Assumptions!$C$8*(1+Assumptions!$C$11)^4+Assumptions!$C$16*$J91+Assumptions!$C$6*Assumptions!$C$9*(1+Assumptions!$C$12)^4</f>
        <v>687.8998071</v>
      </c>
      <c r="P91" s="139">
        <f>Assumptions!$C$6*Assumptions!$C$7*(1+$G91-0.05*(1-$K91))^5+Assumptions!$C$6*Assumptions!$C$8*(1+Assumptions!$C$11)^5+Assumptions!$C$16*$K91+Assumptions!$C$6*Assumptions!$C$9*(1+Assumptions!$C$12)^5</f>
        <v>848.5427375</v>
      </c>
      <c r="Q91" s="139">
        <f>($L91*(1-(Assumptions!$C$25+0.06*(1-1))-Assumptions!$C$27)-Assumptions!$C$28)-MAX(0,($L91*(1-(Assumptions!$C$25+0.06*(1-1))-Assumptions!$C$27)-Assumptions!$C$28)*Assumptions!$C$31)+Assumptions!$C$28-Assumptions!$C$29-$L91*Assumptions!$C$30</f>
        <v>92.37569494</v>
      </c>
      <c r="R91" s="139">
        <f>($M91*(1-(Assumptions!$C$25+0.06*(1-$H91))-Assumptions!$C$27)-Assumptions!$C$28)-MAX(0,($M91*(1-(Assumptions!$C$25+0.06*(1-$H91))-Assumptions!$C$27)-Assumptions!$C$28)*Assumptions!$C$31)+Assumptions!$C$28-Assumptions!$C$29-$M91*Assumptions!$C$30</f>
        <v>34.9476448</v>
      </c>
      <c r="S91" s="139">
        <f>($N91*(1-(Assumptions!$C$25+0.06*(1-$I91))-Assumptions!$C$27)-Assumptions!$C$28)-MAX(0,($N91*(1-(Assumptions!$C$25+0.06*(1-$I91))-Assumptions!$C$27)-Assumptions!$C$28)*Assumptions!$C$31)+Assumptions!$C$28-Assumptions!$C$29-$N91*Assumptions!$C$30</f>
        <v>103.1835723</v>
      </c>
      <c r="T91" s="139">
        <f>($O91*(1-(Assumptions!$C$25+0.06*(1-$J91))-Assumptions!$C$27)-Assumptions!$C$28)-MAX(0,($O91*(1-(Assumptions!$C$25+0.06*(1-$J91))-Assumptions!$C$27)-Assumptions!$C$28)*Assumptions!$C$31)+Assumptions!$C$28-Assumptions!$C$29-$O91*Assumptions!$C$30</f>
        <v>38.21695564</v>
      </c>
      <c r="U91" s="139">
        <f>($P91*(1-(Assumptions!$C$25+0.06*(1-$K91))-Assumptions!$C$27)-Assumptions!$C$28)-MAX(0,($P91*(1-(Assumptions!$C$25+0.06*(1-$K91))-Assumptions!$C$27)-Assumptions!$C$28)*Assumptions!$C$31)+Assumptions!$C$28-Assumptions!$C$29-$P91*Assumptions!$C$30</f>
        <v>114.9366886</v>
      </c>
      <c r="V91" s="143">
        <f>(($Q91/(1+$D91)^1+$R91/(1+$D91)^2+$S91/(1+$D91)^3+$T91/(1+$D91)^4+$U91/(1+$D91)^5+$U91*(1+$E91)/($D91-$E91)/(1+$D91)^5)-Assumptions!$C$37)/Assumptions!$C$40/Assumptions!$C$38</f>
        <v>4.146432669</v>
      </c>
    </row>
    <row r="92" ht="12.0" customHeight="1">
      <c r="B92" s="139">
        <v>40.0</v>
      </c>
      <c r="C92" s="140">
        <f t="shared" si="6"/>
        <v>0.6043779241</v>
      </c>
      <c r="D92" s="141">
        <f t="shared" si="7"/>
        <v>0.1001022154</v>
      </c>
      <c r="E92" s="141">
        <f t="shared" si="8"/>
        <v>0.02866930391</v>
      </c>
      <c r="F92" s="140">
        <f t="shared" si="9"/>
        <v>0.8447928768</v>
      </c>
      <c r="G92" s="141">
        <f t="shared" si="10"/>
        <v>0.07328555051</v>
      </c>
      <c r="H92" s="142">
        <f t="shared" si="11"/>
        <v>0</v>
      </c>
      <c r="I92" s="142">
        <f t="shared" si="12"/>
        <v>0</v>
      </c>
      <c r="J92" s="142">
        <f t="shared" si="13"/>
        <v>1</v>
      </c>
      <c r="K92" s="142">
        <f t="shared" si="14"/>
        <v>1</v>
      </c>
      <c r="L92" s="139">
        <f>Assumptions!$C$6*Assumptions!$C$7*(1+$G92-0.05*(1-1))^1+Assumptions!$C$6*Assumptions!$C$8*(1+Assumptions!$C$11)^1+Assumptions!$C$16*1+Assumptions!$C$6*Assumptions!$C$9*(1+Assumptions!$C$12)^1</f>
        <v>751.1359163</v>
      </c>
      <c r="M92" s="139">
        <f>Assumptions!$C$6*Assumptions!$C$7*(1+$G92-0.05*(1-$H92))^2+Assumptions!$C$6*Assumptions!$C$8*(1+Assumptions!$C$11)^2+Assumptions!$C$16*$H92+Assumptions!$C$6*Assumptions!$C$9*(1+Assumptions!$C$12)^2</f>
        <v>688.9237028</v>
      </c>
      <c r="N92" s="139">
        <f>Assumptions!$C$6*Assumptions!$C$7*(1+$G92-0.05*(1-$I92))^3+Assumptions!$C$6*Assumptions!$C$8*(1+Assumptions!$C$11)^3+Assumptions!$C$16*$I92+Assumptions!$C$6*Assumptions!$C$9*(1+Assumptions!$C$12)^3</f>
        <v>703.8601965</v>
      </c>
      <c r="O92" s="139">
        <f>Assumptions!$C$6*Assumptions!$C$7*(1+$G92-0.05*(1-$J92))^4+Assumptions!$C$6*Assumptions!$C$8*(1+Assumptions!$C$11)^4+Assumptions!$C$16*$J92+Assumptions!$C$6*Assumptions!$C$9*(1+Assumptions!$C$12)^4</f>
        <v>856.716689</v>
      </c>
      <c r="P92" s="139">
        <f>Assumptions!$C$6*Assumptions!$C$7*(1+$G92-0.05*(1-$K92))^5+Assumptions!$C$6*Assumptions!$C$8*(1+Assumptions!$C$11)^5+Assumptions!$C$16*$K92+Assumptions!$C$6*Assumptions!$C$9*(1+Assumptions!$C$12)^5</f>
        <v>896.451447</v>
      </c>
      <c r="Q92" s="139">
        <f>($L92*(1-(Assumptions!$C$25+0.06*(1-1))-Assumptions!$C$27)-Assumptions!$C$28)-MAX(0,($L92*(1-(Assumptions!$C$25+0.06*(1-1))-Assumptions!$C$27)-Assumptions!$C$28)*Assumptions!$C$31)+Assumptions!$C$28-Assumptions!$C$29-$L92*Assumptions!$C$30</f>
        <v>93.994222</v>
      </c>
      <c r="R92" s="139">
        <f>($M92*(1-(Assumptions!$C$25+0.06*(1-$H92))-Assumptions!$C$27)-Assumptions!$C$28)-MAX(0,($M92*(1-(Assumptions!$C$25+0.06*(1-$H92))-Assumptions!$C$27)-Assumptions!$C$28)*Assumptions!$C$31)+Assumptions!$C$28-Assumptions!$C$29-$M92*Assumptions!$C$30</f>
        <v>38.45245164</v>
      </c>
      <c r="S92" s="139">
        <f>($N92*(1-(Assumptions!$C$25+0.06*(1-$I92))-Assumptions!$C$27)-Assumptions!$C$28)-MAX(0,($N92*(1-(Assumptions!$C$25+0.06*(1-$I92))-Assumptions!$C$27)-Assumptions!$C$28)*Assumptions!$C$31)+Assumptions!$C$28-Assumptions!$C$29-$N92*Assumptions!$C$30</f>
        <v>41.8878452</v>
      </c>
      <c r="T92" s="139">
        <f>($O92*(1-(Assumptions!$C$25+0.06*(1-$J92))-Assumptions!$C$27)-Assumptions!$C$28)-MAX(0,($O92*(1-(Assumptions!$C$25+0.06*(1-$J92))-Assumptions!$C$27)-Assumptions!$C$28)*Assumptions!$C$31)+Assumptions!$C$28-Assumptions!$C$29-$O92*Assumptions!$C$30</f>
        <v>116.6940881</v>
      </c>
      <c r="U92" s="139">
        <f>($P92*(1-(Assumptions!$C$25+0.06*(1-$K92))-Assumptions!$C$27)-Assumptions!$C$28)-MAX(0,($P92*(1-(Assumptions!$C$25+0.06*(1-$K92))-Assumptions!$C$27)-Assumptions!$C$28)*Assumptions!$C$31)+Assumptions!$C$28-Assumptions!$C$29-$P92*Assumptions!$C$30</f>
        <v>125.2370611</v>
      </c>
      <c r="V92" s="143">
        <f>(($Q92/(1+$D92)^1+$R92/(1+$D92)^2+$S92/(1+$D92)^3+$T92/(1+$D92)^4+$U92/(1+$D92)^5+$U92*(1+$E92)/($D92-$E92)/(1+$D92)^5)-Assumptions!$C$37)/Assumptions!$C$40/Assumptions!$C$38</f>
        <v>5.725559216</v>
      </c>
    </row>
    <row r="93" ht="12.0" customHeight="1">
      <c r="B93" s="139">
        <v>41.0</v>
      </c>
      <c r="C93" s="140">
        <f t="shared" si="6"/>
        <v>0.232432053</v>
      </c>
      <c r="D93" s="141">
        <f t="shared" si="7"/>
        <v>0.09387662469</v>
      </c>
      <c r="E93" s="141">
        <f t="shared" si="8"/>
        <v>0.01932572375</v>
      </c>
      <c r="F93" s="140">
        <f t="shared" si="9"/>
        <v>0.008308058498</v>
      </c>
      <c r="G93" s="141">
        <f t="shared" si="10"/>
        <v>0.03386710555</v>
      </c>
      <c r="H93" s="142">
        <f t="shared" si="11"/>
        <v>1</v>
      </c>
      <c r="I93" s="142">
        <f t="shared" si="12"/>
        <v>1</v>
      </c>
      <c r="J93" s="142">
        <f t="shared" si="13"/>
        <v>0</v>
      </c>
      <c r="K93" s="142">
        <f t="shared" si="14"/>
        <v>1</v>
      </c>
      <c r="L93" s="139">
        <f>Assumptions!$C$6*Assumptions!$C$7*(1+$G93-0.05*(1-1))^1+Assumptions!$C$6*Assumptions!$C$8*(1+Assumptions!$C$11)^1+Assumptions!$C$16*1+Assumptions!$C$6*Assumptions!$C$9*(1+Assumptions!$C$12)^1</f>
        <v>737.8676677</v>
      </c>
      <c r="M93" s="139">
        <f>Assumptions!$C$6*Assumptions!$C$7*(1+$G93-0.05*(1-$H93))^2+Assumptions!$C$6*Assumptions!$C$8*(1+Assumptions!$C$11)^2+Assumptions!$C$16*$H93+Assumptions!$C$6*Assumptions!$C$9*(1+Assumptions!$C$12)^2</f>
        <v>756.2507692</v>
      </c>
      <c r="N93" s="139">
        <f>Assumptions!$C$6*Assumptions!$C$7*(1+$G93-0.05*(1-$I93))^3+Assumptions!$C$6*Assumptions!$C$8*(1+Assumptions!$C$11)^3+Assumptions!$C$16*$I93+Assumptions!$C$6*Assumptions!$C$9*(1+Assumptions!$C$12)^3</f>
        <v>775.1649668</v>
      </c>
      <c r="O93" s="139">
        <f>Assumptions!$C$6*Assumptions!$C$7*(1+$G93-0.05*(1-$J93))^4+Assumptions!$C$6*Assumptions!$C$8*(1+Assumptions!$C$11)^4+Assumptions!$C$16*$J93+Assumptions!$C$6*Assumptions!$C$9*(1+Assumptions!$C$12)^4</f>
        <v>665.4572427</v>
      </c>
      <c r="P93" s="139">
        <f>Assumptions!$C$6*Assumptions!$C$7*(1+$G93-0.05*(1-$K93))^5+Assumptions!$C$6*Assumptions!$C$8*(1+Assumptions!$C$11)^5+Assumptions!$C$16*$K93+Assumptions!$C$6*Assumptions!$C$9*(1+Assumptions!$C$12)^5</f>
        <v>814.651789</v>
      </c>
      <c r="Q93" s="139">
        <f>($L93*(1-(Assumptions!$C$25+0.06*(1-1))-Assumptions!$C$27)-Assumptions!$C$28)-MAX(0,($L93*(1-(Assumptions!$C$25+0.06*(1-1))-Assumptions!$C$27)-Assumptions!$C$28)*Assumptions!$C$31)+Assumptions!$C$28-Assumptions!$C$29-$L93*Assumptions!$C$30</f>
        <v>91.14154856</v>
      </c>
      <c r="R93" s="139">
        <f>($M93*(1-(Assumptions!$C$25+0.06*(1-$H93))-Assumptions!$C$27)-Assumptions!$C$28)-MAX(0,($M93*(1-(Assumptions!$C$25+0.06*(1-$H93))-Assumptions!$C$27)-Assumptions!$C$28)*Assumptions!$C$31)+Assumptions!$C$28-Assumptions!$C$29-$M93*Assumptions!$C$30</f>
        <v>95.09391538</v>
      </c>
      <c r="S93" s="139">
        <f>($N93*(1-(Assumptions!$C$25+0.06*(1-$I93))-Assumptions!$C$27)-Assumptions!$C$28)-MAX(0,($N93*(1-(Assumptions!$C$25+0.06*(1-$I93))-Assumptions!$C$27)-Assumptions!$C$28)*Assumptions!$C$31)+Assumptions!$C$28-Assumptions!$C$29-$N93*Assumptions!$C$30</f>
        <v>99.16046787</v>
      </c>
      <c r="T93" s="139">
        <f>($O93*(1-(Assumptions!$C$25+0.06*(1-$J93))-Assumptions!$C$27)-Assumptions!$C$28)-MAX(0,($O93*(1-(Assumptions!$C$25+0.06*(1-$J93))-Assumptions!$C$27)-Assumptions!$C$28)*Assumptions!$C$31)+Assumptions!$C$28-Assumptions!$C$29-$O93*Assumptions!$C$30</f>
        <v>33.05516582</v>
      </c>
      <c r="U93" s="139">
        <f>($P93*(1-(Assumptions!$C$25+0.06*(1-$K93))-Assumptions!$C$27)-Assumptions!$C$28)-MAX(0,($P93*(1-(Assumptions!$C$25+0.06*(1-$K93))-Assumptions!$C$27)-Assumptions!$C$28)*Assumptions!$C$31)+Assumptions!$C$28-Assumptions!$C$29-$P93*Assumptions!$C$30</f>
        <v>107.6501346</v>
      </c>
      <c r="V93" s="143">
        <f>(($Q93/(1+$D93)^1+$R93/(1+$D93)^2+$S93/(1+$D93)^3+$T93/(1+$D93)^4+$U93/(1+$D93)^5+$U93*(1+$E93)/($D93-$E93)/(1+$D93)^5)-Assumptions!$C$37)/Assumptions!$C$40/Assumptions!$C$38</f>
        <v>4.514333827</v>
      </c>
    </row>
    <row r="94" ht="12.0" customHeight="1">
      <c r="B94" s="139">
        <v>42.0</v>
      </c>
      <c r="C94" s="140">
        <f t="shared" si="6"/>
        <v>0.920212104</v>
      </c>
      <c r="D94" s="141">
        <f t="shared" si="7"/>
        <v>0.1083096331</v>
      </c>
      <c r="E94" s="141">
        <f t="shared" si="8"/>
        <v>0.02488521459</v>
      </c>
      <c r="F94" s="140">
        <f t="shared" si="9"/>
        <v>0.7037001057</v>
      </c>
      <c r="G94" s="141">
        <f t="shared" si="10"/>
        <v>0.06690584901</v>
      </c>
      <c r="H94" s="142">
        <f t="shared" si="11"/>
        <v>1</v>
      </c>
      <c r="I94" s="142">
        <f t="shared" si="12"/>
        <v>1</v>
      </c>
      <c r="J94" s="142">
        <f t="shared" si="13"/>
        <v>1</v>
      </c>
      <c r="K94" s="142">
        <f t="shared" si="14"/>
        <v>1</v>
      </c>
      <c r="L94" s="139">
        <f>Assumptions!$C$6*Assumptions!$C$7*(1+$G94-0.05*(1-1))^1+Assumptions!$C$6*Assumptions!$C$8*(1+Assumptions!$C$11)^1+Assumptions!$C$16*1+Assumptions!$C$6*Assumptions!$C$9*(1+Assumptions!$C$12)^1</f>
        <v>748.9885088</v>
      </c>
      <c r="M94" s="139">
        <f>Assumptions!$C$6*Assumptions!$C$7*(1+$G94-0.05*(1-$H94))^2+Assumptions!$C$6*Assumptions!$C$8*(1+Assumptions!$C$11)^2+Assumptions!$C$16*$H94+Assumptions!$C$6*Assumptions!$C$9*(1+Assumptions!$C$12)^2</f>
        <v>779.6131313</v>
      </c>
      <c r="N94" s="139">
        <f>Assumptions!$C$6*Assumptions!$C$7*(1+$G94-0.05*(1-$I94))^3+Assumptions!$C$6*Assumptions!$C$8*(1+Assumptions!$C$11)^3+Assumptions!$C$16*$I94+Assumptions!$C$6*Assumptions!$C$9*(1+Assumptions!$C$12)^3</f>
        <v>811.9772655</v>
      </c>
      <c r="O94" s="139">
        <f>Assumptions!$C$6*Assumptions!$C$7*(1+$G94-0.05*(1-$J94))^4+Assumptions!$C$6*Assumptions!$C$8*(1+Assumptions!$C$11)^4+Assumptions!$C$16*$J94+Assumptions!$C$6*Assumptions!$C$9*(1+Assumptions!$C$12)^4</f>
        <v>846.1911056</v>
      </c>
      <c r="P94" s="139">
        <f>Assumptions!$C$6*Assumptions!$C$7*(1+$G94-0.05*(1-$K94))^5+Assumptions!$C$6*Assumptions!$C$8*(1+Assumptions!$C$11)^5+Assumptions!$C$16*$K94+Assumptions!$C$6*Assumptions!$C$9*(1+Assumptions!$C$12)^5</f>
        <v>882.372095</v>
      </c>
      <c r="Q94" s="139">
        <f>($L94*(1-(Assumptions!$C$25+0.06*(1-1))-Assumptions!$C$27)-Assumptions!$C$28)-MAX(0,($L94*(1-(Assumptions!$C$25+0.06*(1-1))-Assumptions!$C$27)-Assumptions!$C$28)*Assumptions!$C$31)+Assumptions!$C$28-Assumptions!$C$29-$L94*Assumptions!$C$30</f>
        <v>93.53252939</v>
      </c>
      <c r="R94" s="139">
        <f>($M94*(1-(Assumptions!$C$25+0.06*(1-$H94))-Assumptions!$C$27)-Assumptions!$C$28)-MAX(0,($M94*(1-(Assumptions!$C$25+0.06*(1-$H94))-Assumptions!$C$27)-Assumptions!$C$28)*Assumptions!$C$31)+Assumptions!$C$28-Assumptions!$C$29-$M94*Assumptions!$C$30</f>
        <v>100.1168232</v>
      </c>
      <c r="S94" s="139">
        <f>($N94*(1-(Assumptions!$C$25+0.06*(1-$I94))-Assumptions!$C$27)-Assumptions!$C$28)-MAX(0,($N94*(1-(Assumptions!$C$25+0.06*(1-$I94))-Assumptions!$C$27)-Assumptions!$C$28)*Assumptions!$C$31)+Assumptions!$C$28-Assumptions!$C$29-$N94*Assumptions!$C$30</f>
        <v>107.0751121</v>
      </c>
      <c r="T94" s="139">
        <f>($O94*(1-(Assumptions!$C$25+0.06*(1-$J94))-Assumptions!$C$27)-Assumptions!$C$28)-MAX(0,($O94*(1-(Assumptions!$C$25+0.06*(1-$J94))-Assumptions!$C$27)-Assumptions!$C$28)*Assumptions!$C$31)+Assumptions!$C$28-Assumptions!$C$29-$O94*Assumptions!$C$30</f>
        <v>114.4310877</v>
      </c>
      <c r="U94" s="139">
        <f>($P94*(1-(Assumptions!$C$25+0.06*(1-$K94))-Assumptions!$C$27)-Assumptions!$C$28)-MAX(0,($P94*(1-(Assumptions!$C$25+0.06*(1-$K94))-Assumptions!$C$27)-Assumptions!$C$28)*Assumptions!$C$31)+Assumptions!$C$28-Assumptions!$C$29-$P94*Assumptions!$C$30</f>
        <v>122.2100004</v>
      </c>
      <c r="V94" s="143">
        <f>(($Q94/(1+$D94)^1+$R94/(1+$D94)^2+$S94/(1+$D94)^3+$T94/(1+$D94)^4+$U94/(1+$D94)^5+$U94*(1+$E94)/($D94-$E94)/(1+$D94)^5)-Assumptions!$C$37)/Assumptions!$C$40/Assumptions!$C$38</f>
        <v>4.679074037</v>
      </c>
    </row>
    <row r="95" ht="12.0" customHeight="1">
      <c r="B95" s="139">
        <v>43.0</v>
      </c>
      <c r="C95" s="140">
        <f t="shared" si="6"/>
        <v>0.8535587547</v>
      </c>
      <c r="D95" s="141">
        <f t="shared" si="7"/>
        <v>0.1059361411</v>
      </c>
      <c r="E95" s="141">
        <f t="shared" si="8"/>
        <v>0.02301526582</v>
      </c>
      <c r="F95" s="140">
        <f t="shared" si="9"/>
        <v>0.4704875776</v>
      </c>
      <c r="G95" s="141">
        <f t="shared" si="10"/>
        <v>0.05910116217</v>
      </c>
      <c r="H95" s="142">
        <f t="shared" si="11"/>
        <v>1</v>
      </c>
      <c r="I95" s="142">
        <f t="shared" si="12"/>
        <v>0</v>
      </c>
      <c r="J95" s="142">
        <f t="shared" si="13"/>
        <v>1</v>
      </c>
      <c r="K95" s="142">
        <f t="shared" si="14"/>
        <v>1</v>
      </c>
      <c r="L95" s="139">
        <f>Assumptions!$C$6*Assumptions!$C$7*(1+$G95-0.05*(1-1))^1+Assumptions!$C$6*Assumptions!$C$8*(1+Assumptions!$C$11)^1+Assumptions!$C$16*1+Assumptions!$C$6*Assumptions!$C$9*(1+Assumptions!$C$12)^1</f>
        <v>746.3614512</v>
      </c>
      <c r="M95" s="139">
        <f>Assumptions!$C$6*Assumptions!$C$7*(1+$G95-0.05*(1-$H95))^2+Assumptions!$C$6*Assumptions!$C$8*(1+Assumptions!$C$11)^2+Assumptions!$C$16*$H95+Assumptions!$C$6*Assumptions!$C$9*(1+Assumptions!$C$12)^2</f>
        <v>774.0279885</v>
      </c>
      <c r="N95" s="139">
        <f>Assumptions!$C$6*Assumptions!$C$7*(1+$G95-0.05*(1-$I95))^3+Assumptions!$C$6*Assumptions!$C$8*(1+Assumptions!$C$11)^3+Assumptions!$C$16*$I95+Assumptions!$C$6*Assumptions!$C$9*(1+Assumptions!$C$12)^3</f>
        <v>689.0689174</v>
      </c>
      <c r="O95" s="139">
        <f>Assumptions!$C$6*Assumptions!$C$7*(1+$G95-0.05*(1-$J95))^4+Assumptions!$C$6*Assumptions!$C$8*(1+Assumptions!$C$11)^4+Assumptions!$C$16*$J95+Assumptions!$C$6*Assumptions!$C$9*(1+Assumptions!$C$12)^4</f>
        <v>833.5687757</v>
      </c>
      <c r="P95" s="139">
        <f>Assumptions!$C$6*Assumptions!$C$7*(1+$G95-0.05*(1-$K95))^5+Assumptions!$C$6*Assumptions!$C$8*(1+Assumptions!$C$11)^5+Assumptions!$C$16*$K95+Assumptions!$C$6*Assumptions!$C$9*(1+Assumptions!$C$12)^5</f>
        <v>865.5998928</v>
      </c>
      <c r="Q95" s="139">
        <f>($L95*(1-(Assumptions!$C$25+0.06*(1-1))-Assumptions!$C$27)-Assumptions!$C$28)-MAX(0,($L95*(1-(Assumptions!$C$25+0.06*(1-1))-Assumptions!$C$27)-Assumptions!$C$28)*Assumptions!$C$31)+Assumptions!$C$28-Assumptions!$C$29-$L95*Assumptions!$C$30</f>
        <v>92.96771201</v>
      </c>
      <c r="R95" s="139">
        <f>($M95*(1-(Assumptions!$C$25+0.06*(1-$H95))-Assumptions!$C$27)-Assumptions!$C$28)-MAX(0,($M95*(1-(Assumptions!$C$25+0.06*(1-$H95))-Assumptions!$C$27)-Assumptions!$C$28)*Assumptions!$C$31)+Assumptions!$C$28-Assumptions!$C$29-$M95*Assumptions!$C$30</f>
        <v>98.91601752</v>
      </c>
      <c r="S95" s="139">
        <f>($N95*(1-(Assumptions!$C$25+0.06*(1-$I95))-Assumptions!$C$27)-Assumptions!$C$28)-MAX(0,($N95*(1-(Assumptions!$C$25+0.06*(1-$I95))-Assumptions!$C$27)-Assumptions!$C$28)*Assumptions!$C$31)+Assumptions!$C$28-Assumptions!$C$29-$N95*Assumptions!$C$30</f>
        <v>38.485851</v>
      </c>
      <c r="T95" s="139">
        <f>($O95*(1-(Assumptions!$C$25+0.06*(1-$J95))-Assumptions!$C$27)-Assumptions!$C$28)-MAX(0,($O95*(1-(Assumptions!$C$25+0.06*(1-$J95))-Assumptions!$C$27)-Assumptions!$C$28)*Assumptions!$C$31)+Assumptions!$C$28-Assumptions!$C$29-$O95*Assumptions!$C$30</f>
        <v>111.7172868</v>
      </c>
      <c r="U95" s="139">
        <f>($P95*(1-(Assumptions!$C$25+0.06*(1-$K95))-Assumptions!$C$27)-Assumptions!$C$28)-MAX(0,($P95*(1-(Assumptions!$C$25+0.06*(1-$K95))-Assumptions!$C$27)-Assumptions!$C$28)*Assumptions!$C$31)+Assumptions!$C$28-Assumptions!$C$29-$P95*Assumptions!$C$30</f>
        <v>118.6039769</v>
      </c>
      <c r="V95" s="143">
        <f>(($Q95/(1+$D95)^1+$R95/(1+$D95)^2+$S95/(1+$D95)^3+$T95/(1+$D95)^4+$U95/(1+$D95)^5+$U95*(1+$E95)/($D95-$E95)/(1+$D95)^5)-Assumptions!$C$37)/Assumptions!$C$40/Assumptions!$C$38</f>
        <v>4.15555857</v>
      </c>
    </row>
    <row r="96" ht="12.0" customHeight="1">
      <c r="B96" s="139">
        <v>44.0</v>
      </c>
      <c r="C96" s="140">
        <f t="shared" si="6"/>
        <v>0.2117566793</v>
      </c>
      <c r="D96" s="141">
        <f t="shared" si="7"/>
        <v>0.09347263326</v>
      </c>
      <c r="E96" s="141">
        <f t="shared" si="8"/>
        <v>0.02442706036</v>
      </c>
      <c r="F96" s="140">
        <f t="shared" si="9"/>
        <v>0.7681416035</v>
      </c>
      <c r="G96" s="141">
        <f t="shared" si="10"/>
        <v>0.06957097374</v>
      </c>
      <c r="H96" s="142">
        <f t="shared" si="11"/>
        <v>0</v>
      </c>
      <c r="I96" s="142">
        <f t="shared" si="12"/>
        <v>0</v>
      </c>
      <c r="J96" s="142">
        <f t="shared" si="13"/>
        <v>0</v>
      </c>
      <c r="K96" s="142">
        <f t="shared" si="14"/>
        <v>0</v>
      </c>
      <c r="L96" s="139">
        <f>Assumptions!$C$6*Assumptions!$C$7*(1+$G96-0.05*(1-1))^1+Assumptions!$C$6*Assumptions!$C$8*(1+Assumptions!$C$11)^1+Assumptions!$C$16*1+Assumptions!$C$6*Assumptions!$C$9*(1+Assumptions!$C$12)^1</f>
        <v>749.8855898</v>
      </c>
      <c r="M96" s="139">
        <f>Assumptions!$C$6*Assumptions!$C$7*(1+$G96-0.05*(1-$H96))^2+Assumptions!$C$6*Assumptions!$C$8*(1+Assumptions!$C$11)^2+Assumptions!$C$16*$H96+Assumptions!$C$6*Assumptions!$C$9*(1+Assumptions!$C$12)^2</f>
        <v>686.3694651</v>
      </c>
      <c r="N96" s="139">
        <f>Assumptions!$C$6*Assumptions!$C$7*(1+$G96-0.05*(1-$I96))^3+Assumptions!$C$6*Assumptions!$C$8*(1+Assumptions!$C$11)^3+Assumptions!$C$16*$I96+Assumptions!$C$6*Assumptions!$C$9*(1+Assumptions!$C$12)^3</f>
        <v>699.9467363</v>
      </c>
      <c r="O96" s="139">
        <f>Assumptions!$C$6*Assumptions!$C$7*(1+$G96-0.05*(1-$J96))^4+Assumptions!$C$6*Assumptions!$C$8*(1+Assumptions!$C$11)^4+Assumptions!$C$16*$J96+Assumptions!$C$6*Assumptions!$C$9*(1+Assumptions!$C$12)^4</f>
        <v>713.792615</v>
      </c>
      <c r="P96" s="139">
        <f>Assumptions!$C$6*Assumptions!$C$7*(1+$G96-0.05*(1-$K96))^5+Assumptions!$C$6*Assumptions!$C$8*(1+Assumptions!$C$11)^5+Assumptions!$C$16*$K96+Assumptions!$C$6*Assumptions!$C$9*(1+Assumptions!$C$12)^5</f>
        <v>727.9124159</v>
      </c>
      <c r="Q96" s="139">
        <f>($L96*(1-(Assumptions!$C$25+0.06*(1-1))-Assumptions!$C$27)-Assumptions!$C$28)-MAX(0,($L96*(1-(Assumptions!$C$25+0.06*(1-1))-Assumptions!$C$27)-Assumptions!$C$28)*Assumptions!$C$31)+Assumptions!$C$28-Assumptions!$C$29-$L96*Assumptions!$C$30</f>
        <v>93.7254018</v>
      </c>
      <c r="R96" s="139">
        <f>($M96*(1-(Assumptions!$C$25+0.06*(1-$H96))-Assumptions!$C$27)-Assumptions!$C$28)-MAX(0,($M96*(1-(Assumptions!$C$25+0.06*(1-$H96))-Assumptions!$C$27)-Assumptions!$C$28)*Assumptions!$C$31)+Assumptions!$C$28-Assumptions!$C$29-$M96*Assumptions!$C$30</f>
        <v>37.86497697</v>
      </c>
      <c r="S96" s="139">
        <f>($N96*(1-(Assumptions!$C$25+0.06*(1-$I96))-Assumptions!$C$27)-Assumptions!$C$28)-MAX(0,($N96*(1-(Assumptions!$C$25+0.06*(1-$I96))-Assumptions!$C$27)-Assumptions!$C$28)*Assumptions!$C$31)+Assumptions!$C$28-Assumptions!$C$29-$N96*Assumptions!$C$30</f>
        <v>40.98774935</v>
      </c>
      <c r="T96" s="139">
        <f>($O96*(1-(Assumptions!$C$25+0.06*(1-$J96))-Assumptions!$C$27)-Assumptions!$C$28)-MAX(0,($O96*(1-(Assumptions!$C$25+0.06*(1-$J96))-Assumptions!$C$27)-Assumptions!$C$28)*Assumptions!$C$31)+Assumptions!$C$28-Assumptions!$C$29-$O96*Assumptions!$C$30</f>
        <v>44.17230146</v>
      </c>
      <c r="U96" s="139">
        <f>($P96*(1-(Assumptions!$C$25+0.06*(1-$K96))-Assumptions!$C$27)-Assumptions!$C$28)-MAX(0,($P96*(1-(Assumptions!$C$25+0.06*(1-$K96))-Assumptions!$C$27)-Assumptions!$C$28)*Assumptions!$C$31)+Assumptions!$C$28-Assumptions!$C$29-$P96*Assumptions!$C$30</f>
        <v>47.41985565</v>
      </c>
      <c r="V96" s="143">
        <f>(($Q96/(1+$D96)^1+$R96/(1+$D96)^2+$S96/(1+$D96)^3+$T96/(1+$D96)^4+$U96/(1+$D96)^5+$U96*(1+$E96)/($D96-$E96)/(1+$D96)^5)-Assumptions!$C$37)/Assumptions!$C$40/Assumptions!$C$38</f>
        <v>-0.2472540034</v>
      </c>
    </row>
    <row r="97" ht="12.0" customHeight="1">
      <c r="B97" s="139">
        <v>45.0</v>
      </c>
      <c r="C97" s="140">
        <f t="shared" si="6"/>
        <v>0.7660570547</v>
      </c>
      <c r="D97" s="141">
        <f t="shared" si="7"/>
        <v>0.1035439103</v>
      </c>
      <c r="E97" s="141">
        <f t="shared" si="8"/>
        <v>0.01402972144</v>
      </c>
      <c r="F97" s="140">
        <f t="shared" si="9"/>
        <v>0.5350981225</v>
      </c>
      <c r="G97" s="141">
        <f t="shared" si="10"/>
        <v>0.06107210033</v>
      </c>
      <c r="H97" s="142">
        <f t="shared" si="11"/>
        <v>1</v>
      </c>
      <c r="I97" s="142">
        <f t="shared" si="12"/>
        <v>0</v>
      </c>
      <c r="J97" s="142">
        <f t="shared" si="13"/>
        <v>1</v>
      </c>
      <c r="K97" s="142">
        <f t="shared" si="14"/>
        <v>1</v>
      </c>
      <c r="L97" s="139">
        <f>Assumptions!$C$6*Assumptions!$C$7*(1+$G97-0.05*(1-1))^1+Assumptions!$C$6*Assumptions!$C$8*(1+Assumptions!$C$11)^1+Assumptions!$C$16*1+Assumptions!$C$6*Assumptions!$C$9*(1+Assumptions!$C$12)^1</f>
        <v>747.024869</v>
      </c>
      <c r="M97" s="139">
        <f>Assumptions!$C$6*Assumptions!$C$7*(1+$G97-0.05*(1-$H97))^2+Assumptions!$C$6*Assumptions!$C$8*(1+Assumptions!$C$11)^2+Assumptions!$C$16*$H97+Assumptions!$C$6*Assumptions!$C$9*(1+Assumptions!$C$12)^2</f>
        <v>775.4345491</v>
      </c>
      <c r="N97" s="139">
        <f>Assumptions!$C$6*Assumptions!$C$7*(1+$G97-0.05*(1-$I97))^3+Assumptions!$C$6*Assumptions!$C$8*(1+Assumptions!$C$11)^3+Assumptions!$C$16*$I97+Assumptions!$C$6*Assumptions!$C$9*(1+Assumptions!$C$12)^3</f>
        <v>691.0995238</v>
      </c>
      <c r="O97" s="139">
        <f>Assumptions!$C$6*Assumptions!$C$7*(1+$G97-0.05*(1-$J97))^4+Assumptions!$C$6*Assumptions!$C$8*(1+Assumptions!$C$11)^4+Assumptions!$C$16*$J97+Assumptions!$C$6*Assumptions!$C$9*(1+Assumptions!$C$12)^4</f>
        <v>836.7301182</v>
      </c>
      <c r="P97" s="139">
        <f>Assumptions!$C$6*Assumptions!$C$7*(1+$G97-0.05*(1-$K97))^5+Assumptions!$C$6*Assumptions!$C$8*(1+Assumptions!$C$11)^5+Assumptions!$C$16*$K97+Assumptions!$C$6*Assumptions!$C$9*(1+Assumptions!$C$12)^5</f>
        <v>869.7890175</v>
      </c>
      <c r="Q97" s="139">
        <f>($L97*(1-(Assumptions!$C$25+0.06*(1-1))-Assumptions!$C$27)-Assumptions!$C$28)-MAX(0,($L97*(1-(Assumptions!$C$25+0.06*(1-1))-Assumptions!$C$27)-Assumptions!$C$28)*Assumptions!$C$31)+Assumptions!$C$28-Assumptions!$C$29-$L97*Assumptions!$C$30</f>
        <v>93.11034683</v>
      </c>
      <c r="R97" s="139">
        <f>($M97*(1-(Assumptions!$C$25+0.06*(1-$H97))-Assumptions!$C$27)-Assumptions!$C$28)-MAX(0,($M97*(1-(Assumptions!$C$25+0.06*(1-$H97))-Assumptions!$C$27)-Assumptions!$C$28)*Assumptions!$C$31)+Assumptions!$C$28-Assumptions!$C$29-$M97*Assumptions!$C$30</f>
        <v>99.21842806</v>
      </c>
      <c r="S97" s="139">
        <f>($N97*(1-(Assumptions!$C$25+0.06*(1-$I97))-Assumptions!$C$27)-Assumptions!$C$28)-MAX(0,($N97*(1-(Assumptions!$C$25+0.06*(1-$I97))-Assumptions!$C$27)-Assumptions!$C$28)*Assumptions!$C$31)+Assumptions!$C$28-Assumptions!$C$29-$N97*Assumptions!$C$30</f>
        <v>38.95289047</v>
      </c>
      <c r="T97" s="139">
        <f>($O97*(1-(Assumptions!$C$25+0.06*(1-$J97))-Assumptions!$C$27)-Assumptions!$C$28)-MAX(0,($O97*(1-(Assumptions!$C$25+0.06*(1-$J97))-Assumptions!$C$27)-Assumptions!$C$28)*Assumptions!$C$31)+Assumptions!$C$28-Assumptions!$C$29-$O97*Assumptions!$C$30</f>
        <v>112.3969754</v>
      </c>
      <c r="U97" s="139">
        <f>($P97*(1-(Assumptions!$C$25+0.06*(1-$K97))-Assumptions!$C$27)-Assumptions!$C$28)-MAX(0,($P97*(1-(Assumptions!$C$25+0.06*(1-$K97))-Assumptions!$C$27)-Assumptions!$C$28)*Assumptions!$C$31)+Assumptions!$C$28-Assumptions!$C$29-$P97*Assumptions!$C$30</f>
        <v>119.5046388</v>
      </c>
      <c r="V97" s="143">
        <f>(($Q97/(1+$D97)^1+$R97/(1+$D97)^2+$S97/(1+$D97)^3+$T97/(1+$D97)^4+$U97/(1+$D97)^5+$U97*(1+$E97)/($D97-$E97)/(1+$D97)^5)-Assumptions!$C$37)/Assumptions!$C$40/Assumptions!$C$38</f>
        <v>3.738952534</v>
      </c>
    </row>
    <row r="98" ht="12.0" customHeight="1">
      <c r="B98" s="139">
        <v>46.0</v>
      </c>
      <c r="C98" s="140">
        <f t="shared" si="6"/>
        <v>0.5685428216</v>
      </c>
      <c r="D98" s="141">
        <f t="shared" si="7"/>
        <v>0.09944212492</v>
      </c>
      <c r="E98" s="141">
        <f t="shared" si="8"/>
        <v>0.02787800135</v>
      </c>
      <c r="F98" s="140">
        <f t="shared" si="9"/>
        <v>0.168039208</v>
      </c>
      <c r="G98" s="141">
        <f t="shared" si="10"/>
        <v>0.04739168118</v>
      </c>
      <c r="H98" s="142">
        <f t="shared" si="11"/>
        <v>1</v>
      </c>
      <c r="I98" s="142">
        <f t="shared" si="12"/>
        <v>1</v>
      </c>
      <c r="J98" s="142">
        <f t="shared" si="13"/>
        <v>1</v>
      </c>
      <c r="K98" s="142">
        <f t="shared" si="14"/>
        <v>0</v>
      </c>
      <c r="L98" s="139">
        <f>Assumptions!$C$6*Assumptions!$C$7*(1+$G98-0.05*(1-1))^1+Assumptions!$C$6*Assumptions!$C$8*(1+Assumptions!$C$11)^1+Assumptions!$C$16*1+Assumptions!$C$6*Assumptions!$C$9*(1+Assumptions!$C$12)^1</f>
        <v>742.4200399</v>
      </c>
      <c r="M98" s="139">
        <f>Assumptions!$C$6*Assumptions!$C$7*(1+$G98-0.05*(1-$H98))^2+Assumptions!$C$6*Assumptions!$C$8*(1+Assumptions!$C$11)^2+Assumptions!$C$16*$H98+Assumptions!$C$6*Assumptions!$C$9*(1+Assumptions!$C$12)^2</f>
        <v>765.7254338</v>
      </c>
      <c r="N98" s="139">
        <f>Assumptions!$C$6*Assumptions!$C$7*(1+$G98-0.05*(1-$I98))^3+Assumptions!$C$6*Assumptions!$C$8*(1+Assumptions!$C$11)^3+Assumptions!$C$16*$I98+Assumptions!$C$6*Assumptions!$C$9*(1+Assumptions!$C$12)^3</f>
        <v>789.9545967</v>
      </c>
      <c r="O98" s="139">
        <f>Assumptions!$C$6*Assumptions!$C$7*(1+$G98-0.05*(1-$J98))^4+Assumptions!$C$6*Assumptions!$C$8*(1+Assumptions!$C$11)^4+Assumptions!$C$16*$J98+Assumptions!$C$6*Assumptions!$C$9*(1+Assumptions!$C$12)^4</f>
        <v>815.1476933</v>
      </c>
      <c r="P98" s="139">
        <f>Assumptions!$C$6*Assumptions!$C$7*(1+$G98-0.05*(1-$K98))^5+Assumptions!$C$6*Assumptions!$C$8*(1+Assumptions!$C$11)^5+Assumptions!$C$16*$K98+Assumptions!$C$6*Assumptions!$C$9*(1+Assumptions!$C$12)^5</f>
        <v>689.2927715</v>
      </c>
      <c r="Q98" s="139">
        <f>($L98*(1-(Assumptions!$C$25+0.06*(1-1))-Assumptions!$C$27)-Assumptions!$C$28)-MAX(0,($L98*(1-(Assumptions!$C$25+0.06*(1-1))-Assumptions!$C$27)-Assumptions!$C$28)*Assumptions!$C$31)+Assumptions!$C$28-Assumptions!$C$29-$L98*Assumptions!$C$30</f>
        <v>92.12030858</v>
      </c>
      <c r="R98" s="139">
        <f>($M98*(1-(Assumptions!$C$25+0.06*(1-$H98))-Assumptions!$C$27)-Assumptions!$C$28)-MAX(0,($M98*(1-(Assumptions!$C$25+0.06*(1-$H98))-Assumptions!$C$27)-Assumptions!$C$28)*Assumptions!$C$31)+Assumptions!$C$28-Assumptions!$C$29-$M98*Assumptions!$C$30</f>
        <v>97.13096826</v>
      </c>
      <c r="S98" s="139">
        <f>($N98*(1-(Assumptions!$C$25+0.06*(1-$I98))-Assumptions!$C$27)-Assumptions!$C$28)-MAX(0,($N98*(1-(Assumptions!$C$25+0.06*(1-$I98))-Assumptions!$C$27)-Assumptions!$C$28)*Assumptions!$C$31)+Assumptions!$C$28-Assumptions!$C$29-$N98*Assumptions!$C$30</f>
        <v>102.3402383</v>
      </c>
      <c r="T98" s="139">
        <f>($O98*(1-(Assumptions!$C$25+0.06*(1-$J98))-Assumptions!$C$27)-Assumptions!$C$28)-MAX(0,($O98*(1-(Assumptions!$C$25+0.06*(1-$J98))-Assumptions!$C$27)-Assumptions!$C$28)*Assumptions!$C$31)+Assumptions!$C$28-Assumptions!$C$29-$O98*Assumptions!$C$30</f>
        <v>107.7567541</v>
      </c>
      <c r="U98" s="139">
        <f>($P98*(1-(Assumptions!$C$25+0.06*(1-$K98))-Assumptions!$C$27)-Assumptions!$C$28)-MAX(0,($P98*(1-(Assumptions!$C$25+0.06*(1-$K98))-Assumptions!$C$27)-Assumptions!$C$28)*Assumptions!$C$31)+Assumptions!$C$28-Assumptions!$C$29-$P98*Assumptions!$C$30</f>
        <v>38.53733745</v>
      </c>
      <c r="V98" s="143">
        <f>(($Q98/(1+$D98)^1+$R98/(1+$D98)^2+$S98/(1+$D98)^3+$T98/(1+$D98)^4+$U98/(1+$D98)^5+$U98*(1+$E98)/($D98-$E98)/(1+$D98)^5)-Assumptions!$C$37)/Assumptions!$C$40/Assumptions!$C$38</f>
        <v>-0.06438843657</v>
      </c>
    </row>
    <row r="99" ht="12.0" customHeight="1">
      <c r="B99" s="139">
        <v>47.0</v>
      </c>
      <c r="C99" s="140">
        <f t="shared" si="6"/>
        <v>0.8428789915</v>
      </c>
      <c r="D99" s="141">
        <f t="shared" si="7"/>
        <v>0.1056114492</v>
      </c>
      <c r="E99" s="141">
        <f t="shared" si="8"/>
        <v>0.01779239262</v>
      </c>
      <c r="F99" s="140">
        <f t="shared" si="9"/>
        <v>0.8950544526</v>
      </c>
      <c r="G99" s="141">
        <f t="shared" si="10"/>
        <v>0.07625583814</v>
      </c>
      <c r="H99" s="142">
        <f t="shared" si="11"/>
        <v>1</v>
      </c>
      <c r="I99" s="142">
        <f t="shared" si="12"/>
        <v>1</v>
      </c>
      <c r="J99" s="142">
        <f t="shared" si="13"/>
        <v>0</v>
      </c>
      <c r="K99" s="142">
        <f t="shared" si="14"/>
        <v>0</v>
      </c>
      <c r="L99" s="139">
        <f>Assumptions!$C$6*Assumptions!$C$7*(1+$G99-0.05*(1-1))^1+Assumptions!$C$6*Assumptions!$C$8*(1+Assumptions!$C$11)^1+Assumptions!$C$16*1+Assumptions!$C$6*Assumptions!$C$9*(1+Assumptions!$C$12)^1</f>
        <v>752.1357151</v>
      </c>
      <c r="M99" s="139">
        <f>Assumptions!$C$6*Assumptions!$C$7*(1+$G99-0.05*(1-$H99))^2+Assumptions!$C$6*Assumptions!$C$8*(1+Assumptions!$C$11)^2+Assumptions!$C$16*$H99+Assumptions!$C$6*Assumptions!$C$9*(1+Assumptions!$C$12)^2</f>
        <v>786.3581034</v>
      </c>
      <c r="N99" s="139">
        <f>Assumptions!$C$6*Assumptions!$C$7*(1+$G99-0.05*(1-$I99))^3+Assumptions!$C$6*Assumptions!$C$8*(1+Assumptions!$C$11)^3+Assumptions!$C$16*$I99+Assumptions!$C$6*Assumptions!$C$9*(1+Assumptions!$C$12)^3</f>
        <v>822.8190085</v>
      </c>
      <c r="O99" s="139">
        <f>Assumptions!$C$6*Assumptions!$C$7*(1+$G99-0.05*(1-$J99))^4+Assumptions!$C$6*Assumptions!$C$8*(1+Assumptions!$C$11)^4+Assumptions!$C$16*$J99+Assumptions!$C$6*Assumptions!$C$9*(1+Assumptions!$C$12)^4</f>
        <v>723.4262005</v>
      </c>
      <c r="P99" s="139">
        <f>Assumptions!$C$6*Assumptions!$C$7*(1+$G99-0.05*(1-$K99))^5+Assumptions!$C$6*Assumptions!$C$8*(1+Assumptions!$C$11)^5+Assumptions!$C$16*$K99+Assumptions!$C$6*Assumptions!$C$9*(1+Assumptions!$C$12)^5</f>
        <v>740.230452</v>
      </c>
      <c r="Q99" s="139">
        <f>($L99*(1-(Assumptions!$C$25+0.06*(1-1))-Assumptions!$C$27)-Assumptions!$C$28)-MAX(0,($L99*(1-(Assumptions!$C$25+0.06*(1-1))-Assumptions!$C$27)-Assumptions!$C$28)*Assumptions!$C$31)+Assumptions!$C$28-Assumptions!$C$29-$L99*Assumptions!$C$30</f>
        <v>94.20917875</v>
      </c>
      <c r="R99" s="139">
        <f>($M99*(1-(Assumptions!$C$25+0.06*(1-$H99))-Assumptions!$C$27)-Assumptions!$C$28)-MAX(0,($M99*(1-(Assumptions!$C$25+0.06*(1-$H99))-Assumptions!$C$27)-Assumptions!$C$28)*Assumptions!$C$31)+Assumptions!$C$28-Assumptions!$C$29-$M99*Assumptions!$C$30</f>
        <v>101.5669922</v>
      </c>
      <c r="S99" s="139">
        <f>($N99*(1-(Assumptions!$C$25+0.06*(1-$I99))-Assumptions!$C$27)-Assumptions!$C$28)-MAX(0,($N99*(1-(Assumptions!$C$25+0.06*(1-$I99))-Assumptions!$C$27)-Assumptions!$C$28)*Assumptions!$C$31)+Assumptions!$C$28-Assumptions!$C$29-$N99*Assumptions!$C$30</f>
        <v>109.4060868</v>
      </c>
      <c r="T99" s="139">
        <f>($O99*(1-(Assumptions!$C$25+0.06*(1-$J99))-Assumptions!$C$27)-Assumptions!$C$28)-MAX(0,($O99*(1-(Assumptions!$C$25+0.06*(1-$J99))-Assumptions!$C$27)-Assumptions!$C$28)*Assumptions!$C$31)+Assumptions!$C$28-Assumptions!$C$29-$O99*Assumptions!$C$30</f>
        <v>46.38802611</v>
      </c>
      <c r="U99" s="139">
        <f>($P99*(1-(Assumptions!$C$25+0.06*(1-$K99))-Assumptions!$C$27)-Assumptions!$C$28)-MAX(0,($P99*(1-(Assumptions!$C$25+0.06*(1-$K99))-Assumptions!$C$27)-Assumptions!$C$28)*Assumptions!$C$31)+Assumptions!$C$28-Assumptions!$C$29-$P99*Assumptions!$C$30</f>
        <v>50.25300396</v>
      </c>
      <c r="V99" s="143">
        <f>(($Q99/(1+$D99)^1+$R99/(1+$D99)^2+$S99/(1+$D99)^3+$T99/(1+$D99)^4+$U99/(1+$D99)^5+$U99*(1+$E99)/($D99-$E99)/(1+$D99)^5)-Assumptions!$C$37)/Assumptions!$C$40/Assumptions!$C$38</f>
        <v>-0.2218913025</v>
      </c>
    </row>
    <row r="100" ht="12.0" customHeight="1">
      <c r="B100" s="139">
        <v>48.0</v>
      </c>
      <c r="C100" s="140">
        <f t="shared" si="6"/>
        <v>0.7398619228</v>
      </c>
      <c r="D100" s="141">
        <f t="shared" si="7"/>
        <v>0.1029195422</v>
      </c>
      <c r="E100" s="141">
        <f t="shared" si="8"/>
        <v>0.02418894279</v>
      </c>
      <c r="F100" s="140">
        <f t="shared" si="9"/>
        <v>0.1179218131</v>
      </c>
      <c r="G100" s="141">
        <f t="shared" si="10"/>
        <v>0.0445691202</v>
      </c>
      <c r="H100" s="142">
        <f t="shared" si="11"/>
        <v>0</v>
      </c>
      <c r="I100" s="142">
        <f t="shared" si="12"/>
        <v>1</v>
      </c>
      <c r="J100" s="142">
        <f t="shared" si="13"/>
        <v>0</v>
      </c>
      <c r="K100" s="142">
        <f t="shared" si="14"/>
        <v>0</v>
      </c>
      <c r="L100" s="139">
        <f>Assumptions!$C$6*Assumptions!$C$7*(1+$G100-0.05*(1-1))^1+Assumptions!$C$6*Assumptions!$C$8*(1+Assumptions!$C$11)^1+Assumptions!$C$16*1+Assumptions!$C$6*Assumptions!$C$9*(1+Assumptions!$C$12)^1</f>
        <v>741.4699659</v>
      </c>
      <c r="M100" s="139">
        <f>Assumptions!$C$6*Assumptions!$C$7*(1+$G100-0.05*(1-$H100))^2+Assumptions!$C$6*Assumptions!$C$8*(1+Assumptions!$C$11)^2+Assumptions!$C$16*$H100+Assumptions!$C$6*Assumptions!$C$9*(1+Assumptions!$C$12)^2</f>
        <v>669.4192196</v>
      </c>
      <c r="N100" s="139">
        <f>Assumptions!$C$6*Assumptions!$C$7*(1+$G100-0.05*(1-$I100))^3+Assumptions!$C$6*Assumptions!$C$8*(1+Assumptions!$C$11)^3+Assumptions!$C$16*$I100+Assumptions!$C$6*Assumptions!$C$9*(1+Assumptions!$C$12)^3</f>
        <v>786.836238</v>
      </c>
      <c r="O100" s="139">
        <f>Assumptions!$C$6*Assumptions!$C$7*(1+$G100-0.05*(1-$J100))^4+Assumptions!$C$6*Assumptions!$C$8*(1+Assumptions!$C$11)^4+Assumptions!$C$16*$J100+Assumptions!$C$6*Assumptions!$C$9*(1+Assumptions!$C$12)^4</f>
        <v>679.4057756</v>
      </c>
      <c r="P100" s="139">
        <f>Assumptions!$C$6*Assumptions!$C$7*(1+$G100-0.05*(1-$K100))^5+Assumptions!$C$6*Assumptions!$C$8*(1+Assumptions!$C$11)^5+Assumptions!$C$16*$K100+Assumptions!$C$6*Assumptions!$C$9*(1+Assumptions!$C$12)^5</f>
        <v>684.6183017</v>
      </c>
      <c r="Q100" s="139">
        <f>($L100*(1-(Assumptions!$C$25+0.06*(1-1))-Assumptions!$C$27)-Assumptions!$C$28)-MAX(0,($L100*(1-(Assumptions!$C$25+0.06*(1-1))-Assumptions!$C$27)-Assumptions!$C$28)*Assumptions!$C$31)+Assumptions!$C$28-Assumptions!$C$29-$L100*Assumptions!$C$30</f>
        <v>91.91604266</v>
      </c>
      <c r="R100" s="139">
        <f>($M100*(1-(Assumptions!$C$25+0.06*(1-$H100))-Assumptions!$C$27)-Assumptions!$C$28)-MAX(0,($M100*(1-(Assumptions!$C$25+0.06*(1-$H100))-Assumptions!$C$27)-Assumptions!$C$28)*Assumptions!$C$31)+Assumptions!$C$28-Assumptions!$C$29-$M100*Assumptions!$C$30</f>
        <v>33.9664205</v>
      </c>
      <c r="S100" s="139">
        <f>($N100*(1-(Assumptions!$C$25+0.06*(1-$I100))-Assumptions!$C$27)-Assumptions!$C$28)-MAX(0,($N100*(1-(Assumptions!$C$25+0.06*(1-$I100))-Assumptions!$C$27)-Assumptions!$C$28)*Assumptions!$C$31)+Assumptions!$C$28-Assumptions!$C$29-$N100*Assumptions!$C$30</f>
        <v>101.6697912</v>
      </c>
      <c r="T100" s="139">
        <f>($O100*(1-(Assumptions!$C$25+0.06*(1-$J100))-Assumptions!$C$27)-Assumptions!$C$28)-MAX(0,($O100*(1-(Assumptions!$C$25+0.06*(1-$J100))-Assumptions!$C$27)-Assumptions!$C$28)*Assumptions!$C$31)+Assumptions!$C$28-Assumptions!$C$29-$O100*Assumptions!$C$30</f>
        <v>36.26332839</v>
      </c>
      <c r="U100" s="139">
        <f>($P100*(1-(Assumptions!$C$25+0.06*(1-$K100))-Assumptions!$C$27)-Assumptions!$C$28)-MAX(0,($P100*(1-(Assumptions!$C$25+0.06*(1-$K100))-Assumptions!$C$27)-Assumptions!$C$28)*Assumptions!$C$31)+Assumptions!$C$28-Assumptions!$C$29-$P100*Assumptions!$C$30</f>
        <v>37.46220939</v>
      </c>
      <c r="V100" s="143">
        <f>(($Q100/(1+$D100)^1+$R100/(1+$D100)^2+$S100/(1+$D100)^3+$T100/(1+$D100)^4+$U100/(1+$D100)^5+$U100*(1+$E100)/($D100-$E100)/(1+$D100)^5)-Assumptions!$C$37)/Assumptions!$C$40/Assumptions!$C$38</f>
        <v>-1.237558665</v>
      </c>
    </row>
    <row r="101" ht="12.0" customHeight="1">
      <c r="B101" s="139">
        <v>49.0</v>
      </c>
      <c r="C101" s="140">
        <f t="shared" si="6"/>
        <v>0.8700352155</v>
      </c>
      <c r="D101" s="141">
        <f t="shared" si="7"/>
        <v>0.1064612504</v>
      </c>
      <c r="E101" s="141">
        <f t="shared" si="8"/>
        <v>0.02889351933</v>
      </c>
      <c r="F101" s="140">
        <f t="shared" si="9"/>
        <v>0.482283061</v>
      </c>
      <c r="G101" s="141">
        <f t="shared" si="10"/>
        <v>0.05946369817</v>
      </c>
      <c r="H101" s="142">
        <f t="shared" si="11"/>
        <v>1</v>
      </c>
      <c r="I101" s="142">
        <f t="shared" si="12"/>
        <v>1</v>
      </c>
      <c r="J101" s="142">
        <f t="shared" si="13"/>
        <v>0</v>
      </c>
      <c r="K101" s="142">
        <f t="shared" si="14"/>
        <v>1</v>
      </c>
      <c r="L101" s="139">
        <f>Assumptions!$C$6*Assumptions!$C$7*(1+$G101-0.05*(1-1))^1+Assumptions!$C$6*Assumptions!$C$8*(1+Assumptions!$C$11)^1+Assumptions!$C$16*1+Assumptions!$C$6*Assumptions!$C$9*(1+Assumptions!$C$12)^1</f>
        <v>746.4834808</v>
      </c>
      <c r="M101" s="139">
        <f>Assumptions!$C$6*Assumptions!$C$7*(1+$G101-0.05*(1-$H101))^2+Assumptions!$C$6*Assumptions!$C$8*(1+Assumptions!$C$11)^2+Assumptions!$C$16*$H101+Assumptions!$C$6*Assumptions!$C$9*(1+Assumptions!$C$12)^2</f>
        <v>774.2865161</v>
      </c>
      <c r="N101" s="139">
        <f>Assumptions!$C$6*Assumptions!$C$7*(1+$G101-0.05*(1-$I101))^3+Assumptions!$C$6*Assumptions!$C$8*(1+Assumptions!$C$11)^3+Assumptions!$C$16*$I101+Assumptions!$C$6*Assumptions!$C$9*(1+Assumptions!$C$12)^3</f>
        <v>803.4824665</v>
      </c>
      <c r="O101" s="139">
        <f>Assumptions!$C$6*Assumptions!$C$7*(1+$G101-0.05*(1-$J101))^4+Assumptions!$C$6*Assumptions!$C$8*(1+Assumptions!$C$11)^4+Assumptions!$C$16*$J101+Assumptions!$C$6*Assumptions!$C$9*(1+Assumptions!$C$12)^4</f>
        <v>699.5825062</v>
      </c>
      <c r="P101" s="139">
        <f>Assumptions!$C$6*Assumptions!$C$7*(1+$G101-0.05*(1-$K101))^5+Assumptions!$C$6*Assumptions!$C$8*(1+Assumptions!$C$11)^5+Assumptions!$C$16*$K101+Assumptions!$C$6*Assumptions!$C$9*(1+Assumptions!$C$12)^5</f>
        <v>866.368107</v>
      </c>
      <c r="Q101" s="139">
        <f>($L101*(1-(Assumptions!$C$25+0.06*(1-1))-Assumptions!$C$27)-Assumptions!$C$28)-MAX(0,($L101*(1-(Assumptions!$C$25+0.06*(1-1))-Assumptions!$C$27)-Assumptions!$C$28)*Assumptions!$C$31)+Assumptions!$C$28-Assumptions!$C$29-$L101*Assumptions!$C$30</f>
        <v>92.99394837</v>
      </c>
      <c r="R101" s="139">
        <f>($M101*(1-(Assumptions!$C$25+0.06*(1-$H101))-Assumptions!$C$27)-Assumptions!$C$28)-MAX(0,($M101*(1-(Assumptions!$C$25+0.06*(1-$H101))-Assumptions!$C$27)-Assumptions!$C$28)*Assumptions!$C$31)+Assumptions!$C$28-Assumptions!$C$29-$M101*Assumptions!$C$30</f>
        <v>98.97160097</v>
      </c>
      <c r="S101" s="139">
        <f>($N101*(1-(Assumptions!$C$25+0.06*(1-$I101))-Assumptions!$C$27)-Assumptions!$C$28)-MAX(0,($N101*(1-(Assumptions!$C$25+0.06*(1-$I101))-Assumptions!$C$27)-Assumptions!$C$28)*Assumptions!$C$31)+Assumptions!$C$28-Assumptions!$C$29-$N101*Assumptions!$C$30</f>
        <v>105.2487303</v>
      </c>
      <c r="T101" s="139">
        <f>($O101*(1-(Assumptions!$C$25+0.06*(1-$J101))-Assumptions!$C$27)-Assumptions!$C$28)-MAX(0,($O101*(1-(Assumptions!$C$25+0.06*(1-$J101))-Assumptions!$C$27)-Assumptions!$C$28)*Assumptions!$C$31)+Assumptions!$C$28-Assumptions!$C$29-$O101*Assumptions!$C$30</f>
        <v>40.90397643</v>
      </c>
      <c r="U101" s="139">
        <f>($P101*(1-(Assumptions!$C$25+0.06*(1-$K101))-Assumptions!$C$27)-Assumptions!$C$28)-MAX(0,($P101*(1-(Assumptions!$C$25+0.06*(1-$K101))-Assumptions!$C$27)-Assumptions!$C$28)*Assumptions!$C$31)+Assumptions!$C$28-Assumptions!$C$29-$P101*Assumptions!$C$30</f>
        <v>118.769143</v>
      </c>
      <c r="V101" s="143">
        <f>(($Q101/(1+$D101)^1+$R101/(1+$D101)^2+$S101/(1+$D101)^3+$T101/(1+$D101)^4+$U101/(1+$D101)^5+$U101*(1+$E101)/($D101-$E101)/(1+$D101)^5)-Assumptions!$C$37)/Assumptions!$C$40/Assumptions!$C$38</f>
        <v>4.680582051</v>
      </c>
    </row>
    <row r="102" ht="12.0" customHeight="1">
      <c r="B102" s="139">
        <v>50.0</v>
      </c>
      <c r="C102" s="140">
        <f t="shared" si="6"/>
        <v>0.6456279039</v>
      </c>
      <c r="D102" s="141">
        <f t="shared" si="7"/>
        <v>0.1009002572</v>
      </c>
      <c r="E102" s="141">
        <f t="shared" si="8"/>
        <v>0.01943249153</v>
      </c>
      <c r="F102" s="140">
        <f t="shared" si="9"/>
        <v>0.1524957025</v>
      </c>
      <c r="G102" s="141">
        <f t="shared" si="10"/>
        <v>0.04656780808</v>
      </c>
      <c r="H102" s="142">
        <f t="shared" si="11"/>
        <v>0</v>
      </c>
      <c r="I102" s="142">
        <f t="shared" si="12"/>
        <v>1</v>
      </c>
      <c r="J102" s="142">
        <f t="shared" si="13"/>
        <v>1</v>
      </c>
      <c r="K102" s="142">
        <f t="shared" si="14"/>
        <v>1</v>
      </c>
      <c r="L102" s="139">
        <f>Assumptions!$C$6*Assumptions!$C$7*(1+$G102-0.05*(1-1))^1+Assumptions!$C$6*Assumptions!$C$8*(1+Assumptions!$C$11)^1+Assumptions!$C$16*1+Assumptions!$C$6*Assumptions!$C$9*(1+Assumptions!$C$12)^1</f>
        <v>742.1427242</v>
      </c>
      <c r="M102" s="139">
        <f>Assumptions!$C$6*Assumptions!$C$7*(1+$G102-0.05*(1-$H102))^2+Assumptions!$C$6*Assumptions!$C$8*(1+Assumptions!$C$11)^2+Assumptions!$C$16*$H102+Assumptions!$C$6*Assumptions!$C$9*(1+Assumptions!$C$12)^2</f>
        <v>670.7587735</v>
      </c>
      <c r="N102" s="139">
        <f>Assumptions!$C$6*Assumptions!$C$7*(1+$G102-0.05*(1-$I102))^3+Assumptions!$C$6*Assumptions!$C$8*(1+Assumptions!$C$11)^3+Assumptions!$C$16*$I102+Assumptions!$C$6*Assumptions!$C$9*(1+Assumptions!$C$12)^3</f>
        <v>789.042644</v>
      </c>
      <c r="O102" s="139">
        <f>Assumptions!$C$6*Assumptions!$C$7*(1+$G102-0.05*(1-$J102))^4+Assumptions!$C$6*Assumptions!$C$8*(1+Assumptions!$C$11)^4+Assumptions!$C$16*$J102+Assumptions!$C$6*Assumptions!$C$9*(1+Assumptions!$C$12)^4</f>
        <v>813.8746319</v>
      </c>
      <c r="P102" s="139">
        <f>Assumptions!$C$6*Assumptions!$C$7*(1+$G102-0.05*(1-$K102))^5+Assumptions!$C$6*Assumptions!$C$8*(1+Assumptions!$C$11)^5+Assumptions!$C$16*$K102+Assumptions!$C$6*Assumptions!$C$9*(1+Assumptions!$C$12)^5</f>
        <v>839.6806324</v>
      </c>
      <c r="Q102" s="139">
        <f>($L102*(1-(Assumptions!$C$25+0.06*(1-1))-Assumptions!$C$27)-Assumptions!$C$28)-MAX(0,($L102*(1-(Assumptions!$C$25+0.06*(1-1))-Assumptions!$C$27)-Assumptions!$C$28)*Assumptions!$C$31)+Assumptions!$C$28-Assumptions!$C$29-$L102*Assumptions!$C$30</f>
        <v>92.0606857</v>
      </c>
      <c r="R102" s="139">
        <f>($M102*(1-(Assumptions!$C$25+0.06*(1-$H102))-Assumptions!$C$27)-Assumptions!$C$28)-MAX(0,($M102*(1-(Assumptions!$C$25+0.06*(1-$H102))-Assumptions!$C$27)-Assumptions!$C$28)*Assumptions!$C$31)+Assumptions!$C$28-Assumptions!$C$29-$M102*Assumptions!$C$30</f>
        <v>34.27451791</v>
      </c>
      <c r="S102" s="139">
        <f>($N102*(1-(Assumptions!$C$25+0.06*(1-$I102))-Assumptions!$C$27)-Assumptions!$C$28)-MAX(0,($N102*(1-(Assumptions!$C$25+0.06*(1-$I102))-Assumptions!$C$27)-Assumptions!$C$28)*Assumptions!$C$31)+Assumptions!$C$28-Assumptions!$C$29-$N102*Assumptions!$C$30</f>
        <v>102.1441685</v>
      </c>
      <c r="T102" s="139">
        <f>($O102*(1-(Assumptions!$C$25+0.06*(1-$J102))-Assumptions!$C$27)-Assumptions!$C$28)-MAX(0,($O102*(1-(Assumptions!$C$25+0.06*(1-$J102))-Assumptions!$C$27)-Assumptions!$C$28)*Assumptions!$C$31)+Assumptions!$C$28-Assumptions!$C$29-$O102*Assumptions!$C$30</f>
        <v>107.4830459</v>
      </c>
      <c r="U102" s="139">
        <f>($P102*(1-(Assumptions!$C$25+0.06*(1-$K102))-Assumptions!$C$27)-Assumptions!$C$28)-MAX(0,($P102*(1-(Assumptions!$C$25+0.06*(1-$K102))-Assumptions!$C$27)-Assumptions!$C$28)*Assumptions!$C$31)+Assumptions!$C$28-Assumptions!$C$29-$P102*Assumptions!$C$30</f>
        <v>113.031336</v>
      </c>
      <c r="V102" s="143">
        <f>(($Q102/(1+$D102)^1+$R102/(1+$D102)^2+$S102/(1+$D102)^3+$T102/(1+$D102)^4+$U102/(1+$D102)^5+$U102*(1+$E102)/($D102-$E102)/(1+$D102)^5)-Assumptions!$C$37)/Assumptions!$C$40/Assumptions!$C$38</f>
        <v>4.014916753</v>
      </c>
    </row>
    <row r="103" ht="12.0" customHeight="1">
      <c r="B103" s="139">
        <v>51.0</v>
      </c>
      <c r="C103" s="140">
        <f t="shared" si="6"/>
        <v>0.5780111057</v>
      </c>
      <c r="D103" s="141">
        <f t="shared" si="7"/>
        <v>0.09961377988</v>
      </c>
      <c r="E103" s="141">
        <f t="shared" si="8"/>
        <v>0.02956860621</v>
      </c>
      <c r="F103" s="140">
        <f t="shared" si="9"/>
        <v>0.5964900635</v>
      </c>
      <c r="G103" s="141">
        <f t="shared" si="10"/>
        <v>0.06304971455</v>
      </c>
      <c r="H103" s="142">
        <f t="shared" si="11"/>
        <v>1</v>
      </c>
      <c r="I103" s="142">
        <f t="shared" si="12"/>
        <v>1</v>
      </c>
      <c r="J103" s="142">
        <f t="shared" si="13"/>
        <v>1</v>
      </c>
      <c r="K103" s="142">
        <f t="shared" si="14"/>
        <v>1</v>
      </c>
      <c r="L103" s="139">
        <f>Assumptions!$C$6*Assumptions!$C$7*(1+$G103-0.05*(1-1))^1+Assumptions!$C$6*Assumptions!$C$8*(1+Assumptions!$C$11)^1+Assumptions!$C$16*1+Assumptions!$C$6*Assumptions!$C$9*(1+Assumptions!$C$12)^1</f>
        <v>747.6905339</v>
      </c>
      <c r="M103" s="139">
        <f>Assumptions!$C$6*Assumptions!$C$7*(1+$G103-0.05*(1-$H103))^2+Assumptions!$C$6*Assumptions!$C$8*(1+Assumptions!$C$11)^2+Assumptions!$C$16*$H103+Assumptions!$C$6*Assumptions!$C$9*(1+Assumptions!$C$12)^2</f>
        <v>776.8485025</v>
      </c>
      <c r="N103" s="139">
        <f>Assumptions!$C$6*Assumptions!$C$7*(1+$G103-0.05*(1-$I103))^3+Assumptions!$C$6*Assumptions!$C$8*(1+Assumptions!$C$11)^3+Assumptions!$C$16*$I103+Assumptions!$C$6*Assumptions!$C$9*(1+Assumptions!$C$12)^3</f>
        <v>807.5608583</v>
      </c>
      <c r="O103" s="139">
        <f>Assumptions!$C$6*Assumptions!$C$7*(1+$G103-0.05*(1-$J103))^4+Assumptions!$C$6*Assumptions!$C$8*(1+Assumptions!$C$11)^4+Assumptions!$C$16*$J103+Assumptions!$C$6*Assumptions!$C$9*(1+Assumptions!$C$12)^4</f>
        <v>839.9199246</v>
      </c>
      <c r="P103" s="139">
        <f>Assumptions!$C$6*Assumptions!$C$7*(1+$G103-0.05*(1-$K103))^5+Assumptions!$C$6*Assumptions!$C$8*(1+Assumptions!$C$11)^5+Assumptions!$C$16*$K103+Assumptions!$C$6*Assumptions!$C$9*(1+Assumptions!$C$12)^5</f>
        <v>874.0237321</v>
      </c>
      <c r="Q103" s="139">
        <f>($L103*(1-(Assumptions!$C$25+0.06*(1-1))-Assumptions!$C$27)-Assumptions!$C$28)-MAX(0,($L103*(1-(Assumptions!$C$25+0.06*(1-1))-Assumptions!$C$27)-Assumptions!$C$28)*Assumptions!$C$31)+Assumptions!$C$28-Assumptions!$C$29-$L103*Assumptions!$C$30</f>
        <v>93.25346479</v>
      </c>
      <c r="R103" s="139">
        <f>($M103*(1-(Assumptions!$C$25+0.06*(1-$H103))-Assumptions!$C$27)-Assumptions!$C$28)-MAX(0,($M103*(1-(Assumptions!$C$25+0.06*(1-$H103))-Assumptions!$C$27)-Assumptions!$C$28)*Assumptions!$C$31)+Assumptions!$C$28-Assumptions!$C$29-$M103*Assumptions!$C$30</f>
        <v>99.52242805</v>
      </c>
      <c r="S103" s="139">
        <f>($N103*(1-(Assumptions!$C$25+0.06*(1-$I103))-Assumptions!$C$27)-Assumptions!$C$28)-MAX(0,($N103*(1-(Assumptions!$C$25+0.06*(1-$I103))-Assumptions!$C$27)-Assumptions!$C$28)*Assumptions!$C$31)+Assumptions!$C$28-Assumptions!$C$29-$N103*Assumptions!$C$30</f>
        <v>106.1255845</v>
      </c>
      <c r="T103" s="139">
        <f>($O103*(1-(Assumptions!$C$25+0.06*(1-$J103))-Assumptions!$C$27)-Assumptions!$C$28)-MAX(0,($O103*(1-(Assumptions!$C$25+0.06*(1-$J103))-Assumptions!$C$27)-Assumptions!$C$28)*Assumptions!$C$31)+Assumptions!$C$28-Assumptions!$C$29-$O103*Assumptions!$C$30</f>
        <v>113.0827838</v>
      </c>
      <c r="U103" s="139">
        <f>($P103*(1-(Assumptions!$C$25+0.06*(1-$K103))-Assumptions!$C$27)-Assumptions!$C$28)-MAX(0,($P103*(1-(Assumptions!$C$25+0.06*(1-$K103))-Assumptions!$C$27)-Assumptions!$C$28)*Assumptions!$C$31)+Assumptions!$C$28-Assumptions!$C$29-$P103*Assumptions!$C$30</f>
        <v>120.4151024</v>
      </c>
      <c r="V103" s="143">
        <f>(($Q103/(1+$D103)^1+$R103/(1+$D103)^2+$S103/(1+$D103)^3+$T103/(1+$D103)^4+$U103/(1+$D103)^5+$U103*(1+$E103)/($D103-$E103)/(1+$D103)^5)-Assumptions!$C$37)/Assumptions!$C$40/Assumptions!$C$38</f>
        <v>6.308725186</v>
      </c>
    </row>
    <row r="104" ht="12.0" customHeight="1">
      <c r="B104" s="139">
        <v>52.0</v>
      </c>
      <c r="C104" s="140">
        <f t="shared" si="6"/>
        <v>0.4188526156</v>
      </c>
      <c r="D104" s="141">
        <f t="shared" si="7"/>
        <v>0.0969438741</v>
      </c>
      <c r="E104" s="141">
        <f t="shared" si="8"/>
        <v>0.02541428692</v>
      </c>
      <c r="F104" s="140">
        <f t="shared" si="9"/>
        <v>0.3613213521</v>
      </c>
      <c r="G104" s="141">
        <f t="shared" si="10"/>
        <v>0.05550251818</v>
      </c>
      <c r="H104" s="142">
        <f t="shared" si="11"/>
        <v>1</v>
      </c>
      <c r="I104" s="142">
        <f t="shared" si="12"/>
        <v>1</v>
      </c>
      <c r="J104" s="142">
        <f t="shared" si="13"/>
        <v>1</v>
      </c>
      <c r="K104" s="142">
        <f t="shared" si="14"/>
        <v>1</v>
      </c>
      <c r="L104" s="139">
        <f>Assumptions!$C$6*Assumptions!$C$7*(1+$G104-0.05*(1-1))^1+Assumptions!$C$6*Assumptions!$C$8*(1+Assumptions!$C$11)^1+Assumptions!$C$16*1+Assumptions!$C$6*Assumptions!$C$9*(1+Assumptions!$C$12)^1</f>
        <v>745.1501476</v>
      </c>
      <c r="M104" s="139">
        <f>Assumptions!$C$6*Assumptions!$C$7*(1+$G104-0.05*(1-$H104))^2+Assumptions!$C$6*Assumptions!$C$8*(1+Assumptions!$C$11)^2+Assumptions!$C$16*$H104+Assumptions!$C$6*Assumptions!$C$9*(1+Assumptions!$C$12)^2</f>
        <v>771.4665615</v>
      </c>
      <c r="N104" s="139">
        <f>Assumptions!$C$6*Assumptions!$C$7*(1+$G104-0.05*(1-$I104))^3+Assumptions!$C$6*Assumptions!$C$8*(1+Assumptions!$C$11)^3+Assumptions!$C$16*$I104+Assumptions!$C$6*Assumptions!$C$9*(1+Assumptions!$C$12)^3</f>
        <v>799.0093797</v>
      </c>
      <c r="O104" s="139">
        <f>Assumptions!$C$6*Assumptions!$C$7*(1+$G104-0.05*(1-$J104))^4+Assumptions!$C$6*Assumptions!$C$8*(1+Assumptions!$C$11)^4+Assumptions!$C$16*$J104+Assumptions!$C$6*Assumptions!$C$9*(1+Assumptions!$C$12)^4</f>
        <v>827.8419863</v>
      </c>
      <c r="P104" s="139">
        <f>Assumptions!$C$6*Assumptions!$C$7*(1+$G104-0.05*(1-$K104))^5+Assumptions!$C$6*Assumptions!$C$8*(1+Assumptions!$C$11)^5+Assumptions!$C$16*$K104+Assumptions!$C$6*Assumptions!$C$9*(1+Assumptions!$C$12)^5</f>
        <v>858.0311897</v>
      </c>
      <c r="Q104" s="139">
        <f>($L104*(1-(Assumptions!$C$25+0.06*(1-1))-Assumptions!$C$27)-Assumptions!$C$28)-MAX(0,($L104*(1-(Assumptions!$C$25+0.06*(1-1))-Assumptions!$C$27)-Assumptions!$C$28)*Assumptions!$C$31)+Assumptions!$C$28-Assumptions!$C$29-$L104*Assumptions!$C$30</f>
        <v>92.70728174</v>
      </c>
      <c r="R104" s="139">
        <f>($M104*(1-(Assumptions!$C$25+0.06*(1-$H104))-Assumptions!$C$27)-Assumptions!$C$28)-MAX(0,($M104*(1-(Assumptions!$C$25+0.06*(1-$H104))-Assumptions!$C$27)-Assumptions!$C$28)*Assumptions!$C$31)+Assumptions!$C$28-Assumptions!$C$29-$M104*Assumptions!$C$30</f>
        <v>98.36531072</v>
      </c>
      <c r="S104" s="139">
        <f>($N104*(1-(Assumptions!$C$25+0.06*(1-$I104))-Assumptions!$C$27)-Assumptions!$C$28)-MAX(0,($N104*(1-(Assumptions!$C$25+0.06*(1-$I104))-Assumptions!$C$27)-Assumptions!$C$28)*Assumptions!$C$31)+Assumptions!$C$28-Assumptions!$C$29-$N104*Assumptions!$C$30</f>
        <v>104.2870166</v>
      </c>
      <c r="T104" s="139">
        <f>($O104*(1-(Assumptions!$C$25+0.06*(1-$J104))-Assumptions!$C$27)-Assumptions!$C$28)-MAX(0,($O104*(1-(Assumptions!$C$25+0.06*(1-$J104))-Assumptions!$C$27)-Assumptions!$C$28)*Assumptions!$C$31)+Assumptions!$C$28-Assumptions!$C$29-$O104*Assumptions!$C$30</f>
        <v>110.4860271</v>
      </c>
      <c r="U104" s="139">
        <f>($P104*(1-(Assumptions!$C$25+0.06*(1-$K104))-Assumptions!$C$27)-Assumptions!$C$28)-MAX(0,($P104*(1-(Assumptions!$C$25+0.06*(1-$K104))-Assumptions!$C$27)-Assumptions!$C$28)*Assumptions!$C$31)+Assumptions!$C$28-Assumptions!$C$29-$P104*Assumptions!$C$30</f>
        <v>116.9767058</v>
      </c>
      <c r="V104" s="143">
        <f>(($Q104/(1+$D104)^1+$R104/(1+$D104)^2+$S104/(1+$D104)^3+$T104/(1+$D104)^4+$U104/(1+$D104)^5+$U104*(1+$E104)/($D104-$E104)/(1+$D104)^5)-Assumptions!$C$37)/Assumptions!$C$40/Assumptions!$C$38</f>
        <v>5.925955281</v>
      </c>
    </row>
    <row r="105" ht="12.0" customHeight="1">
      <c r="B105" s="139">
        <v>53.0</v>
      </c>
      <c r="C105" s="140">
        <f t="shared" si="6"/>
        <v>0.2668679603</v>
      </c>
      <c r="D105" s="141">
        <f t="shared" si="7"/>
        <v>0.0945114793</v>
      </c>
      <c r="E105" s="141">
        <f t="shared" si="8"/>
        <v>0.02494586982</v>
      </c>
      <c r="F105" s="140">
        <f t="shared" si="9"/>
        <v>0.4966114505</v>
      </c>
      <c r="G105" s="141">
        <f t="shared" si="10"/>
        <v>0.05989817069</v>
      </c>
      <c r="H105" s="142">
        <f t="shared" si="11"/>
        <v>1</v>
      </c>
      <c r="I105" s="142">
        <f t="shared" si="12"/>
        <v>1</v>
      </c>
      <c r="J105" s="142">
        <f t="shared" si="13"/>
        <v>0</v>
      </c>
      <c r="K105" s="142">
        <f t="shared" si="14"/>
        <v>0</v>
      </c>
      <c r="L105" s="139">
        <f>Assumptions!$C$6*Assumptions!$C$7*(1+$G105-0.05*(1-1))^1+Assumptions!$C$6*Assumptions!$C$8*(1+Assumptions!$C$11)^1+Assumptions!$C$16*1+Assumptions!$C$6*Assumptions!$C$9*(1+Assumptions!$C$12)^1</f>
        <v>746.6297243</v>
      </c>
      <c r="M105" s="139">
        <f>Assumptions!$C$6*Assumptions!$C$7*(1+$G105-0.05*(1-$H105))^2+Assumptions!$C$6*Assumptions!$C$8*(1+Assumptions!$C$11)^2+Assumptions!$C$16*$H105+Assumptions!$C$6*Assumptions!$C$9*(1+Assumptions!$C$12)^2</f>
        <v>774.5964589</v>
      </c>
      <c r="N105" s="139">
        <f>Assumptions!$C$6*Assumptions!$C$7*(1+$G105-0.05*(1-$I105))^3+Assumptions!$C$6*Assumptions!$C$8*(1+Assumptions!$C$11)^3+Assumptions!$C$16*$I105+Assumptions!$C$6*Assumptions!$C$9*(1+Assumptions!$C$12)^3</f>
        <v>803.9751272</v>
      </c>
      <c r="O105" s="139">
        <f>Assumptions!$C$6*Assumptions!$C$7*(1+$G105-0.05*(1-$J105))^4+Assumptions!$C$6*Assumptions!$C$8*(1+Assumptions!$C$11)^4+Assumptions!$C$16*$J105+Assumptions!$C$6*Assumptions!$C$9*(1+Assumptions!$C$12)^4</f>
        <v>700.1846343</v>
      </c>
      <c r="P105" s="139">
        <f>Assumptions!$C$6*Assumptions!$C$7*(1+$G105-0.05*(1-$K105))^5+Assumptions!$C$6*Assumptions!$C$8*(1+Assumptions!$C$11)^5+Assumptions!$C$16*$K105+Assumptions!$C$6*Assumptions!$C$9*(1+Assumptions!$C$12)^5</f>
        <v>710.6514132</v>
      </c>
      <c r="Q105" s="139">
        <f>($L105*(1-(Assumptions!$C$25+0.06*(1-1))-Assumptions!$C$27)-Assumptions!$C$28)-MAX(0,($L105*(1-(Assumptions!$C$25+0.06*(1-1))-Assumptions!$C$27)-Assumptions!$C$28)*Assumptions!$C$31)+Assumptions!$C$28-Assumptions!$C$29-$L105*Assumptions!$C$30</f>
        <v>93.02539071</v>
      </c>
      <c r="R105" s="139">
        <f>($M105*(1-(Assumptions!$C$25+0.06*(1-$H105))-Assumptions!$C$27)-Assumptions!$C$28)-MAX(0,($M105*(1-(Assumptions!$C$25+0.06*(1-$H105))-Assumptions!$C$27)-Assumptions!$C$28)*Assumptions!$C$31)+Assumptions!$C$28-Assumptions!$C$29-$M105*Assumptions!$C$30</f>
        <v>99.03823867</v>
      </c>
      <c r="S105" s="139">
        <f>($N105*(1-(Assumptions!$C$25+0.06*(1-$I105))-Assumptions!$C$27)-Assumptions!$C$28)-MAX(0,($N105*(1-(Assumptions!$C$25+0.06*(1-$I105))-Assumptions!$C$27)-Assumptions!$C$28)*Assumptions!$C$31)+Assumptions!$C$28-Assumptions!$C$29-$N105*Assumptions!$C$30</f>
        <v>105.3546524</v>
      </c>
      <c r="T105" s="139">
        <f>($O105*(1-(Assumptions!$C$25+0.06*(1-$J105))-Assumptions!$C$27)-Assumptions!$C$28)-MAX(0,($O105*(1-(Assumptions!$C$25+0.06*(1-$J105))-Assumptions!$C$27)-Assumptions!$C$28)*Assumptions!$C$31)+Assumptions!$C$28-Assumptions!$C$29-$O105*Assumptions!$C$30</f>
        <v>41.0424659</v>
      </c>
      <c r="U105" s="139">
        <f>($P105*(1-(Assumptions!$C$25+0.06*(1-$K105))-Assumptions!$C$27)-Assumptions!$C$28)-MAX(0,($P105*(1-(Assumptions!$C$25+0.06*(1-$K105))-Assumptions!$C$27)-Assumptions!$C$28)*Assumptions!$C$31)+Assumptions!$C$28-Assumptions!$C$29-$P105*Assumptions!$C$30</f>
        <v>43.44982503</v>
      </c>
      <c r="V105" s="143">
        <f>(($Q105/(1+$D105)^1+$R105/(1+$D105)^2+$S105/(1+$D105)^3+$T105/(1+$D105)^4+$U105/(1+$D105)^5+$U105*(1+$E105)/($D105-$E105)/(1+$D105)^5)-Assumptions!$C$37)/Assumptions!$C$40/Assumptions!$C$38</f>
        <v>0.1571641631</v>
      </c>
    </row>
    <row r="106" ht="12.0" customHeight="1">
      <c r="B106" s="139">
        <v>54.0</v>
      </c>
      <c r="C106" s="140">
        <f t="shared" si="6"/>
        <v>0.2122009258</v>
      </c>
      <c r="D106" s="141">
        <f t="shared" si="7"/>
        <v>0.09348151601</v>
      </c>
      <c r="E106" s="141">
        <f t="shared" si="8"/>
        <v>0.02986041753</v>
      </c>
      <c r="F106" s="140">
        <f t="shared" si="9"/>
        <v>0.2661040332</v>
      </c>
      <c r="G106" s="141">
        <f t="shared" si="10"/>
        <v>0.05188577757</v>
      </c>
      <c r="H106" s="142">
        <f t="shared" si="11"/>
        <v>1</v>
      </c>
      <c r="I106" s="142">
        <f t="shared" si="12"/>
        <v>0</v>
      </c>
      <c r="J106" s="142">
        <f t="shared" si="13"/>
        <v>1</v>
      </c>
      <c r="K106" s="142">
        <f t="shared" si="14"/>
        <v>1</v>
      </c>
      <c r="L106" s="139">
        <f>Assumptions!$C$6*Assumptions!$C$7*(1+$G106-0.05*(1-1))^1+Assumptions!$C$6*Assumptions!$C$8*(1+Assumptions!$C$11)^1+Assumptions!$C$16*1+Assumptions!$C$6*Assumptions!$C$9*(1+Assumptions!$C$12)^1</f>
        <v>743.9327527</v>
      </c>
      <c r="M106" s="139">
        <f>Assumptions!$C$6*Assumptions!$C$7*(1+$G106-0.05*(1-$H106))^2+Assumptions!$C$6*Assumptions!$C$8*(1+Assumptions!$C$11)^2+Assumptions!$C$16*$H106+Assumptions!$C$6*Assumptions!$C$9*(1+Assumptions!$C$12)^2</f>
        <v>768.9010377</v>
      </c>
      <c r="N106" s="139">
        <f>Assumptions!$C$6*Assumptions!$C$7*(1+$G106-0.05*(1-$I106))^3+Assumptions!$C$6*Assumptions!$C$8*(1+Assumptions!$C$11)^3+Assumptions!$C$16*$I106+Assumptions!$C$6*Assumptions!$C$9*(1+Assumptions!$C$12)^3</f>
        <v>681.7025187</v>
      </c>
      <c r="O106" s="139">
        <f>Assumptions!$C$6*Assumptions!$C$7*(1+$G106-0.05*(1-$J106))^4+Assumptions!$C$6*Assumptions!$C$8*(1+Assumptions!$C$11)^4+Assumptions!$C$16*$J106+Assumptions!$C$6*Assumptions!$C$9*(1+Assumptions!$C$12)^4</f>
        <v>822.1451145</v>
      </c>
      <c r="P106" s="139">
        <f>Assumptions!$C$6*Assumptions!$C$7*(1+$G106-0.05*(1-$K106))^5+Assumptions!$C$6*Assumptions!$C$8*(1+Assumptions!$C$11)^5+Assumptions!$C$16*$K106+Assumptions!$C$6*Assumptions!$C$9*(1+Assumptions!$C$12)^5</f>
        <v>850.527717</v>
      </c>
      <c r="Q106" s="139">
        <f>($L106*(1-(Assumptions!$C$25+0.06*(1-1))-Assumptions!$C$27)-Assumptions!$C$28)-MAX(0,($L106*(1-(Assumptions!$C$25+0.06*(1-1))-Assumptions!$C$27)-Assumptions!$C$28)*Assumptions!$C$31)+Assumptions!$C$28-Assumptions!$C$29-$L106*Assumptions!$C$30</f>
        <v>92.44554184</v>
      </c>
      <c r="R106" s="139">
        <f>($M106*(1-(Assumptions!$C$25+0.06*(1-$H106))-Assumptions!$C$27)-Assumptions!$C$28)-MAX(0,($M106*(1-(Assumptions!$C$25+0.06*(1-$H106))-Assumptions!$C$27)-Assumptions!$C$28)*Assumptions!$C$31)+Assumptions!$C$28-Assumptions!$C$29-$M106*Assumptions!$C$30</f>
        <v>97.81372311</v>
      </c>
      <c r="S106" s="139">
        <f>($N106*(1-(Assumptions!$C$25+0.06*(1-$I106))-Assumptions!$C$27)-Assumptions!$C$28)-MAX(0,($N106*(1-(Assumptions!$C$25+0.06*(1-$I106))-Assumptions!$C$27)-Assumptions!$C$28)*Assumptions!$C$31)+Assumptions!$C$28-Assumptions!$C$29-$N106*Assumptions!$C$30</f>
        <v>36.79157929</v>
      </c>
      <c r="T106" s="139">
        <f>($O106*(1-(Assumptions!$C$25+0.06*(1-$J106))-Assumptions!$C$27)-Assumptions!$C$28)-MAX(0,($O106*(1-(Assumptions!$C$25+0.06*(1-$J106))-Assumptions!$C$27)-Assumptions!$C$28)*Assumptions!$C$31)+Assumptions!$C$28-Assumptions!$C$29-$O106*Assumptions!$C$30</f>
        <v>109.2611996</v>
      </c>
      <c r="U106" s="139">
        <f>($P106*(1-(Assumptions!$C$25+0.06*(1-$K106))-Assumptions!$C$27)-Assumptions!$C$28)-MAX(0,($P106*(1-(Assumptions!$C$25+0.06*(1-$K106))-Assumptions!$C$27)-Assumptions!$C$28)*Assumptions!$C$31)+Assumptions!$C$28-Assumptions!$C$29-$P106*Assumptions!$C$30</f>
        <v>115.3634591</v>
      </c>
      <c r="V106" s="143">
        <f>(($Q106/(1+$D106)^1+$R106/(1+$D106)^2+$S106/(1+$D106)^3+$T106/(1+$D106)^4+$U106/(1+$D106)^5+$U106*(1+$E106)/($D106-$E106)/(1+$D106)^5)-Assumptions!$C$37)/Assumptions!$C$40/Assumptions!$C$38</f>
        <v>6.613910887</v>
      </c>
    </row>
    <row r="107" ht="12.0" customHeight="1">
      <c r="B107" s="139">
        <v>55.0</v>
      </c>
      <c r="C107" s="140">
        <f t="shared" si="6"/>
        <v>0.04687210231</v>
      </c>
      <c r="D107" s="141">
        <f t="shared" si="7"/>
        <v>0.08898618147</v>
      </c>
      <c r="E107" s="141">
        <f t="shared" si="8"/>
        <v>0.02544260105</v>
      </c>
      <c r="F107" s="140">
        <f t="shared" si="9"/>
        <v>0.9017465286</v>
      </c>
      <c r="G107" s="141">
        <f t="shared" si="10"/>
        <v>0.07670126891</v>
      </c>
      <c r="H107" s="142">
        <f t="shared" si="11"/>
        <v>0</v>
      </c>
      <c r="I107" s="142">
        <f t="shared" si="12"/>
        <v>1</v>
      </c>
      <c r="J107" s="142">
        <f t="shared" si="13"/>
        <v>1</v>
      </c>
      <c r="K107" s="142">
        <f t="shared" si="14"/>
        <v>1</v>
      </c>
      <c r="L107" s="139">
        <f>Assumptions!$C$6*Assumptions!$C$7*(1+$G107-0.05*(1-1))^1+Assumptions!$C$6*Assumptions!$C$8*(1+Assumptions!$C$11)^1+Assumptions!$C$16*1+Assumptions!$C$6*Assumptions!$C$9*(1+Assumptions!$C$12)^1</f>
        <v>752.2856471</v>
      </c>
      <c r="M107" s="139">
        <f>Assumptions!$C$6*Assumptions!$C$7*(1+$G107-0.05*(1-$H107))^2+Assumptions!$C$6*Assumptions!$C$8*(1+Assumptions!$C$11)^2+Assumptions!$C$16*$H107+Assumptions!$C$6*Assumptions!$C$9*(1+Assumptions!$C$12)^2</f>
        <v>691.2806358</v>
      </c>
      <c r="N107" s="139">
        <f>Assumptions!$C$6*Assumptions!$C$7*(1+$G107-0.05*(1-$I107))^3+Assumptions!$C$6*Assumptions!$C$8*(1+Assumptions!$C$11)^3+Assumptions!$C$16*$I107+Assumptions!$C$6*Assumptions!$C$9*(1+Assumptions!$C$12)^3</f>
        <v>823.3402348</v>
      </c>
      <c r="O107" s="139">
        <f>Assumptions!$C$6*Assumptions!$C$7*(1+$G107-0.05*(1-$J107))^4+Assumptions!$C$6*Assumptions!$C$8*(1+Assumptions!$C$11)^4+Assumptions!$C$16*$J107+Assumptions!$C$6*Assumptions!$C$9*(1+Assumptions!$C$12)^4</f>
        <v>862.4298263</v>
      </c>
      <c r="P107" s="139">
        <f>Assumptions!$C$6*Assumptions!$C$7*(1+$G107-0.05*(1-$K107))^5+Assumptions!$C$6*Assumptions!$C$8*(1+Assumptions!$C$11)^5+Assumptions!$C$16*$K107+Assumptions!$C$6*Assumptions!$C$9*(1+Assumptions!$C$12)^5</f>
        <v>904.1284477</v>
      </c>
      <c r="Q107" s="139">
        <f>($L107*(1-(Assumptions!$C$25+0.06*(1-1))-Assumptions!$C$27)-Assumptions!$C$28)-MAX(0,($L107*(1-(Assumptions!$C$25+0.06*(1-1))-Assumptions!$C$27)-Assumptions!$C$28)*Assumptions!$C$31)+Assumptions!$C$28-Assumptions!$C$29-$L107*Assumptions!$C$30</f>
        <v>94.24141413</v>
      </c>
      <c r="R107" s="139">
        <f>($M107*(1-(Assumptions!$C$25+0.06*(1-$H107))-Assumptions!$C$27)-Assumptions!$C$28)-MAX(0,($M107*(1-(Assumptions!$C$25+0.06*(1-$H107))-Assumptions!$C$27)-Assumptions!$C$28)*Assumptions!$C$31)+Assumptions!$C$28-Assumptions!$C$29-$M107*Assumptions!$C$30</f>
        <v>38.99454624</v>
      </c>
      <c r="S107" s="139">
        <f>($N107*(1-(Assumptions!$C$25+0.06*(1-$I107))-Assumptions!$C$27)-Assumptions!$C$28)-MAX(0,($N107*(1-(Assumptions!$C$25+0.06*(1-$I107))-Assumptions!$C$27)-Assumptions!$C$28)*Assumptions!$C$31)+Assumptions!$C$28-Assumptions!$C$29-$N107*Assumptions!$C$30</f>
        <v>109.5181505</v>
      </c>
      <c r="T107" s="139">
        <f>($O107*(1-(Assumptions!$C$25+0.06*(1-$J107))-Assumptions!$C$27)-Assumptions!$C$28)-MAX(0,($O107*(1-(Assumptions!$C$25+0.06*(1-$J107))-Assumptions!$C$27)-Assumptions!$C$28)*Assumptions!$C$31)+Assumptions!$C$28-Assumptions!$C$29-$O107*Assumptions!$C$30</f>
        <v>117.9224127</v>
      </c>
      <c r="U107" s="139">
        <f>($P107*(1-(Assumptions!$C$25+0.06*(1-$K107))-Assumptions!$C$27)-Assumptions!$C$28)-MAX(0,($P107*(1-(Assumptions!$C$25+0.06*(1-$K107))-Assumptions!$C$27)-Assumptions!$C$28)*Assumptions!$C$31)+Assumptions!$C$28-Assumptions!$C$29-$P107*Assumptions!$C$30</f>
        <v>126.8876162</v>
      </c>
      <c r="V107" s="143">
        <f>(($Q107/(1+$D107)^1+$R107/(1+$D107)^2+$S107/(1+$D107)^3+$T107/(1+$D107)^4+$U107/(1+$D107)^5+$U107*(1+$E107)/($D107-$E107)/(1+$D107)^5)-Assumptions!$C$37)/Assumptions!$C$40/Assumptions!$C$38</f>
        <v>7.93100423</v>
      </c>
    </row>
    <row r="108" ht="12.0" customHeight="1">
      <c r="B108" s="139">
        <v>56.0</v>
      </c>
      <c r="C108" s="140">
        <f t="shared" si="6"/>
        <v>0.4807398003</v>
      </c>
      <c r="D108" s="141">
        <f t="shared" si="7"/>
        <v>0.09793234134</v>
      </c>
      <c r="E108" s="141">
        <f t="shared" si="8"/>
        <v>0.02033733976</v>
      </c>
      <c r="F108" s="140">
        <f t="shared" si="9"/>
        <v>0.5638516256</v>
      </c>
      <c r="G108" s="141">
        <f t="shared" si="10"/>
        <v>0.06198095159</v>
      </c>
      <c r="H108" s="142">
        <f t="shared" si="11"/>
        <v>1</v>
      </c>
      <c r="I108" s="142">
        <f t="shared" si="12"/>
        <v>0</v>
      </c>
      <c r="J108" s="142">
        <f t="shared" si="13"/>
        <v>1</v>
      </c>
      <c r="K108" s="142">
        <f t="shared" si="14"/>
        <v>1</v>
      </c>
      <c r="L108" s="139">
        <f>Assumptions!$C$6*Assumptions!$C$7*(1+$G108-0.05*(1-1))^1+Assumptions!$C$6*Assumptions!$C$8*(1+Assumptions!$C$11)^1+Assumptions!$C$16*1+Assumptions!$C$6*Assumptions!$C$9*(1+Assumptions!$C$12)^1</f>
        <v>747.3307883</v>
      </c>
      <c r="M108" s="139">
        <f>Assumptions!$C$6*Assumptions!$C$7*(1+$G108-0.05*(1-$H108))^2+Assumptions!$C$6*Assumptions!$C$8*(1+Assumptions!$C$11)^2+Assumptions!$C$16*$H108+Assumptions!$C$6*Assumptions!$C$9*(1+Assumptions!$C$12)^2</f>
        <v>776.0840321</v>
      </c>
      <c r="N108" s="139">
        <f>Assumptions!$C$6*Assumptions!$C$7*(1+$G108-0.05*(1-$I108))^3+Assumptions!$C$6*Assumptions!$C$8*(1+Assumptions!$C$11)^3+Assumptions!$C$16*$I108+Assumptions!$C$6*Assumptions!$C$9*(1+Assumptions!$C$12)^3</f>
        <v>692.0385609</v>
      </c>
      <c r="O108" s="139">
        <f>Assumptions!$C$6*Assumptions!$C$7*(1+$G108-0.05*(1-$J108))^4+Assumptions!$C$6*Assumptions!$C$8*(1+Assumptions!$C$11)^4+Assumptions!$C$16*$J108+Assumptions!$C$6*Assumptions!$C$9*(1+Assumptions!$C$12)^4</f>
        <v>838.1938433</v>
      </c>
      <c r="P108" s="139">
        <f>Assumptions!$C$6*Assumptions!$C$7*(1+$G108-0.05*(1-$K108))^5+Assumptions!$C$6*Assumptions!$C$8*(1+Assumptions!$C$11)^5+Assumptions!$C$16*$K108+Assumptions!$C$6*Assumptions!$C$9*(1+Assumptions!$C$12)^5</f>
        <v>871.7312468</v>
      </c>
      <c r="Q108" s="139">
        <f>($L108*(1-(Assumptions!$C$25+0.06*(1-1))-Assumptions!$C$27)-Assumptions!$C$28)-MAX(0,($L108*(1-(Assumptions!$C$25+0.06*(1-1))-Assumptions!$C$27)-Assumptions!$C$28)*Assumptions!$C$31)+Assumptions!$C$28-Assumptions!$C$29-$L108*Assumptions!$C$30</f>
        <v>93.17611949</v>
      </c>
      <c r="R108" s="139">
        <f>($M108*(1-(Assumptions!$C$25+0.06*(1-$H108))-Assumptions!$C$27)-Assumptions!$C$28)-MAX(0,($M108*(1-(Assumptions!$C$25+0.06*(1-$H108))-Assumptions!$C$27)-Assumptions!$C$28)*Assumptions!$C$31)+Assumptions!$C$28-Assumptions!$C$29-$M108*Assumptions!$C$30</f>
        <v>99.3580669</v>
      </c>
      <c r="S108" s="139">
        <f>($N108*(1-(Assumptions!$C$25+0.06*(1-$I108))-Assumptions!$C$27)-Assumptions!$C$28)-MAX(0,($N108*(1-(Assumptions!$C$25+0.06*(1-$I108))-Assumptions!$C$27)-Assumptions!$C$28)*Assumptions!$C$31)+Assumptions!$C$28-Assumptions!$C$29-$N108*Assumptions!$C$30</f>
        <v>39.16886901</v>
      </c>
      <c r="T108" s="139">
        <f>($O108*(1-(Assumptions!$C$25+0.06*(1-$J108))-Assumptions!$C$27)-Assumptions!$C$28)-MAX(0,($O108*(1-(Assumptions!$C$25+0.06*(1-$J108))-Assumptions!$C$27)-Assumptions!$C$28)*Assumptions!$C$31)+Assumptions!$C$28-Assumptions!$C$29-$O108*Assumptions!$C$30</f>
        <v>112.7116763</v>
      </c>
      <c r="U108" s="139">
        <f>($P108*(1-(Assumptions!$C$25+0.06*(1-$K108))-Assumptions!$C$27)-Assumptions!$C$28)-MAX(0,($P108*(1-(Assumptions!$C$25+0.06*(1-$K108))-Assumptions!$C$27)-Assumptions!$C$28)*Assumptions!$C$31)+Assumptions!$C$28-Assumptions!$C$29-$P108*Assumptions!$C$30</f>
        <v>119.9222181</v>
      </c>
      <c r="V108" s="143">
        <f>(($Q108/(1+$D108)^1+$R108/(1+$D108)^2+$S108/(1+$D108)^3+$T108/(1+$D108)^4+$U108/(1+$D108)^5+$U108*(1+$E108)/($D108-$E108)/(1+$D108)^5)-Assumptions!$C$37)/Assumptions!$C$40/Assumptions!$C$38</f>
        <v>5.043800064</v>
      </c>
    </row>
    <row r="109" ht="12.0" customHeight="1">
      <c r="B109" s="139">
        <v>57.0</v>
      </c>
      <c r="C109" s="140">
        <f t="shared" si="6"/>
        <v>0.9799881168</v>
      </c>
      <c r="D109" s="141">
        <f t="shared" si="7"/>
        <v>0.1116493782</v>
      </c>
      <c r="E109" s="141">
        <f t="shared" si="8"/>
        <v>0.02315637484</v>
      </c>
      <c r="F109" s="140">
        <f t="shared" si="9"/>
        <v>0.8721211528</v>
      </c>
      <c r="G109" s="141">
        <f t="shared" si="10"/>
        <v>0.07482825241</v>
      </c>
      <c r="H109" s="142">
        <f t="shared" si="11"/>
        <v>0</v>
      </c>
      <c r="I109" s="142">
        <f t="shared" si="12"/>
        <v>0</v>
      </c>
      <c r="J109" s="142">
        <f t="shared" si="13"/>
        <v>1</v>
      </c>
      <c r="K109" s="142">
        <f t="shared" si="14"/>
        <v>1</v>
      </c>
      <c r="L109" s="139">
        <f>Assumptions!$C$6*Assumptions!$C$7*(1+$G109-0.05*(1-1))^1+Assumptions!$C$6*Assumptions!$C$8*(1+Assumptions!$C$11)^1+Assumptions!$C$16*1+Assumptions!$C$6*Assumptions!$C$9*(1+Assumptions!$C$12)^1</f>
        <v>751.6551898</v>
      </c>
      <c r="M109" s="139">
        <f>Assumptions!$C$6*Assumptions!$C$7*(1+$G109-0.05*(1-$H109))^2+Assumptions!$C$6*Assumptions!$C$8*(1+Assumptions!$C$11)^2+Assumptions!$C$16*$H109+Assumptions!$C$6*Assumptions!$C$9*(1+Assumptions!$C$12)^2</f>
        <v>689.9872339</v>
      </c>
      <c r="N109" s="139">
        <f>Assumptions!$C$6*Assumptions!$C$7*(1+$G109-0.05*(1-$I109))^3+Assumptions!$C$6*Assumptions!$C$8*(1+Assumptions!$C$11)^3+Assumptions!$C$16*$I109+Assumptions!$C$6*Assumptions!$C$9*(1+Assumptions!$C$12)^3</f>
        <v>705.4938715</v>
      </c>
      <c r="O109" s="139">
        <f>Assumptions!$C$6*Assumptions!$C$7*(1+$G109-0.05*(1-$J109))^4+Assumptions!$C$6*Assumptions!$C$8*(1+Assumptions!$C$11)^4+Assumptions!$C$16*$J109+Assumptions!$C$6*Assumptions!$C$9*(1+Assumptions!$C$12)^4</f>
        <v>859.2902722</v>
      </c>
      <c r="P109" s="139">
        <f>Assumptions!$C$6*Assumptions!$C$7*(1+$G109-0.05*(1-$K109))^5+Assumptions!$C$6*Assumptions!$C$8*(1+Assumptions!$C$11)^5+Assumptions!$C$16*$K109+Assumptions!$C$6*Assumptions!$C$9*(1+Assumptions!$C$12)^5</f>
        <v>899.9066673</v>
      </c>
      <c r="Q109" s="139">
        <f>($L109*(1-(Assumptions!$C$25+0.06*(1-1))-Assumptions!$C$27)-Assumptions!$C$28)-MAX(0,($L109*(1-(Assumptions!$C$25+0.06*(1-1))-Assumptions!$C$27)-Assumptions!$C$28)*Assumptions!$C$31)+Assumptions!$C$28-Assumptions!$C$29-$L109*Assumptions!$C$30</f>
        <v>94.1058658</v>
      </c>
      <c r="R109" s="139">
        <f>($M109*(1-(Assumptions!$C$25+0.06*(1-$H109))-Assumptions!$C$27)-Assumptions!$C$28)-MAX(0,($M109*(1-(Assumptions!$C$25+0.06*(1-$H109))-Assumptions!$C$27)-Assumptions!$C$28)*Assumptions!$C$31)+Assumptions!$C$28-Assumptions!$C$29-$M109*Assumptions!$C$30</f>
        <v>38.69706381</v>
      </c>
      <c r="S109" s="139">
        <f>($N109*(1-(Assumptions!$C$25+0.06*(1-$I109))-Assumptions!$C$27)-Assumptions!$C$28)-MAX(0,($N109*(1-(Assumptions!$C$25+0.06*(1-$I109))-Assumptions!$C$27)-Assumptions!$C$28)*Assumptions!$C$31)+Assumptions!$C$28-Assumptions!$C$29-$N109*Assumptions!$C$30</f>
        <v>42.26359044</v>
      </c>
      <c r="T109" s="139">
        <f>($O109*(1-(Assumptions!$C$25+0.06*(1-$J109))-Assumptions!$C$27)-Assumptions!$C$28)-MAX(0,($O109*(1-(Assumptions!$C$25+0.06*(1-$J109))-Assumptions!$C$27)-Assumptions!$C$28)*Assumptions!$C$31)+Assumptions!$C$28-Assumptions!$C$29-$O109*Assumptions!$C$30</f>
        <v>117.2474085</v>
      </c>
      <c r="U109" s="139">
        <f>($P109*(1-(Assumptions!$C$25+0.06*(1-$K109))-Assumptions!$C$27)-Assumptions!$C$28)-MAX(0,($P109*(1-(Assumptions!$C$25+0.06*(1-$K109))-Assumptions!$C$27)-Assumptions!$C$28)*Assumptions!$C$31)+Assumptions!$C$28-Assumptions!$C$29-$P109*Assumptions!$C$30</f>
        <v>125.9799335</v>
      </c>
      <c r="V109" s="143">
        <f>(($Q109/(1+$D109)^1+$R109/(1+$D109)^2+$S109/(1+$D109)^3+$T109/(1+$D109)^4+$U109/(1+$D109)^5+$U109*(1+$E109)/($D109-$E109)/(1+$D109)^5)-Assumptions!$C$37)/Assumptions!$C$40/Assumptions!$C$38</f>
        <v>3.621327588</v>
      </c>
    </row>
    <row r="110" ht="12.0" customHeight="1">
      <c r="B110" s="139">
        <v>58.0</v>
      </c>
      <c r="C110" s="140">
        <f t="shared" si="6"/>
        <v>0.6607328625</v>
      </c>
      <c r="D110" s="141">
        <f t="shared" si="7"/>
        <v>0.1012040272</v>
      </c>
      <c r="E110" s="141">
        <f t="shared" si="8"/>
        <v>0.01632580848</v>
      </c>
      <c r="F110" s="140">
        <f t="shared" si="9"/>
        <v>0.2435505074</v>
      </c>
      <c r="G110" s="141">
        <f t="shared" si="10"/>
        <v>0.05093778674</v>
      </c>
      <c r="H110" s="142">
        <f t="shared" si="11"/>
        <v>1</v>
      </c>
      <c r="I110" s="142">
        <f t="shared" si="12"/>
        <v>0</v>
      </c>
      <c r="J110" s="142">
        <f t="shared" si="13"/>
        <v>0</v>
      </c>
      <c r="K110" s="142">
        <f t="shared" si="14"/>
        <v>1</v>
      </c>
      <c r="L110" s="139">
        <f>Assumptions!$C$6*Assumptions!$C$7*(1+$G110-0.05*(1-1))^1+Assumptions!$C$6*Assumptions!$C$8*(1+Assumptions!$C$11)^1+Assumptions!$C$16*1+Assumptions!$C$6*Assumptions!$C$9*(1+Assumptions!$C$12)^1</f>
        <v>743.613659</v>
      </c>
      <c r="M110" s="139">
        <f>Assumptions!$C$6*Assumptions!$C$7*(1+$G110-0.05*(1-$H110))^2+Assumptions!$C$6*Assumptions!$C$8*(1+Assumptions!$C$11)^2+Assumptions!$C$16*$H110+Assumptions!$C$6*Assumptions!$C$9*(1+Assumptions!$C$12)^2</f>
        <v>768.23004</v>
      </c>
      <c r="N110" s="139">
        <f>Assumptions!$C$6*Assumptions!$C$7*(1+$G110-0.05*(1-$I110))^3+Assumptions!$C$6*Assumptions!$C$8*(1+Assumptions!$C$11)^3+Assumptions!$C$16*$I110+Assumptions!$C$6*Assumptions!$C$9*(1+Assumptions!$C$12)^3</f>
        <v>680.7425326</v>
      </c>
      <c r="O110" s="139">
        <f>Assumptions!$C$6*Assumptions!$C$7*(1+$G110-0.05*(1-$J110))^4+Assumptions!$C$6*Assumptions!$C$8*(1+Assumptions!$C$11)^4+Assumptions!$C$16*$J110+Assumptions!$C$6*Assumptions!$C$9*(1+Assumptions!$C$12)^4</f>
        <v>687.9229738</v>
      </c>
      <c r="P110" s="139">
        <f>Assumptions!$C$6*Assumptions!$C$7*(1+$G110-0.05*(1-$K110))^5+Assumptions!$C$6*Assumptions!$C$8*(1+Assumptions!$C$11)^5+Assumptions!$C$16*$K110+Assumptions!$C$6*Assumptions!$C$9*(1+Assumptions!$C$12)^5</f>
        <v>848.5779631</v>
      </c>
      <c r="Q110" s="139">
        <f>($L110*(1-(Assumptions!$C$25+0.06*(1-1))-Assumptions!$C$27)-Assumptions!$C$28)-MAX(0,($L110*(1-(Assumptions!$C$25+0.06*(1-1))-Assumptions!$C$27)-Assumptions!$C$28)*Assumptions!$C$31)+Assumptions!$C$28-Assumptions!$C$29-$L110*Assumptions!$C$30</f>
        <v>92.37693669</v>
      </c>
      <c r="R110" s="139">
        <f>($M110*(1-(Assumptions!$C$25+0.06*(1-$H110))-Assumptions!$C$27)-Assumptions!$C$28)-MAX(0,($M110*(1-(Assumptions!$C$25+0.06*(1-$H110))-Assumptions!$C$27)-Assumptions!$C$28)*Assumptions!$C$31)+Assumptions!$C$28-Assumptions!$C$29-$M110*Assumptions!$C$30</f>
        <v>97.66945859</v>
      </c>
      <c r="S110" s="139">
        <f>($N110*(1-(Assumptions!$C$25+0.06*(1-$I110))-Assumptions!$C$27)-Assumptions!$C$28)-MAX(0,($N110*(1-(Assumptions!$C$25+0.06*(1-$I110))-Assumptions!$C$27)-Assumptions!$C$28)*Assumptions!$C$31)+Assumptions!$C$28-Assumptions!$C$29-$N110*Assumptions!$C$30</f>
        <v>36.57078249</v>
      </c>
      <c r="T110" s="139">
        <f>($O110*(1-(Assumptions!$C$25+0.06*(1-$J110))-Assumptions!$C$27)-Assumptions!$C$28)-MAX(0,($O110*(1-(Assumptions!$C$25+0.06*(1-$J110))-Assumptions!$C$27)-Assumptions!$C$28)*Assumptions!$C$31)+Assumptions!$C$28-Assumptions!$C$29-$O110*Assumptions!$C$30</f>
        <v>38.22228398</v>
      </c>
      <c r="U110" s="139">
        <f>($P110*(1-(Assumptions!$C$25+0.06*(1-$K110))-Assumptions!$C$27)-Assumptions!$C$28)-MAX(0,($P110*(1-(Assumptions!$C$25+0.06*(1-$K110))-Assumptions!$C$27)-Assumptions!$C$28)*Assumptions!$C$31)+Assumptions!$C$28-Assumptions!$C$29-$P110*Assumptions!$C$30</f>
        <v>114.9442621</v>
      </c>
      <c r="V110" s="143">
        <f>(($Q110/(1+$D110)^1+$R110/(1+$D110)^2+$S110/(1+$D110)^3+$T110/(1+$D110)^4+$U110/(1+$D110)^5+$U110*(1+$E110)/($D110-$E110)/(1+$D110)^5)-Assumptions!$C$37)/Assumptions!$C$40/Assumptions!$C$38</f>
        <v>3.488555837</v>
      </c>
    </row>
    <row r="111" ht="12.0" customHeight="1">
      <c r="B111" s="139">
        <v>59.0</v>
      </c>
      <c r="C111" s="140">
        <f t="shared" si="6"/>
        <v>0.02659396346</v>
      </c>
      <c r="D111" s="141">
        <f t="shared" si="7"/>
        <v>0.08800255785</v>
      </c>
      <c r="E111" s="141">
        <f t="shared" si="8"/>
        <v>0.02556441541</v>
      </c>
      <c r="F111" s="140">
        <f t="shared" si="9"/>
        <v>0.4589664947</v>
      </c>
      <c r="G111" s="141">
        <f t="shared" si="10"/>
        <v>0.05874264585</v>
      </c>
      <c r="H111" s="142">
        <f t="shared" si="11"/>
        <v>1</v>
      </c>
      <c r="I111" s="142">
        <f t="shared" si="12"/>
        <v>0</v>
      </c>
      <c r="J111" s="142">
        <f t="shared" si="13"/>
        <v>1</v>
      </c>
      <c r="K111" s="142">
        <f t="shared" si="14"/>
        <v>0</v>
      </c>
      <c r="L111" s="139">
        <f>Assumptions!$C$6*Assumptions!$C$7*(1+$G111-0.05*(1-1))^1+Assumptions!$C$6*Assumptions!$C$8*(1+Assumptions!$C$11)^1+Assumptions!$C$16*1+Assumptions!$C$6*Assumptions!$C$9*(1+Assumptions!$C$12)^1</f>
        <v>746.2407746</v>
      </c>
      <c r="M111" s="139">
        <f>Assumptions!$C$6*Assumptions!$C$7*(1+$G111-0.05*(1-$H111))^2+Assumptions!$C$6*Assumptions!$C$8*(1+Assumptions!$C$11)^2+Assumptions!$C$16*$H111+Assumptions!$C$6*Assumptions!$C$9*(1+Assumptions!$C$12)^2</f>
        <v>773.7724143</v>
      </c>
      <c r="N111" s="139">
        <f>Assumptions!$C$6*Assumptions!$C$7*(1+$G111-0.05*(1-$I111))^3+Assumptions!$C$6*Assumptions!$C$8*(1+Assumptions!$C$11)^3+Assumptions!$C$16*$I111+Assumptions!$C$6*Assumptions!$C$9*(1+Assumptions!$C$12)^3</f>
        <v>688.7003988</v>
      </c>
      <c r="O111" s="139">
        <f>Assumptions!$C$6*Assumptions!$C$7*(1+$G111-0.05*(1-$J111))^4+Assumptions!$C$6*Assumptions!$C$8*(1+Assumptions!$C$11)^4+Assumptions!$C$16*$J111+Assumptions!$C$6*Assumptions!$C$9*(1+Assumptions!$C$12)^4</f>
        <v>832.995617</v>
      </c>
      <c r="P111" s="139">
        <f>Assumptions!$C$6*Assumptions!$C$7*(1+$G111-0.05*(1-$K111))^5+Assumptions!$C$6*Assumptions!$C$8*(1+Assumptions!$C$11)^5+Assumptions!$C$16*$K111+Assumptions!$C$6*Assumptions!$C$9*(1+Assumptions!$C$12)^5</f>
        <v>708.6331402</v>
      </c>
      <c r="Q111" s="139">
        <f>($L111*(1-(Assumptions!$C$25+0.06*(1-1))-Assumptions!$C$27)-Assumptions!$C$28)-MAX(0,($L111*(1-(Assumptions!$C$25+0.06*(1-1))-Assumptions!$C$27)-Assumptions!$C$28)*Assumptions!$C$31)+Assumptions!$C$28-Assumptions!$C$29-$L111*Assumptions!$C$30</f>
        <v>92.94176654</v>
      </c>
      <c r="R111" s="139">
        <f>($M111*(1-(Assumptions!$C$25+0.06*(1-$H111))-Assumptions!$C$27)-Assumptions!$C$28)-MAX(0,($M111*(1-(Assumptions!$C$25+0.06*(1-$H111))-Assumptions!$C$27)-Assumptions!$C$28)*Assumptions!$C$31)+Assumptions!$C$28-Assumptions!$C$29-$M111*Assumptions!$C$30</f>
        <v>98.86106907</v>
      </c>
      <c r="S111" s="139">
        <f>($N111*(1-(Assumptions!$C$25+0.06*(1-$I111))-Assumptions!$C$27)-Assumptions!$C$28)-MAX(0,($N111*(1-(Assumptions!$C$25+0.06*(1-$I111))-Assumptions!$C$27)-Assumptions!$C$28)*Assumptions!$C$31)+Assumptions!$C$28-Assumptions!$C$29-$N111*Assumptions!$C$30</f>
        <v>38.40109173</v>
      </c>
      <c r="T111" s="139">
        <f>($O111*(1-(Assumptions!$C$25+0.06*(1-$J111))-Assumptions!$C$27)-Assumptions!$C$28)-MAX(0,($O111*(1-(Assumptions!$C$25+0.06*(1-$J111))-Assumptions!$C$27)-Assumptions!$C$28)*Assumptions!$C$31)+Assumptions!$C$28-Assumptions!$C$29-$O111*Assumptions!$C$30</f>
        <v>111.5940577</v>
      </c>
      <c r="U111" s="139">
        <f>($P111*(1-(Assumptions!$C$25+0.06*(1-$K111))-Assumptions!$C$27)-Assumptions!$C$28)-MAX(0,($P111*(1-(Assumptions!$C$25+0.06*(1-$K111))-Assumptions!$C$27)-Assumptions!$C$28)*Assumptions!$C$31)+Assumptions!$C$28-Assumptions!$C$29-$P111*Assumptions!$C$30</f>
        <v>42.98562225</v>
      </c>
      <c r="V111" s="143">
        <f>(($Q111/(1+$D111)^1+$R111/(1+$D111)^2+$S111/(1+$D111)^3+$T111/(1+$D111)^4+$U111/(1+$D111)^5+$U111*(1+$E111)/($D111-$E111)/(1+$D111)^5)-Assumptions!$C$37)/Assumptions!$C$40/Assumptions!$C$38</f>
        <v>0.6087218202</v>
      </c>
    </row>
    <row r="112" ht="12.0" customHeight="1">
      <c r="B112" s="139">
        <v>60.0</v>
      </c>
      <c r="C112" s="140">
        <f t="shared" si="6"/>
        <v>0.8589466968</v>
      </c>
      <c r="D112" s="141">
        <f t="shared" si="7"/>
        <v>0.1061044448</v>
      </c>
      <c r="E112" s="141">
        <f t="shared" si="8"/>
        <v>0.02938858383</v>
      </c>
      <c r="F112" s="140">
        <f t="shared" si="9"/>
        <v>0.9568466711</v>
      </c>
      <c r="G112" s="141">
        <f t="shared" si="10"/>
        <v>0.08118660156</v>
      </c>
      <c r="H112" s="142">
        <f t="shared" si="11"/>
        <v>1</v>
      </c>
      <c r="I112" s="142">
        <f t="shared" si="12"/>
        <v>0</v>
      </c>
      <c r="J112" s="142">
        <f t="shared" si="13"/>
        <v>0</v>
      </c>
      <c r="K112" s="142">
        <f t="shared" si="14"/>
        <v>0</v>
      </c>
      <c r="L112" s="139">
        <f>Assumptions!$C$6*Assumptions!$C$7*(1+$G112-0.05*(1-1))^1+Assumptions!$C$6*Assumptions!$C$8*(1+Assumptions!$C$11)^1+Assumptions!$C$16*1+Assumptions!$C$6*Assumptions!$C$9*(1+Assumptions!$C$12)^1</f>
        <v>753.7954101</v>
      </c>
      <c r="M112" s="139">
        <f>Assumptions!$C$6*Assumptions!$C$7*(1+$G112-0.05*(1-$H112))^2+Assumptions!$C$6*Assumptions!$C$8*(1+Assumptions!$C$11)^2+Assumptions!$C$16*$H112+Assumptions!$C$6*Assumptions!$C$9*(1+Assumptions!$C$12)^2</f>
        <v>789.9387997</v>
      </c>
      <c r="N112" s="139">
        <f>Assumptions!$C$6*Assumptions!$C$7*(1+$G112-0.05*(1-$I112))^3+Assumptions!$C$6*Assumptions!$C$8*(1+Assumptions!$C$11)^3+Assumptions!$C$16*$I112+Assumptions!$C$6*Assumptions!$C$9*(1+Assumptions!$C$12)^3</f>
        <v>712.2792429</v>
      </c>
      <c r="O112" s="139">
        <f>Assumptions!$C$6*Assumptions!$C$7*(1+$G112-0.05*(1-$J112))^4+Assumptions!$C$6*Assumptions!$C$8*(1+Assumptions!$C$11)^4+Assumptions!$C$16*$J112+Assumptions!$C$6*Assumptions!$C$9*(1+Assumptions!$C$12)^4</f>
        <v>730.6536299</v>
      </c>
      <c r="P112" s="139">
        <f>Assumptions!$C$6*Assumptions!$C$7*(1+$G112-0.05*(1-$K112))^5+Assumptions!$C$6*Assumptions!$C$8*(1+Assumptions!$C$11)^5+Assumptions!$C$16*$K112+Assumptions!$C$6*Assumptions!$C$9*(1+Assumptions!$C$12)^5</f>
        <v>749.5242679</v>
      </c>
      <c r="Q112" s="139">
        <f>($L112*(1-(Assumptions!$C$25+0.06*(1-1))-Assumptions!$C$27)-Assumptions!$C$28)-MAX(0,($L112*(1-(Assumptions!$C$25+0.06*(1-1))-Assumptions!$C$27)-Assumptions!$C$28)*Assumptions!$C$31)+Assumptions!$C$28-Assumptions!$C$29-$L112*Assumptions!$C$30</f>
        <v>94.56601317</v>
      </c>
      <c r="R112" s="139">
        <f>($M112*(1-(Assumptions!$C$25+0.06*(1-$H112))-Assumptions!$C$27)-Assumptions!$C$28)-MAX(0,($M112*(1-(Assumptions!$C$25+0.06*(1-$H112))-Assumptions!$C$27)-Assumptions!$C$28)*Assumptions!$C$31)+Assumptions!$C$28-Assumptions!$C$29-$M112*Assumptions!$C$30</f>
        <v>102.3368419</v>
      </c>
      <c r="S112" s="139">
        <f>($N112*(1-(Assumptions!$C$25+0.06*(1-$I112))-Assumptions!$C$27)-Assumptions!$C$28)-MAX(0,($N112*(1-(Assumptions!$C$25+0.06*(1-$I112))-Assumptions!$C$27)-Assumptions!$C$28)*Assumptions!$C$31)+Assumptions!$C$28-Assumptions!$C$29-$N112*Assumptions!$C$30</f>
        <v>43.82422587</v>
      </c>
      <c r="T112" s="139">
        <f>($O112*(1-(Assumptions!$C$25+0.06*(1-$J112))-Assumptions!$C$27)-Assumptions!$C$28)-MAX(0,($O112*(1-(Assumptions!$C$25+0.06*(1-$J112))-Assumptions!$C$27)-Assumptions!$C$28)*Assumptions!$C$31)+Assumptions!$C$28-Assumptions!$C$29-$O112*Assumptions!$C$30</f>
        <v>48.05033487</v>
      </c>
      <c r="U112" s="139">
        <f>($P112*(1-(Assumptions!$C$25+0.06*(1-$K112))-Assumptions!$C$27)-Assumptions!$C$28)-MAX(0,($P112*(1-(Assumptions!$C$25+0.06*(1-$K112))-Assumptions!$C$27)-Assumptions!$C$28)*Assumptions!$C$31)+Assumptions!$C$28-Assumptions!$C$29-$P112*Assumptions!$C$30</f>
        <v>52.39058161</v>
      </c>
      <c r="V112" s="143">
        <f>(($Q112/(1+$D112)^1+$R112/(1+$D112)^2+$S112/(1+$D112)^3+$T112/(1+$D112)^4+$U112/(1+$D112)^5+$U112*(1+$E112)/($D112-$E112)/(1+$D112)^5)-Assumptions!$C$37)/Assumptions!$C$40/Assumptions!$C$38</f>
        <v>-0.01441071096</v>
      </c>
    </row>
    <row r="113" ht="12.0" customHeight="1">
      <c r="B113" s="139">
        <v>61.0</v>
      </c>
      <c r="C113" s="140">
        <f t="shared" si="6"/>
        <v>0.8491800999</v>
      </c>
      <c r="D113" s="141">
        <f t="shared" si="7"/>
        <v>0.1058016325</v>
      </c>
      <c r="E113" s="141">
        <f t="shared" si="8"/>
        <v>0.01602001788</v>
      </c>
      <c r="F113" s="140">
        <f t="shared" si="9"/>
        <v>0.122982246</v>
      </c>
      <c r="G113" s="141">
        <f t="shared" si="10"/>
        <v>0.04487844221</v>
      </c>
      <c r="H113" s="142">
        <f t="shared" si="11"/>
        <v>1</v>
      </c>
      <c r="I113" s="142">
        <f t="shared" si="12"/>
        <v>0</v>
      </c>
      <c r="J113" s="142">
        <f t="shared" si="13"/>
        <v>0</v>
      </c>
      <c r="K113" s="142">
        <f t="shared" si="14"/>
        <v>0</v>
      </c>
      <c r="L113" s="139">
        <f>Assumptions!$C$6*Assumptions!$C$7*(1+$G113-0.05*(1-1))^1+Assumptions!$C$6*Assumptions!$C$8*(1+Assumptions!$C$11)^1+Assumptions!$C$16*1+Assumptions!$C$6*Assumptions!$C$9*(1+Assumptions!$C$12)^1</f>
        <v>741.5740836</v>
      </c>
      <c r="M113" s="139">
        <f>Assumptions!$C$6*Assumptions!$C$7*(1+$G113-0.05*(1-$H113))^2+Assumptions!$C$6*Assumptions!$C$8*(1+Assumptions!$C$11)^2+Assumptions!$C$16*$H113+Assumptions!$C$6*Assumptions!$C$9*(1+Assumptions!$C$12)^2</f>
        <v>763.9554648</v>
      </c>
      <c r="N113" s="139">
        <f>Assumptions!$C$6*Assumptions!$C$7*(1+$G113-0.05*(1-$I113))^3+Assumptions!$C$6*Assumptions!$C$8*(1+Assumptions!$C$11)^3+Assumptions!$C$16*$I113+Assumptions!$C$6*Assumptions!$C$9*(1+Assumptions!$C$12)^3</f>
        <v>674.6493603</v>
      </c>
      <c r="O113" s="139">
        <f>Assumptions!$C$6*Assumptions!$C$7*(1+$G113-0.05*(1-$J113))^4+Assumptions!$C$6*Assumptions!$C$8*(1+Assumptions!$C$11)^4+Assumptions!$C$16*$J113+Assumptions!$C$6*Assumptions!$C$9*(1+Assumptions!$C$12)^4</f>
        <v>679.8156893</v>
      </c>
      <c r="P113" s="139">
        <f>Assumptions!$C$6*Assumptions!$C$7*(1+$G113-0.05*(1-$K113))^5+Assumptions!$C$6*Assumptions!$C$8*(1+Assumptions!$C$11)^5+Assumptions!$C$16*$K113+Assumptions!$C$6*Assumptions!$C$9*(1+Assumptions!$C$12)^5</f>
        <v>685.1279903</v>
      </c>
      <c r="Q113" s="139">
        <f>($L113*(1-(Assumptions!$C$25+0.06*(1-1))-Assumptions!$C$27)-Assumptions!$C$28)-MAX(0,($L113*(1-(Assumptions!$C$25+0.06*(1-1))-Assumptions!$C$27)-Assumptions!$C$28)*Assumptions!$C$31)+Assumptions!$C$28-Assumptions!$C$29-$L113*Assumptions!$C$30</f>
        <v>91.93842798</v>
      </c>
      <c r="R113" s="139">
        <f>($M113*(1-(Assumptions!$C$25+0.06*(1-$H113))-Assumptions!$C$27)-Assumptions!$C$28)-MAX(0,($M113*(1-(Assumptions!$C$25+0.06*(1-$H113))-Assumptions!$C$27)-Assumptions!$C$28)*Assumptions!$C$31)+Assumptions!$C$28-Assumptions!$C$29-$M113*Assumptions!$C$30</f>
        <v>96.75042493</v>
      </c>
      <c r="S113" s="139">
        <f>($N113*(1-(Assumptions!$C$25+0.06*(1-$I113))-Assumptions!$C$27)-Assumptions!$C$28)-MAX(0,($N113*(1-(Assumptions!$C$25+0.06*(1-$I113))-Assumptions!$C$27)-Assumptions!$C$28)*Assumptions!$C$31)+Assumptions!$C$28-Assumptions!$C$29-$N113*Assumptions!$C$30</f>
        <v>35.16935288</v>
      </c>
      <c r="T113" s="139">
        <f>($O113*(1-(Assumptions!$C$25+0.06*(1-$J113))-Assumptions!$C$27)-Assumptions!$C$28)-MAX(0,($O113*(1-(Assumptions!$C$25+0.06*(1-$J113))-Assumptions!$C$27)-Assumptions!$C$28)*Assumptions!$C$31)+Assumptions!$C$28-Assumptions!$C$29-$O113*Assumptions!$C$30</f>
        <v>36.35760854</v>
      </c>
      <c r="U113" s="139">
        <f>($P113*(1-(Assumptions!$C$25+0.06*(1-$K113))-Assumptions!$C$27)-Assumptions!$C$28)-MAX(0,($P113*(1-(Assumptions!$C$25+0.06*(1-$K113))-Assumptions!$C$27)-Assumptions!$C$28)*Assumptions!$C$31)+Assumptions!$C$28-Assumptions!$C$29-$P113*Assumptions!$C$30</f>
        <v>37.57943778</v>
      </c>
      <c r="V113" s="143">
        <f>(($Q113/(1+$D113)^1+$R113/(1+$D113)^2+$S113/(1+$D113)^3+$T113/(1+$D113)^4+$U113/(1+$D113)^5+$U113*(1+$E113)/($D113-$E113)/(1+$D113)^5)-Assumptions!$C$37)/Assumptions!$C$40/Assumptions!$C$38</f>
        <v>-1.554376263</v>
      </c>
    </row>
    <row r="114" ht="12.0" customHeight="1">
      <c r="B114" s="139">
        <v>62.0</v>
      </c>
      <c r="C114" s="140">
        <f t="shared" si="6"/>
        <v>0.9978403617</v>
      </c>
      <c r="D114" s="141">
        <f t="shared" si="7"/>
        <v>0.1138992925</v>
      </c>
      <c r="E114" s="141">
        <f t="shared" si="8"/>
        <v>0.02938140924</v>
      </c>
      <c r="F114" s="140">
        <f t="shared" si="9"/>
        <v>0.2589116181</v>
      </c>
      <c r="G114" s="141">
        <f t="shared" si="10"/>
        <v>0.05158798074</v>
      </c>
      <c r="H114" s="142">
        <f t="shared" si="11"/>
        <v>1</v>
      </c>
      <c r="I114" s="142">
        <f t="shared" si="12"/>
        <v>1</v>
      </c>
      <c r="J114" s="142">
        <f t="shared" si="13"/>
        <v>1</v>
      </c>
      <c r="K114" s="142">
        <f t="shared" si="14"/>
        <v>0</v>
      </c>
      <c r="L114" s="139">
        <f>Assumptions!$C$6*Assumptions!$C$7*(1+$G114-0.05*(1-1))^1+Assumptions!$C$6*Assumptions!$C$8*(1+Assumptions!$C$11)^1+Assumptions!$C$16*1+Assumptions!$C$6*Assumptions!$C$9*(1+Assumptions!$C$12)^1</f>
        <v>743.8325143</v>
      </c>
      <c r="M114" s="139">
        <f>Assumptions!$C$6*Assumptions!$C$7*(1+$G114-0.05*(1-$H114))^2+Assumptions!$C$6*Assumptions!$C$8*(1+Assumptions!$C$11)^2+Assumptions!$C$16*$H114+Assumptions!$C$6*Assumptions!$C$9*(1+Assumptions!$C$12)^2</f>
        <v>768.6901889</v>
      </c>
      <c r="N114" s="139">
        <f>Assumptions!$C$6*Assumptions!$C$7*(1+$G114-0.05*(1-$I114))^3+Assumptions!$C$6*Assumptions!$C$8*(1+Assumptions!$C$11)^3+Assumptions!$C$16*$I114+Assumptions!$C$6*Assumptions!$C$9*(1+Assumptions!$C$12)^3</f>
        <v>794.6218234</v>
      </c>
      <c r="O114" s="139">
        <f>Assumptions!$C$6*Assumptions!$C$7*(1+$G114-0.05*(1-$J114))^4+Assumptions!$C$6*Assumptions!$C$8*(1+Assumptions!$C$11)^4+Assumptions!$C$16*$J114+Assumptions!$C$6*Assumptions!$C$9*(1+Assumptions!$C$12)^4</f>
        <v>821.6786533</v>
      </c>
      <c r="P114" s="139">
        <f>Assumptions!$C$6*Assumptions!$C$7*(1+$G114-0.05*(1-$K114))^5+Assumptions!$C$6*Assumptions!$C$8*(1+Assumptions!$C$11)^5+Assumptions!$C$16*$K114+Assumptions!$C$6*Assumptions!$C$9*(1+Assumptions!$C$12)^5</f>
        <v>696.3408048</v>
      </c>
      <c r="Q114" s="139">
        <f>($L114*(1-(Assumptions!$C$25+0.06*(1-1))-Assumptions!$C$27)-Assumptions!$C$28)-MAX(0,($L114*(1-(Assumptions!$C$25+0.06*(1-1))-Assumptions!$C$27)-Assumptions!$C$28)*Assumptions!$C$31)+Assumptions!$C$28-Assumptions!$C$29-$L114*Assumptions!$C$30</f>
        <v>92.42399058</v>
      </c>
      <c r="R114" s="139">
        <f>($M114*(1-(Assumptions!$C$25+0.06*(1-$H114))-Assumptions!$C$27)-Assumptions!$C$28)-MAX(0,($M114*(1-(Assumptions!$C$25+0.06*(1-$H114))-Assumptions!$C$27)-Assumptions!$C$28)*Assumptions!$C$31)+Assumptions!$C$28-Assumptions!$C$29-$M114*Assumptions!$C$30</f>
        <v>97.76839061</v>
      </c>
      <c r="S114" s="139">
        <f>($N114*(1-(Assumptions!$C$25+0.06*(1-$I114))-Assumptions!$C$27)-Assumptions!$C$28)-MAX(0,($N114*(1-(Assumptions!$C$25+0.06*(1-$I114))-Assumptions!$C$27)-Assumptions!$C$28)*Assumptions!$C$31)+Assumptions!$C$28-Assumptions!$C$29-$N114*Assumptions!$C$30</f>
        <v>103.343692</v>
      </c>
      <c r="T114" s="139">
        <f>($O114*(1-(Assumptions!$C$25+0.06*(1-$J114))-Assumptions!$C$27)-Assumptions!$C$28)-MAX(0,($O114*(1-(Assumptions!$C$25+0.06*(1-$J114))-Assumptions!$C$27)-Assumptions!$C$28)*Assumptions!$C$31)+Assumptions!$C$28-Assumptions!$C$29-$O114*Assumptions!$C$30</f>
        <v>109.1609105</v>
      </c>
      <c r="U114" s="139">
        <f>($P114*(1-(Assumptions!$C$25+0.06*(1-$K114))-Assumptions!$C$27)-Assumptions!$C$28)-MAX(0,($P114*(1-(Assumptions!$C$25+0.06*(1-$K114))-Assumptions!$C$27)-Assumptions!$C$28)*Assumptions!$C$31)+Assumptions!$C$28-Assumptions!$C$29-$P114*Assumptions!$C$30</f>
        <v>40.15838511</v>
      </c>
      <c r="V114" s="143">
        <f>(($Q114/(1+$D114)^1+$R114/(1+$D114)^2+$S114/(1+$D114)^3+$T114/(1+$D114)^4+$U114/(1+$D114)^5+$U114*(1+$E114)/($D114-$E114)/(1+$D114)^5)-Assumptions!$C$37)/Assumptions!$C$40/Assumptions!$C$38</f>
        <v>-0.5901104954</v>
      </c>
    </row>
    <row r="115" ht="12.0" customHeight="1">
      <c r="B115" s="139">
        <v>63.0</v>
      </c>
      <c r="C115" s="140">
        <f t="shared" si="6"/>
        <v>0.889055982</v>
      </c>
      <c r="D115" s="141">
        <f t="shared" si="7"/>
        <v>0.1071107926</v>
      </c>
      <c r="E115" s="141">
        <f t="shared" si="8"/>
        <v>0.02643834313</v>
      </c>
      <c r="F115" s="140">
        <f t="shared" si="9"/>
        <v>0.5377547225</v>
      </c>
      <c r="G115" s="141">
        <f t="shared" si="10"/>
        <v>0.06115487044</v>
      </c>
      <c r="H115" s="142">
        <f t="shared" si="11"/>
        <v>0</v>
      </c>
      <c r="I115" s="142">
        <f t="shared" si="12"/>
        <v>0</v>
      </c>
      <c r="J115" s="142">
        <f t="shared" si="13"/>
        <v>0</v>
      </c>
      <c r="K115" s="142">
        <f t="shared" si="14"/>
        <v>0</v>
      </c>
      <c r="L115" s="139">
        <f>Assumptions!$C$6*Assumptions!$C$7*(1+$G115-0.05*(1-1))^1+Assumptions!$C$6*Assumptions!$C$8*(1+Assumptions!$C$11)^1+Assumptions!$C$16*1+Assumptions!$C$6*Assumptions!$C$9*(1+Assumptions!$C$12)^1</f>
        <v>747.0527294</v>
      </c>
      <c r="M115" s="139">
        <f>Assumptions!$C$6*Assumptions!$C$7*(1+$G115-0.05*(1-$H115))^2+Assumptions!$C$6*Assumptions!$C$8*(1+Assumptions!$C$11)^2+Assumptions!$C$16*$H115+Assumptions!$C$6*Assumptions!$C$9*(1+Assumptions!$C$12)^2</f>
        <v>680.6167023</v>
      </c>
      <c r="N115" s="139">
        <f>Assumptions!$C$6*Assumptions!$C$7*(1+$G115-0.05*(1-$I115))^3+Assumptions!$C$6*Assumptions!$C$8*(1+Assumptions!$C$11)^3+Assumptions!$C$16*$I115+Assumptions!$C$6*Assumptions!$C$9*(1+Assumptions!$C$12)^3</f>
        <v>691.1849731</v>
      </c>
      <c r="O115" s="139">
        <f>Assumptions!$C$6*Assumptions!$C$7*(1+$G115-0.05*(1-$J115))^4+Assumptions!$C$6*Assumptions!$C$8*(1+Assumptions!$C$11)^4+Assumptions!$C$16*$J115+Assumptions!$C$6*Assumptions!$C$9*(1+Assumptions!$C$12)^4</f>
        <v>701.9306533</v>
      </c>
      <c r="P115" s="139">
        <f>Assumptions!$C$6*Assumptions!$C$7*(1+$G115-0.05*(1-$K115))^5+Assumptions!$C$6*Assumptions!$C$8*(1+Assumptions!$C$11)^5+Assumptions!$C$16*$K115+Assumptions!$C$6*Assumptions!$C$9*(1+Assumptions!$C$12)^5</f>
        <v>712.8569121</v>
      </c>
      <c r="Q115" s="139">
        <f>($L115*(1-(Assumptions!$C$25+0.06*(1-1))-Assumptions!$C$27)-Assumptions!$C$28)-MAX(0,($L115*(1-(Assumptions!$C$25+0.06*(1-1))-Assumptions!$C$27)-Assumptions!$C$28)*Assumptions!$C$31)+Assumptions!$C$28-Assumptions!$C$29-$L115*Assumptions!$C$30</f>
        <v>93.11633682</v>
      </c>
      <c r="R115" s="139">
        <f>($M115*(1-(Assumptions!$C$25+0.06*(1-$H115))-Assumptions!$C$27)-Assumptions!$C$28)-MAX(0,($M115*(1-(Assumptions!$C$25+0.06*(1-$H115))-Assumptions!$C$27)-Assumptions!$C$28)*Assumptions!$C$31)+Assumptions!$C$28-Assumptions!$C$29-$M115*Assumptions!$C$30</f>
        <v>36.54184153</v>
      </c>
      <c r="S115" s="139">
        <f>($N115*(1-(Assumptions!$C$25+0.06*(1-$I115))-Assumptions!$C$27)-Assumptions!$C$28)-MAX(0,($N115*(1-(Assumptions!$C$25+0.06*(1-$I115))-Assumptions!$C$27)-Assumptions!$C$28)*Assumptions!$C$31)+Assumptions!$C$28-Assumptions!$C$29-$N115*Assumptions!$C$30</f>
        <v>38.97254382</v>
      </c>
      <c r="T115" s="139">
        <f>($O115*(1-(Assumptions!$C$25+0.06*(1-$J115))-Assumptions!$C$27)-Assumptions!$C$28)-MAX(0,($O115*(1-(Assumptions!$C$25+0.06*(1-$J115))-Assumptions!$C$27)-Assumptions!$C$28)*Assumptions!$C$31)+Assumptions!$C$28-Assumptions!$C$29-$O115*Assumptions!$C$30</f>
        <v>41.44405025</v>
      </c>
      <c r="U115" s="139">
        <f>($P115*(1-(Assumptions!$C$25+0.06*(1-$K115))-Assumptions!$C$27)-Assumptions!$C$28)-MAX(0,($P115*(1-(Assumptions!$C$25+0.06*(1-$K115))-Assumptions!$C$27)-Assumptions!$C$28)*Assumptions!$C$31)+Assumptions!$C$28-Assumptions!$C$29-$P115*Assumptions!$C$30</f>
        <v>43.95708978</v>
      </c>
      <c r="V115" s="143">
        <f>(($Q115/(1+$D115)^1+$R115/(1+$D115)^2+$S115/(1+$D115)^3+$T115/(1+$D115)^4+$U115/(1+$D115)^5+$U115*(1+$E115)/($D115-$E115)/(1+$D115)^5)-Assumptions!$C$37)/Assumptions!$C$40/Assumptions!$C$38</f>
        <v>-1.239109654</v>
      </c>
    </row>
    <row r="116" ht="12.0" customHeight="1">
      <c r="B116" s="139">
        <v>64.0</v>
      </c>
      <c r="C116" s="140">
        <f t="shared" si="6"/>
        <v>0.6192466526</v>
      </c>
      <c r="D116" s="141">
        <f t="shared" si="7"/>
        <v>0.1003848494</v>
      </c>
      <c r="E116" s="141">
        <f t="shared" si="8"/>
        <v>0.01720870534</v>
      </c>
      <c r="F116" s="140">
        <f t="shared" si="9"/>
        <v>0.8492549958</v>
      </c>
      <c r="G116" s="141">
        <f t="shared" si="10"/>
        <v>0.07352756826</v>
      </c>
      <c r="H116" s="142">
        <f t="shared" si="11"/>
        <v>1</v>
      </c>
      <c r="I116" s="142">
        <f t="shared" si="12"/>
        <v>1</v>
      </c>
      <c r="J116" s="142">
        <f t="shared" si="13"/>
        <v>1</v>
      </c>
      <c r="K116" s="142">
        <f t="shared" si="14"/>
        <v>0</v>
      </c>
      <c r="L116" s="139">
        <f>Assumptions!$C$6*Assumptions!$C$7*(1+$G116-0.05*(1-1))^1+Assumptions!$C$6*Assumptions!$C$8*(1+Assumptions!$C$11)^1+Assumptions!$C$16*1+Assumptions!$C$6*Assumptions!$C$9*(1+Assumptions!$C$12)^1</f>
        <v>751.2173795</v>
      </c>
      <c r="M116" s="139">
        <f>Assumptions!$C$6*Assumptions!$C$7*(1+$G116-0.05*(1-$H116))^2+Assumptions!$C$6*Assumptions!$C$8*(1+Assumptions!$C$11)^2+Assumptions!$C$16*$H116+Assumptions!$C$6*Assumptions!$C$9*(1+Assumptions!$C$12)^2</f>
        <v>784.3838806</v>
      </c>
      <c r="N116" s="139">
        <f>Assumptions!$C$6*Assumptions!$C$7*(1+$G116-0.05*(1-$I116))^3+Assumptions!$C$6*Assumptions!$C$8*(1+Assumptions!$C$11)^3+Assumptions!$C$16*$I116+Assumptions!$C$6*Assumptions!$C$9*(1+Assumptions!$C$12)^3</f>
        <v>819.6358933</v>
      </c>
      <c r="O116" s="139">
        <f>Assumptions!$C$6*Assumptions!$C$7*(1+$G116-0.05*(1-$J116))^4+Assumptions!$C$6*Assumptions!$C$8*(1+Assumptions!$C$11)^4+Assumptions!$C$16*$J116+Assumptions!$C$6*Assumptions!$C$9*(1+Assumptions!$C$12)^4</f>
        <v>857.1196974</v>
      </c>
      <c r="P116" s="139">
        <f>Assumptions!$C$6*Assumptions!$C$7*(1+$G116-0.05*(1-$K116))^5+Assumptions!$C$6*Assumptions!$C$8*(1+Assumptions!$C$11)^5+Assumptions!$C$16*$K116+Assumptions!$C$6*Assumptions!$C$9*(1+Assumptions!$C$12)^5</f>
        <v>735.1642221</v>
      </c>
      <c r="Q116" s="139">
        <f>($L116*(1-(Assumptions!$C$25+0.06*(1-1))-Assumptions!$C$27)-Assumptions!$C$28)-MAX(0,($L116*(1-(Assumptions!$C$25+0.06*(1-1))-Assumptions!$C$27)-Assumptions!$C$28)*Assumptions!$C$31)+Assumptions!$C$28-Assumptions!$C$29-$L116*Assumptions!$C$30</f>
        <v>94.01173659</v>
      </c>
      <c r="R116" s="139">
        <f>($M116*(1-(Assumptions!$C$25+0.06*(1-$H116))-Assumptions!$C$27)-Assumptions!$C$28)-MAX(0,($M116*(1-(Assumptions!$C$25+0.06*(1-$H116))-Assumptions!$C$27)-Assumptions!$C$28)*Assumptions!$C$31)+Assumptions!$C$28-Assumptions!$C$29-$M116*Assumptions!$C$30</f>
        <v>101.1425343</v>
      </c>
      <c r="S116" s="139">
        <f>($N116*(1-(Assumptions!$C$25+0.06*(1-$I116))-Assumptions!$C$27)-Assumptions!$C$28)-MAX(0,($N116*(1-(Assumptions!$C$25+0.06*(1-$I116))-Assumptions!$C$27)-Assumptions!$C$28)*Assumptions!$C$31)+Assumptions!$C$28-Assumptions!$C$29-$N116*Assumptions!$C$30</f>
        <v>108.7217171</v>
      </c>
      <c r="T116" s="139">
        <f>($O116*(1-(Assumptions!$C$25+0.06*(1-$J116))-Assumptions!$C$27)-Assumptions!$C$28)-MAX(0,($O116*(1-(Assumptions!$C$25+0.06*(1-$J116))-Assumptions!$C$27)-Assumptions!$C$28)*Assumptions!$C$31)+Assumptions!$C$28-Assumptions!$C$29-$O116*Assumptions!$C$30</f>
        <v>116.7807349</v>
      </c>
      <c r="U116" s="139">
        <f>($P116*(1-(Assumptions!$C$25+0.06*(1-$K116))-Assumptions!$C$27)-Assumptions!$C$28)-MAX(0,($P116*(1-(Assumptions!$C$25+0.06*(1-$K116))-Assumptions!$C$27)-Assumptions!$C$28)*Assumptions!$C$31)+Assumptions!$C$28-Assumptions!$C$29-$P116*Assumptions!$C$30</f>
        <v>49.08777109</v>
      </c>
      <c r="V116" s="143">
        <f>(($Q116/(1+$D116)^1+$R116/(1+$D116)^2+$S116/(1+$D116)^3+$T116/(1+$D116)^4+$U116/(1+$D116)^5+$U116*(1+$E116)/($D116-$E116)/(1+$D116)^5)-Assumptions!$C$37)/Assumptions!$C$40/Assumptions!$C$38</f>
        <v>0.3203028531</v>
      </c>
    </row>
    <row r="117" ht="12.0" customHeight="1">
      <c r="B117" s="139">
        <v>65.0</v>
      </c>
      <c r="C117" s="140">
        <f t="shared" si="6"/>
        <v>0.1673085053</v>
      </c>
      <c r="D117" s="141">
        <f t="shared" si="7"/>
        <v>0.09253110771</v>
      </c>
      <c r="E117" s="141">
        <f t="shared" si="8"/>
        <v>0.02852709727</v>
      </c>
      <c r="F117" s="140">
        <f t="shared" si="9"/>
        <v>0.09622728113</v>
      </c>
      <c r="G117" s="141">
        <f t="shared" si="10"/>
        <v>0.04316089306</v>
      </c>
      <c r="H117" s="142">
        <f t="shared" si="11"/>
        <v>0</v>
      </c>
      <c r="I117" s="142">
        <f t="shared" si="12"/>
        <v>1</v>
      </c>
      <c r="J117" s="142">
        <f t="shared" si="13"/>
        <v>1</v>
      </c>
      <c r="K117" s="142">
        <f t="shared" si="14"/>
        <v>1</v>
      </c>
      <c r="L117" s="139">
        <f>Assumptions!$C$6*Assumptions!$C$7*(1+$G117-0.05*(1-1))^1+Assumptions!$C$6*Assumptions!$C$8*(1+Assumptions!$C$11)^1+Assumptions!$C$16*1+Assumptions!$C$6*Assumptions!$C$9*(1+Assumptions!$C$12)^1</f>
        <v>740.9959566</v>
      </c>
      <c r="M117" s="139">
        <f>Assumptions!$C$6*Assumptions!$C$7*(1+$G117-0.05*(1-$H117))^2+Assumptions!$C$6*Assumptions!$C$8*(1+Assumptions!$C$11)^2+Assumptions!$C$16*$H117+Assumptions!$C$6*Assumptions!$C$9*(1+Assumptions!$C$12)^2</f>
        <v>668.4770171</v>
      </c>
      <c r="N117" s="139">
        <f>Assumptions!$C$6*Assumptions!$C$7*(1+$G117-0.05*(1-$I117))^3+Assumptions!$C$6*Assumptions!$C$8*(1+Assumptions!$C$11)^3+Assumptions!$C$16*$I117+Assumptions!$C$6*Assumptions!$C$9*(1+Assumptions!$C$12)^3</f>
        <v>785.2867193</v>
      </c>
      <c r="O117" s="139">
        <f>Assumptions!$C$6*Assumptions!$C$7*(1+$G117-0.05*(1-$J117))^4+Assumptions!$C$6*Assumptions!$C$8*(1+Assumptions!$C$11)^4+Assumptions!$C$16*$J117+Assumptions!$C$6*Assumptions!$C$9*(1+Assumptions!$C$12)^4</f>
        <v>808.6420469</v>
      </c>
      <c r="P117" s="139">
        <f>Assumptions!$C$6*Assumptions!$C$7*(1+$G117-0.05*(1-$K117))^5+Assumptions!$C$6*Assumptions!$C$8*(1+Assumptions!$C$11)^5+Assumptions!$C$16*$K117+Assumptions!$C$6*Assumptions!$C$9*(1+Assumptions!$C$12)^5</f>
        <v>832.8464373</v>
      </c>
      <c r="Q117" s="139">
        <f>($L117*(1-(Assumptions!$C$25+0.06*(1-1))-Assumptions!$C$27)-Assumptions!$C$28)-MAX(0,($L117*(1-(Assumptions!$C$25+0.06*(1-1))-Assumptions!$C$27)-Assumptions!$C$28)*Assumptions!$C$31)+Assumptions!$C$28-Assumptions!$C$29-$L117*Assumptions!$C$30</f>
        <v>91.81413067</v>
      </c>
      <c r="R117" s="139">
        <f>($M117*(1-(Assumptions!$C$25+0.06*(1-$H117))-Assumptions!$C$27)-Assumptions!$C$28)-MAX(0,($M117*(1-(Assumptions!$C$25+0.06*(1-$H117))-Assumptions!$C$27)-Assumptions!$C$28)*Assumptions!$C$31)+Assumptions!$C$28-Assumptions!$C$29-$M117*Assumptions!$C$30</f>
        <v>33.74971394</v>
      </c>
      <c r="S117" s="139">
        <f>($N117*(1-(Assumptions!$C$25+0.06*(1-$I117))-Assumptions!$C$27)-Assumptions!$C$28)-MAX(0,($N117*(1-(Assumptions!$C$25+0.06*(1-$I117))-Assumptions!$C$27)-Assumptions!$C$28)*Assumptions!$C$31)+Assumptions!$C$28-Assumptions!$C$29-$N117*Assumptions!$C$30</f>
        <v>101.3366447</v>
      </c>
      <c r="T117" s="139">
        <f>($O117*(1-(Assumptions!$C$25+0.06*(1-$J117))-Assumptions!$C$27)-Assumptions!$C$28)-MAX(0,($O117*(1-(Assumptions!$C$25+0.06*(1-$J117))-Assumptions!$C$27)-Assumptions!$C$28)*Assumptions!$C$31)+Assumptions!$C$28-Assumptions!$C$29-$O117*Assumptions!$C$30</f>
        <v>106.3580401</v>
      </c>
      <c r="U117" s="139">
        <f>($P117*(1-(Assumptions!$C$25+0.06*(1-$K117))-Assumptions!$C$27)-Assumptions!$C$28)-MAX(0,($P117*(1-(Assumptions!$C$25+0.06*(1-$K117))-Assumptions!$C$27)-Assumptions!$C$28)*Assumptions!$C$31)+Assumptions!$C$28-Assumptions!$C$29-$P117*Assumptions!$C$30</f>
        <v>111.561984</v>
      </c>
      <c r="V117" s="143">
        <f>(($Q117/(1+$D117)^1+$R117/(1+$D117)^2+$S117/(1+$D117)^3+$T117/(1+$D117)^4+$U117/(1+$D117)^5+$U117*(1+$E117)/($D117-$E117)/(1+$D117)^5)-Assumptions!$C$37)/Assumptions!$C$40/Assumptions!$C$38</f>
        <v>6.214973992</v>
      </c>
    </row>
    <row r="118" ht="12.0" customHeight="1">
      <c r="B118" s="139">
        <v>66.0</v>
      </c>
      <c r="C118" s="140">
        <f t="shared" si="6"/>
        <v>0.4133847627</v>
      </c>
      <c r="D118" s="141">
        <f t="shared" si="7"/>
        <v>0.09685913045</v>
      </c>
      <c r="E118" s="141">
        <f t="shared" si="8"/>
        <v>0.01158290381</v>
      </c>
      <c r="F118" s="140">
        <f t="shared" si="9"/>
        <v>0.03938893307</v>
      </c>
      <c r="G118" s="141">
        <f t="shared" si="10"/>
        <v>0.0384202185</v>
      </c>
      <c r="H118" s="142">
        <f t="shared" si="11"/>
        <v>1</v>
      </c>
      <c r="I118" s="142">
        <f t="shared" si="12"/>
        <v>1</v>
      </c>
      <c r="J118" s="142">
        <f t="shared" si="13"/>
        <v>1</v>
      </c>
      <c r="K118" s="142">
        <f t="shared" si="14"/>
        <v>1</v>
      </c>
      <c r="L118" s="139">
        <f>Assumptions!$C$6*Assumptions!$C$7*(1+$G118-0.05*(1-1))^1+Assumptions!$C$6*Assumptions!$C$8*(1+Assumptions!$C$11)^1+Assumptions!$C$16*1+Assumptions!$C$6*Assumptions!$C$9*(1+Assumptions!$C$12)^1</f>
        <v>739.4002455</v>
      </c>
      <c r="M118" s="139">
        <f>Assumptions!$C$6*Assumptions!$C$7*(1+$G118-0.05*(1-$H118))^2+Assumptions!$C$6*Assumptions!$C$8*(1+Assumptions!$C$11)^2+Assumptions!$C$16*$H118+Assumptions!$C$6*Assumptions!$C$9*(1+Assumptions!$C$12)^2</f>
        <v>759.4267108</v>
      </c>
      <c r="N118" s="139">
        <f>Assumptions!$C$6*Assumptions!$C$7*(1+$G118-0.05*(1-$I118))^3+Assumptions!$C$6*Assumptions!$C$8*(1+Assumptions!$C$11)^3+Assumptions!$C$16*$I118+Assumptions!$C$6*Assumptions!$C$9*(1+Assumptions!$C$12)^3</f>
        <v>780.1010724</v>
      </c>
      <c r="O118" s="139">
        <f>Assumptions!$C$6*Assumptions!$C$7*(1+$G118-0.05*(1-$J118))^4+Assumptions!$C$6*Assumptions!$C$8*(1+Assumptions!$C$11)^4+Assumptions!$C$16*$J118+Assumptions!$C$6*Assumptions!$C$9*(1+Assumptions!$C$12)^4</f>
        <v>801.4457922</v>
      </c>
      <c r="P118" s="139">
        <f>Assumptions!$C$6*Assumptions!$C$7*(1+$G118-0.05*(1-$K118))^5+Assumptions!$C$6*Assumptions!$C$8*(1+Assumptions!$C$11)^5+Assumptions!$C$16*$K118+Assumptions!$C$6*Assumptions!$C$9*(1+Assumptions!$C$12)^5</f>
        <v>823.4841463</v>
      </c>
      <c r="Q118" s="139">
        <f>($L118*(1-(Assumptions!$C$25+0.06*(1-1))-Assumptions!$C$27)-Assumptions!$C$28)-MAX(0,($L118*(1-(Assumptions!$C$25+0.06*(1-1))-Assumptions!$C$27)-Assumptions!$C$28)*Assumptions!$C$31)+Assumptions!$C$28-Assumptions!$C$29-$L118*Assumptions!$C$30</f>
        <v>91.47105279</v>
      </c>
      <c r="R118" s="139">
        <f>($M118*(1-(Assumptions!$C$25+0.06*(1-$H118))-Assumptions!$C$27)-Assumptions!$C$28)-MAX(0,($M118*(1-(Assumptions!$C$25+0.06*(1-$H118))-Assumptions!$C$27)-Assumptions!$C$28)*Assumptions!$C$31)+Assumptions!$C$28-Assumptions!$C$29-$M118*Assumptions!$C$30</f>
        <v>95.77674282</v>
      </c>
      <c r="S118" s="139">
        <f>($N118*(1-(Assumptions!$C$25+0.06*(1-$I118))-Assumptions!$C$27)-Assumptions!$C$28)-MAX(0,($N118*(1-(Assumptions!$C$25+0.06*(1-$I118))-Assumptions!$C$27)-Assumptions!$C$28)*Assumptions!$C$31)+Assumptions!$C$28-Assumptions!$C$29-$N118*Assumptions!$C$30</f>
        <v>100.2217306</v>
      </c>
      <c r="T118" s="139">
        <f>($O118*(1-(Assumptions!$C$25+0.06*(1-$J118))-Assumptions!$C$27)-Assumptions!$C$28)-MAX(0,($O118*(1-(Assumptions!$C$25+0.06*(1-$J118))-Assumptions!$C$27)-Assumptions!$C$28)*Assumptions!$C$31)+Assumptions!$C$28-Assumptions!$C$29-$O118*Assumptions!$C$30</f>
        <v>104.8108453</v>
      </c>
      <c r="U118" s="139">
        <f>($P118*(1-(Assumptions!$C$25+0.06*(1-$K118))-Assumptions!$C$27)-Assumptions!$C$28)-MAX(0,($P118*(1-(Assumptions!$C$25+0.06*(1-$K118))-Assumptions!$C$27)-Assumptions!$C$28)*Assumptions!$C$31)+Assumptions!$C$28-Assumptions!$C$29-$P118*Assumptions!$C$30</f>
        <v>109.5490915</v>
      </c>
      <c r="V118" s="143">
        <f>(($Q118/(1+$D118)^1+$R118/(1+$D118)^2+$S118/(1+$D118)^3+$T118/(1+$D118)^4+$U118/(1+$D118)^5+$U118*(1+$E118)/($D118-$E118)/(1+$D118)^5)-Assumptions!$C$37)/Assumptions!$C$40/Assumptions!$C$38</f>
        <v>3.957997862</v>
      </c>
    </row>
    <row r="119" ht="12.0" customHeight="1">
      <c r="B119" s="139">
        <v>67.0</v>
      </c>
      <c r="C119" s="140">
        <f t="shared" si="6"/>
        <v>0.4371643221</v>
      </c>
      <c r="D119" s="141">
        <f t="shared" si="7"/>
        <v>0.09723062142</v>
      </c>
      <c r="E119" s="141">
        <f t="shared" si="8"/>
        <v>0.01158518088</v>
      </c>
      <c r="F119" s="140">
        <f t="shared" si="9"/>
        <v>0.3197921111</v>
      </c>
      <c r="G119" s="141">
        <f t="shared" si="10"/>
        <v>0.0539922029</v>
      </c>
      <c r="H119" s="142">
        <f t="shared" si="11"/>
        <v>1</v>
      </c>
      <c r="I119" s="142">
        <f t="shared" si="12"/>
        <v>0</v>
      </c>
      <c r="J119" s="142">
        <f t="shared" si="13"/>
        <v>1</v>
      </c>
      <c r="K119" s="142">
        <f t="shared" si="14"/>
        <v>1</v>
      </c>
      <c r="L119" s="139">
        <f>Assumptions!$C$6*Assumptions!$C$7*(1+$G119-0.05*(1-1))^1+Assumptions!$C$6*Assumptions!$C$8*(1+Assumptions!$C$11)^1+Assumptions!$C$16*1+Assumptions!$C$6*Assumptions!$C$9*(1+Assumptions!$C$12)^1</f>
        <v>744.6417755</v>
      </c>
      <c r="M119" s="139">
        <f>Assumptions!$C$6*Assumptions!$C$7*(1+$G119-0.05*(1-$H119))^2+Assumptions!$C$6*Assumptions!$C$8*(1+Assumptions!$C$11)^2+Assumptions!$C$16*$H119+Assumptions!$C$6*Assumptions!$C$9*(1+Assumptions!$C$12)^2</f>
        <v>770.3941532</v>
      </c>
      <c r="N119" s="139">
        <f>Assumptions!$C$6*Assumptions!$C$7*(1+$G119-0.05*(1-$I119))^3+Assumptions!$C$6*Assumptions!$C$8*(1+Assumptions!$C$11)^3+Assumptions!$C$16*$I119+Assumptions!$C$6*Assumptions!$C$9*(1+Assumptions!$C$12)^3</f>
        <v>683.842109</v>
      </c>
      <c r="O119" s="139">
        <f>Assumptions!$C$6*Assumptions!$C$7*(1+$G119-0.05*(1-$J119))^4+Assumptions!$C$6*Assumptions!$C$8*(1+Assumptions!$C$11)^4+Assumptions!$C$16*$J119+Assumptions!$C$6*Assumptions!$C$9*(1+Assumptions!$C$12)^4</f>
        <v>825.4558938</v>
      </c>
      <c r="P119" s="139">
        <f>Assumptions!$C$6*Assumptions!$C$7*(1+$G119-0.05*(1-$K119))^5+Assumptions!$C$6*Assumptions!$C$8*(1+Assumptions!$C$11)^5+Assumptions!$C$16*$K119+Assumptions!$C$6*Assumptions!$C$9*(1+Assumptions!$C$12)^5</f>
        <v>854.8852821</v>
      </c>
      <c r="Q119" s="139">
        <f>($L119*(1-(Assumptions!$C$25+0.06*(1-1))-Assumptions!$C$27)-Assumptions!$C$28)-MAX(0,($L119*(1-(Assumptions!$C$25+0.06*(1-1))-Assumptions!$C$27)-Assumptions!$C$28)*Assumptions!$C$31)+Assumptions!$C$28-Assumptions!$C$29-$L119*Assumptions!$C$30</f>
        <v>92.59798173</v>
      </c>
      <c r="R119" s="139">
        <f>($M119*(1-(Assumptions!$C$25+0.06*(1-$H119))-Assumptions!$C$27)-Assumptions!$C$28)-MAX(0,($M119*(1-(Assumptions!$C$25+0.06*(1-$H119))-Assumptions!$C$27)-Assumptions!$C$28)*Assumptions!$C$31)+Assumptions!$C$28-Assumptions!$C$29-$M119*Assumptions!$C$30</f>
        <v>98.13474293</v>
      </c>
      <c r="S119" s="139">
        <f>($N119*(1-(Assumptions!$C$25+0.06*(1-$I119))-Assumptions!$C$27)-Assumptions!$C$28)-MAX(0,($N119*(1-(Assumptions!$C$25+0.06*(1-$I119))-Assumptions!$C$27)-Assumptions!$C$28)*Assumptions!$C$31)+Assumptions!$C$28-Assumptions!$C$29-$N119*Assumptions!$C$30</f>
        <v>37.28368506</v>
      </c>
      <c r="T119" s="139">
        <f>($O119*(1-(Assumptions!$C$25+0.06*(1-$J119))-Assumptions!$C$27)-Assumptions!$C$28)-MAX(0,($O119*(1-(Assumptions!$C$25+0.06*(1-$J119))-Assumptions!$C$27)-Assumptions!$C$28)*Assumptions!$C$31)+Assumptions!$C$28-Assumptions!$C$29-$O119*Assumptions!$C$30</f>
        <v>109.9730172</v>
      </c>
      <c r="U119" s="139">
        <f>($P119*(1-(Assumptions!$C$25+0.06*(1-$K119))-Assumptions!$C$27)-Assumptions!$C$28)-MAX(0,($P119*(1-(Assumptions!$C$25+0.06*(1-$K119))-Assumptions!$C$27)-Assumptions!$C$28)*Assumptions!$C$31)+Assumptions!$C$28-Assumptions!$C$29-$P119*Assumptions!$C$30</f>
        <v>116.3003356</v>
      </c>
      <c r="V119" s="143">
        <f>(($Q119/(1+$D119)^1+$R119/(1+$D119)^2+$S119/(1+$D119)^3+$T119/(1+$D119)^4+$U119/(1+$D119)^5+$U119*(1+$E119)/($D119-$E119)/(1+$D119)^5)-Assumptions!$C$37)/Assumptions!$C$40/Assumptions!$C$38</f>
        <v>4.02049685</v>
      </c>
    </row>
    <row r="120" ht="12.0" customHeight="1">
      <c r="B120" s="139">
        <v>68.0</v>
      </c>
      <c r="C120" s="140">
        <f t="shared" si="6"/>
        <v>0.332558133</v>
      </c>
      <c r="D120" s="141">
        <f t="shared" si="7"/>
        <v>0.09561777788</v>
      </c>
      <c r="E120" s="141">
        <f t="shared" si="8"/>
        <v>0.02128510658</v>
      </c>
      <c r="F120" s="140">
        <f t="shared" si="9"/>
        <v>0.8012351048</v>
      </c>
      <c r="G120" s="141">
        <f t="shared" si="10"/>
        <v>0.07108501093</v>
      </c>
      <c r="H120" s="142">
        <f t="shared" si="11"/>
        <v>1</v>
      </c>
      <c r="I120" s="142">
        <f t="shared" si="12"/>
        <v>1</v>
      </c>
      <c r="J120" s="142">
        <f t="shared" si="13"/>
        <v>1</v>
      </c>
      <c r="K120" s="142">
        <f t="shared" si="14"/>
        <v>1</v>
      </c>
      <c r="L120" s="139">
        <f>Assumptions!$C$6*Assumptions!$C$7*(1+$G120-0.05*(1-1))^1+Assumptions!$C$6*Assumptions!$C$8*(1+Assumptions!$C$11)^1+Assumptions!$C$16*1+Assumptions!$C$6*Assumptions!$C$9*(1+Assumptions!$C$12)^1</f>
        <v>750.3952147</v>
      </c>
      <c r="M120" s="139">
        <f>Assumptions!$C$6*Assumptions!$C$7*(1+$G120-0.05*(1-$H120))^2+Assumptions!$C$6*Assumptions!$C$8*(1+Assumptions!$C$11)^2+Assumptions!$C$16*$H120+Assumptions!$C$6*Assumptions!$C$9*(1+Assumptions!$C$12)^2</f>
        <v>782.6206557</v>
      </c>
      <c r="N120" s="139">
        <f>Assumptions!$C$6*Assumptions!$C$7*(1+$G120-0.05*(1-$I120))^3+Assumptions!$C$6*Assumptions!$C$8*(1+Assumptions!$C$11)^3+Assumptions!$C$16*$I120+Assumptions!$C$6*Assumptions!$C$9*(1+Assumptions!$C$12)^3</f>
        <v>816.7998163</v>
      </c>
      <c r="O120" s="139">
        <f>Assumptions!$C$6*Assumptions!$C$7*(1+$G120-0.05*(1-$J120))^4+Assumptions!$C$6*Assumptions!$C$8*(1+Assumptions!$C$11)^4+Assumptions!$C$16*$J120+Assumptions!$C$6*Assumptions!$C$9*(1+Assumptions!$C$12)^4</f>
        <v>853.0648362</v>
      </c>
      <c r="P120" s="139">
        <f>Assumptions!$C$6*Assumptions!$C$7*(1+$G120-0.05*(1-$K120))^5+Assumptions!$C$6*Assumptions!$C$8*(1+Assumptions!$C$11)^5+Assumptions!$C$16*$K120+Assumptions!$C$6*Assumptions!$C$9*(1+Assumptions!$C$12)^5</f>
        <v>891.5571133</v>
      </c>
      <c r="Q120" s="139">
        <f>($L120*(1-(Assumptions!$C$25+0.06*(1-1))-Assumptions!$C$27)-Assumptions!$C$28)-MAX(0,($L120*(1-(Assumptions!$C$25+0.06*(1-1))-Assumptions!$C$27)-Assumptions!$C$28)*Assumptions!$C$31)+Assumptions!$C$28-Assumptions!$C$29-$L120*Assumptions!$C$30</f>
        <v>93.83497116</v>
      </c>
      <c r="R120" s="139">
        <f>($M120*(1-(Assumptions!$C$25+0.06*(1-$H120))-Assumptions!$C$27)-Assumptions!$C$28)-MAX(0,($M120*(1-(Assumptions!$C$25+0.06*(1-$H120))-Assumptions!$C$27)-Assumptions!$C$28)*Assumptions!$C$31)+Assumptions!$C$28-Assumptions!$C$29-$M120*Assumptions!$C$30</f>
        <v>100.763441</v>
      </c>
      <c r="S120" s="139">
        <f>($N120*(1-(Assumptions!$C$25+0.06*(1-$I120))-Assumptions!$C$27)-Assumptions!$C$28)-MAX(0,($N120*(1-(Assumptions!$C$25+0.06*(1-$I120))-Assumptions!$C$27)-Assumptions!$C$28)*Assumptions!$C$31)+Assumptions!$C$28-Assumptions!$C$29-$N120*Assumptions!$C$30</f>
        <v>108.1119605</v>
      </c>
      <c r="T120" s="139">
        <f>($O120*(1-(Assumptions!$C$25+0.06*(1-$J120))-Assumptions!$C$27)-Assumptions!$C$28)-MAX(0,($O120*(1-(Assumptions!$C$25+0.06*(1-$J120))-Assumptions!$C$27)-Assumptions!$C$28)*Assumptions!$C$31)+Assumptions!$C$28-Assumptions!$C$29-$O120*Assumptions!$C$30</f>
        <v>115.9089398</v>
      </c>
      <c r="U120" s="139">
        <f>($P120*(1-(Assumptions!$C$25+0.06*(1-$K120))-Assumptions!$C$27)-Assumptions!$C$28)-MAX(0,($P120*(1-(Assumptions!$C$25+0.06*(1-$K120))-Assumptions!$C$27)-Assumptions!$C$28)*Assumptions!$C$31)+Assumptions!$C$28-Assumptions!$C$29-$P120*Assumptions!$C$30</f>
        <v>124.1847794</v>
      </c>
      <c r="V120" s="143">
        <f>(($Q120/(1+$D120)^1+$R120/(1+$D120)^2+$S120/(1+$D120)^3+$T120/(1+$D120)^4+$U120/(1+$D120)^5+$U120*(1+$E120)/($D120-$E120)/(1+$D120)^5)-Assumptions!$C$37)/Assumptions!$C$40/Assumptions!$C$38</f>
        <v>6.243061624</v>
      </c>
    </row>
    <row r="121" ht="12.0" customHeight="1">
      <c r="B121" s="139">
        <v>69.0</v>
      </c>
      <c r="C121" s="140">
        <f t="shared" si="6"/>
        <v>0.3668522518</v>
      </c>
      <c r="D121" s="141">
        <f t="shared" si="7"/>
        <v>0.09615181211</v>
      </c>
      <c r="E121" s="141">
        <f t="shared" si="8"/>
        <v>0.01822130855</v>
      </c>
      <c r="F121" s="140">
        <f t="shared" si="9"/>
        <v>0.7911475962</v>
      </c>
      <c r="G121" s="141">
        <f t="shared" si="10"/>
        <v>0.07061097406</v>
      </c>
      <c r="H121" s="142">
        <f t="shared" si="11"/>
        <v>1</v>
      </c>
      <c r="I121" s="142">
        <f t="shared" si="12"/>
        <v>1</v>
      </c>
      <c r="J121" s="142">
        <f t="shared" si="13"/>
        <v>0</v>
      </c>
      <c r="K121" s="142">
        <f t="shared" si="14"/>
        <v>1</v>
      </c>
      <c r="L121" s="139">
        <f>Assumptions!$C$6*Assumptions!$C$7*(1+$G121-0.05*(1-1))^1+Assumptions!$C$6*Assumptions!$C$8*(1+Assumptions!$C$11)^1+Assumptions!$C$16*1+Assumptions!$C$6*Assumptions!$C$9*(1+Assumptions!$C$12)^1</f>
        <v>750.2356539</v>
      </c>
      <c r="M121" s="139">
        <f>Assumptions!$C$6*Assumptions!$C$7*(1+$G121-0.05*(1-$H121))^2+Assumptions!$C$6*Assumptions!$C$8*(1+Assumptions!$C$11)^2+Assumptions!$C$16*$H121+Assumptions!$C$6*Assumptions!$C$9*(1+Assumptions!$C$12)^2</f>
        <v>782.2789249</v>
      </c>
      <c r="N121" s="139">
        <f>Assumptions!$C$6*Assumptions!$C$7*(1+$G121-0.05*(1-$I121))^3+Assumptions!$C$6*Assumptions!$C$8*(1+Assumptions!$C$11)^3+Assumptions!$C$16*$I121+Assumptions!$C$6*Assumptions!$C$9*(1+Assumptions!$C$12)^3</f>
        <v>816.2509038</v>
      </c>
      <c r="O121" s="139">
        <f>Assumptions!$C$6*Assumptions!$C$7*(1+$G121-0.05*(1-$J121))^4+Assumptions!$C$6*Assumptions!$C$8*(1+Assumptions!$C$11)^4+Assumptions!$C$16*$J121+Assumptions!$C$6*Assumptions!$C$9*(1+Assumptions!$C$12)^4</f>
        <v>715.2789764</v>
      </c>
      <c r="P121" s="139">
        <f>Assumptions!$C$6*Assumptions!$C$7*(1+$G121-0.05*(1-$K121))^5+Assumptions!$C$6*Assumptions!$C$8*(1+Assumptions!$C$11)^5+Assumptions!$C$16*$K121+Assumptions!$C$6*Assumptions!$C$9*(1+Assumptions!$C$12)^5</f>
        <v>890.5080358</v>
      </c>
      <c r="Q121" s="139">
        <f>($L121*(1-(Assumptions!$C$25+0.06*(1-1))-Assumptions!$C$27)-Assumptions!$C$28)-MAX(0,($L121*(1-(Assumptions!$C$25+0.06*(1-1))-Assumptions!$C$27)-Assumptions!$C$28)*Assumptions!$C$31)+Assumptions!$C$28-Assumptions!$C$29-$L121*Assumptions!$C$30</f>
        <v>93.80066558</v>
      </c>
      <c r="R121" s="139">
        <f>($M121*(1-(Assumptions!$C$25+0.06*(1-$H121))-Assumptions!$C$27)-Assumptions!$C$28)-MAX(0,($M121*(1-(Assumptions!$C$25+0.06*(1-$H121))-Assumptions!$C$27)-Assumptions!$C$28)*Assumptions!$C$31)+Assumptions!$C$28-Assumptions!$C$29-$M121*Assumptions!$C$30</f>
        <v>100.6899689</v>
      </c>
      <c r="S121" s="139">
        <f>($N121*(1-(Assumptions!$C$25+0.06*(1-$I121))-Assumptions!$C$27)-Assumptions!$C$28)-MAX(0,($N121*(1-(Assumptions!$C$25+0.06*(1-$I121))-Assumptions!$C$27)-Assumptions!$C$28)*Assumptions!$C$31)+Assumptions!$C$28-Assumptions!$C$29-$N121*Assumptions!$C$30</f>
        <v>107.9939443</v>
      </c>
      <c r="T121" s="139">
        <f>($O121*(1-(Assumptions!$C$25+0.06*(1-$J121))-Assumptions!$C$27)-Assumptions!$C$28)-MAX(0,($O121*(1-(Assumptions!$C$25+0.06*(1-$J121))-Assumptions!$C$27)-Assumptions!$C$28)*Assumptions!$C$31)+Assumptions!$C$28-Assumptions!$C$29-$O121*Assumptions!$C$30</f>
        <v>44.51416457</v>
      </c>
      <c r="U121" s="139">
        <f>($P121*(1-(Assumptions!$C$25+0.06*(1-$K121))-Assumptions!$C$27)-Assumptions!$C$28)-MAX(0,($P121*(1-(Assumptions!$C$25+0.06*(1-$K121))-Assumptions!$C$27)-Assumptions!$C$28)*Assumptions!$C$31)+Assumptions!$C$28-Assumptions!$C$29-$P121*Assumptions!$C$30</f>
        <v>123.9592277</v>
      </c>
      <c r="V121" s="143">
        <f>(($Q121/(1+$D121)^1+$R121/(1+$D121)^2+$S121/(1+$D121)^3+$T121/(1+$D121)^4+$U121/(1+$D121)^5+$U121*(1+$E121)/($D121-$E121)/(1+$D121)^5)-Assumptions!$C$37)/Assumptions!$C$40/Assumptions!$C$38</f>
        <v>5.402409425</v>
      </c>
    </row>
    <row r="122" ht="12.0" customHeight="1">
      <c r="B122" s="139">
        <v>70.0</v>
      </c>
      <c r="C122" s="140">
        <f t="shared" si="6"/>
        <v>0.5816047653</v>
      </c>
      <c r="D122" s="141">
        <f t="shared" si="7"/>
        <v>0.09967943452</v>
      </c>
      <c r="E122" s="141">
        <f t="shared" si="8"/>
        <v>0.02603312551</v>
      </c>
      <c r="F122" s="140">
        <f t="shared" si="9"/>
        <v>0.2439143174</v>
      </c>
      <c r="G122" s="141">
        <f t="shared" si="10"/>
        <v>0.05095341908</v>
      </c>
      <c r="H122" s="142">
        <f t="shared" si="11"/>
        <v>1</v>
      </c>
      <c r="I122" s="142">
        <f t="shared" si="12"/>
        <v>1</v>
      </c>
      <c r="J122" s="142">
        <f t="shared" si="13"/>
        <v>0</v>
      </c>
      <c r="K122" s="142">
        <f t="shared" si="14"/>
        <v>0</v>
      </c>
      <c r="L122" s="139">
        <f>Assumptions!$C$6*Assumptions!$C$7*(1+$G122-0.05*(1-1))^1+Assumptions!$C$6*Assumptions!$C$8*(1+Assumptions!$C$11)^1+Assumptions!$C$16*1+Assumptions!$C$6*Assumptions!$C$9*(1+Assumptions!$C$12)^1</f>
        <v>743.6189209</v>
      </c>
      <c r="M122" s="139">
        <f>Assumptions!$C$6*Assumptions!$C$7*(1+$G122-0.05*(1-$H122))^2+Assumptions!$C$6*Assumptions!$C$8*(1+Assumptions!$C$11)^2+Assumptions!$C$16*$H122+Assumptions!$C$6*Assumptions!$C$9*(1+Assumptions!$C$12)^2</f>
        <v>768.2410998</v>
      </c>
      <c r="N122" s="139">
        <f>Assumptions!$C$6*Assumptions!$C$7*(1+$G122-0.05*(1-$I122))^3+Assumptions!$C$6*Assumptions!$C$8*(1+Assumptions!$C$11)^3+Assumptions!$C$16*$I122+Assumptions!$C$6*Assumptions!$C$9*(1+Assumptions!$C$12)^3</f>
        <v>793.9136521</v>
      </c>
      <c r="O122" s="139">
        <f>Assumptions!$C$6*Assumptions!$C$7*(1+$G122-0.05*(1-$J122))^4+Assumptions!$C$6*Assumptions!$C$8*(1+Assumptions!$C$11)^4+Assumptions!$C$16*$J122+Assumptions!$C$6*Assumptions!$C$9*(1+Assumptions!$C$12)^4</f>
        <v>687.944081</v>
      </c>
      <c r="P122" s="139">
        <f>Assumptions!$C$6*Assumptions!$C$7*(1+$G122-0.05*(1-$K122))^5+Assumptions!$C$6*Assumptions!$C$8*(1+Assumptions!$C$11)^5+Assumptions!$C$16*$K122+Assumptions!$C$6*Assumptions!$C$9*(1+Assumptions!$C$12)^5</f>
        <v>695.2673987</v>
      </c>
      <c r="Q122" s="139">
        <f>($L122*(1-(Assumptions!$C$25+0.06*(1-1))-Assumptions!$C$27)-Assumptions!$C$28)-MAX(0,($L122*(1-(Assumptions!$C$25+0.06*(1-1))-Assumptions!$C$27)-Assumptions!$C$28)*Assumptions!$C$31)+Assumptions!$C$28-Assumptions!$C$29-$L122*Assumptions!$C$30</f>
        <v>92.37806799</v>
      </c>
      <c r="R122" s="139">
        <f>($M122*(1-(Assumptions!$C$25+0.06*(1-$H122))-Assumptions!$C$27)-Assumptions!$C$28)-MAX(0,($M122*(1-(Assumptions!$C$25+0.06*(1-$H122))-Assumptions!$C$27)-Assumptions!$C$28)*Assumptions!$C$31)+Assumptions!$C$28-Assumptions!$C$29-$M122*Assumptions!$C$30</f>
        <v>97.67183645</v>
      </c>
      <c r="S122" s="139">
        <f>($N122*(1-(Assumptions!$C$25+0.06*(1-$I122))-Assumptions!$C$27)-Assumptions!$C$28)-MAX(0,($N122*(1-(Assumptions!$C$25+0.06*(1-$I122))-Assumptions!$C$27)-Assumptions!$C$28)*Assumptions!$C$31)+Assumptions!$C$28-Assumptions!$C$29-$N122*Assumptions!$C$30</f>
        <v>103.1914352</v>
      </c>
      <c r="T122" s="139">
        <f>($O122*(1-(Assumptions!$C$25+0.06*(1-$J122))-Assumptions!$C$27)-Assumptions!$C$28)-MAX(0,($O122*(1-(Assumptions!$C$25+0.06*(1-$J122))-Assumptions!$C$27)-Assumptions!$C$28)*Assumptions!$C$31)+Assumptions!$C$28-Assumptions!$C$29-$O122*Assumptions!$C$30</f>
        <v>38.22713863</v>
      </c>
      <c r="U122" s="139">
        <f>($P122*(1-(Assumptions!$C$25+0.06*(1-$K122))-Assumptions!$C$27)-Assumptions!$C$28)-MAX(0,($P122*(1-(Assumptions!$C$25+0.06*(1-$K122))-Assumptions!$C$27)-Assumptions!$C$28)*Assumptions!$C$31)+Assumptions!$C$28-Assumptions!$C$29-$P122*Assumptions!$C$30</f>
        <v>39.9115017</v>
      </c>
      <c r="V122" s="143">
        <f>(($Q122/(1+$D122)^1+$R122/(1+$D122)^2+$S122/(1+$D122)^3+$T122/(1+$D122)^4+$U122/(1+$D122)^5+$U122*(1+$E122)/($D122-$E122)/(1+$D122)^5)-Assumptions!$C$37)/Assumptions!$C$40/Assumptions!$C$38</f>
        <v>-0.4105672713</v>
      </c>
    </row>
    <row r="123" ht="12.0" customHeight="1">
      <c r="B123" s="139">
        <v>71.0</v>
      </c>
      <c r="C123" s="140">
        <f t="shared" si="6"/>
        <v>0.6110211033</v>
      </c>
      <c r="D123" s="141">
        <f t="shared" si="7"/>
        <v>0.1002278248</v>
      </c>
      <c r="E123" s="141">
        <f t="shared" si="8"/>
        <v>0.02560445671</v>
      </c>
      <c r="F123" s="140">
        <f t="shared" si="9"/>
        <v>0.06971483513</v>
      </c>
      <c r="G123" s="141">
        <f t="shared" si="10"/>
        <v>0.04120208477</v>
      </c>
      <c r="H123" s="142">
        <f t="shared" si="11"/>
        <v>1</v>
      </c>
      <c r="I123" s="142">
        <f t="shared" si="12"/>
        <v>0</v>
      </c>
      <c r="J123" s="142">
        <f t="shared" si="13"/>
        <v>0</v>
      </c>
      <c r="K123" s="142">
        <f t="shared" si="14"/>
        <v>1</v>
      </c>
      <c r="L123" s="139">
        <f>Assumptions!$C$6*Assumptions!$C$7*(1+$G123-0.05*(1-1))^1+Assumptions!$C$6*Assumptions!$C$8*(1+Assumptions!$C$11)^1+Assumptions!$C$16*1+Assumptions!$C$6*Assumptions!$C$9*(1+Assumptions!$C$12)^1</f>
        <v>740.3366217</v>
      </c>
      <c r="M123" s="139">
        <f>Assumptions!$C$6*Assumptions!$C$7*(1+$G123-0.05*(1-$H123))^2+Assumptions!$C$6*Assumptions!$C$8*(1+Assumptions!$C$11)^2+Assumptions!$C$16*$H123+Assumptions!$C$6*Assumptions!$C$9*(1+Assumptions!$C$12)^2</f>
        <v>761.3740196</v>
      </c>
      <c r="N123" s="139">
        <f>Assumptions!$C$6*Assumptions!$C$7*(1+$G123-0.05*(1-$I123))^3+Assumptions!$C$6*Assumptions!$C$8*(1+Assumptions!$C$11)^3+Assumptions!$C$16*$I123+Assumptions!$C$6*Assumptions!$C$9*(1+Assumptions!$C$12)^3</f>
        <v>670.988465</v>
      </c>
      <c r="O123" s="139">
        <f>Assumptions!$C$6*Assumptions!$C$7*(1+$G123-0.05*(1-$J123))^4+Assumptions!$C$6*Assumptions!$C$8*(1+Assumptions!$C$11)^4+Assumptions!$C$16*$J123+Assumptions!$C$6*Assumptions!$C$9*(1+Assumptions!$C$12)^4</f>
        <v>674.9684563</v>
      </c>
      <c r="P123" s="139">
        <f>Assumptions!$C$6*Assumptions!$C$7*(1+$G123-0.05*(1-$K123))^5+Assumptions!$C$6*Assumptions!$C$8*(1+Assumptions!$C$11)^5+Assumptions!$C$16*$K123+Assumptions!$C$6*Assumptions!$C$9*(1+Assumptions!$C$12)^5</f>
        <v>828.9573272</v>
      </c>
      <c r="Q123" s="139">
        <f>($L123*(1-(Assumptions!$C$25+0.06*(1-1))-Assumptions!$C$27)-Assumptions!$C$28)-MAX(0,($L123*(1-(Assumptions!$C$25+0.06*(1-1))-Assumptions!$C$27)-Assumptions!$C$28)*Assumptions!$C$31)+Assumptions!$C$28-Assumptions!$C$29-$L123*Assumptions!$C$30</f>
        <v>91.67237367</v>
      </c>
      <c r="R123" s="139">
        <f>($M123*(1-(Assumptions!$C$25+0.06*(1-$H123))-Assumptions!$C$27)-Assumptions!$C$28)-MAX(0,($M123*(1-(Assumptions!$C$25+0.06*(1-$H123))-Assumptions!$C$27)-Assumptions!$C$28)*Assumptions!$C$31)+Assumptions!$C$28-Assumptions!$C$29-$M123*Assumptions!$C$30</f>
        <v>96.19541421</v>
      </c>
      <c r="S123" s="139">
        <f>($N123*(1-(Assumptions!$C$25+0.06*(1-$I123))-Assumptions!$C$27)-Assumptions!$C$28)-MAX(0,($N123*(1-(Assumptions!$C$25+0.06*(1-$I123))-Assumptions!$C$27)-Assumptions!$C$28)*Assumptions!$C$31)+Assumptions!$C$28-Assumptions!$C$29-$N123*Assumptions!$C$30</f>
        <v>34.32734696</v>
      </c>
      <c r="T123" s="139">
        <f>($O123*(1-(Assumptions!$C$25+0.06*(1-$J123))-Assumptions!$C$27)-Assumptions!$C$28)-MAX(0,($O123*(1-(Assumptions!$C$25+0.06*(1-$J123))-Assumptions!$C$27)-Assumptions!$C$28)*Assumptions!$C$31)+Assumptions!$C$28-Assumptions!$C$29-$O123*Assumptions!$C$30</f>
        <v>35.24274496</v>
      </c>
      <c r="U123" s="139">
        <f>($P123*(1-(Assumptions!$C$25+0.06*(1-$K123))-Assumptions!$C$27)-Assumptions!$C$28)-MAX(0,($P123*(1-(Assumptions!$C$25+0.06*(1-$K123))-Assumptions!$C$27)-Assumptions!$C$28)*Assumptions!$C$31)+Assumptions!$C$28-Assumptions!$C$29-$P123*Assumptions!$C$30</f>
        <v>110.7258254</v>
      </c>
      <c r="V123" s="143">
        <f>(($Q123/(1+$D123)^1+$R123/(1+$D123)^2+$S123/(1+$D123)^3+$T123/(1+$D123)^4+$U123/(1+$D123)^5+$U123*(1+$E123)/($D123-$E123)/(1+$D123)^5)-Assumptions!$C$37)/Assumptions!$C$40/Assumptions!$C$38</f>
        <v>4.16363233</v>
      </c>
    </row>
    <row r="124" ht="12.0" customHeight="1">
      <c r="B124" s="139">
        <v>72.0</v>
      </c>
      <c r="C124" s="140">
        <f t="shared" si="6"/>
        <v>0.7026160204</v>
      </c>
      <c r="D124" s="141">
        <f t="shared" si="7"/>
        <v>0.1020836378</v>
      </c>
      <c r="E124" s="141">
        <f t="shared" si="8"/>
        <v>0.0215416547</v>
      </c>
      <c r="F124" s="140">
        <f t="shared" si="9"/>
        <v>0.7046045279</v>
      </c>
      <c r="G124" s="141">
        <f t="shared" si="10"/>
        <v>0.0669411221</v>
      </c>
      <c r="H124" s="142">
        <f t="shared" si="11"/>
        <v>0</v>
      </c>
      <c r="I124" s="142">
        <f t="shared" si="12"/>
        <v>0</v>
      </c>
      <c r="J124" s="142">
        <f t="shared" si="13"/>
        <v>0</v>
      </c>
      <c r="K124" s="142">
        <f t="shared" si="14"/>
        <v>0</v>
      </c>
      <c r="L124" s="139">
        <f>Assumptions!$C$6*Assumptions!$C$7*(1+$G124-0.05*(1-1))^1+Assumptions!$C$6*Assumptions!$C$8*(1+Assumptions!$C$11)^1+Assumptions!$C$16*1+Assumptions!$C$6*Assumptions!$C$9*(1+Assumptions!$C$12)^1</f>
        <v>749.0003817</v>
      </c>
      <c r="M124" s="139">
        <f>Assumptions!$C$6*Assumptions!$C$7*(1+$G124-0.05*(1-$H124))^2+Assumptions!$C$6*Assumptions!$C$8*(1+Assumptions!$C$11)^2+Assumptions!$C$16*$H124+Assumptions!$C$6*Assumptions!$C$9*(1+Assumptions!$C$12)^2</f>
        <v>684.5667281</v>
      </c>
      <c r="N124" s="139">
        <f>Assumptions!$C$6*Assumptions!$C$7*(1+$G124-0.05*(1-$I124))^3+Assumptions!$C$6*Assumptions!$C$8*(1+Assumptions!$C$11)^3+Assumptions!$C$16*$I124+Assumptions!$C$6*Assumptions!$C$9*(1+Assumptions!$C$12)^3</f>
        <v>697.1932631</v>
      </c>
      <c r="O124" s="139">
        <f>Assumptions!$C$6*Assumptions!$C$7*(1+$G124-0.05*(1-$J124))^4+Assumptions!$C$6*Assumptions!$C$8*(1+Assumptions!$C$11)^4+Assumptions!$C$16*$J124+Assumptions!$C$6*Assumptions!$C$9*(1+Assumptions!$C$12)^4</f>
        <v>710.0542899</v>
      </c>
      <c r="P124" s="139">
        <f>Assumptions!$C$6*Assumptions!$C$7*(1+$G124-0.05*(1-$K124))^5+Assumptions!$C$6*Assumptions!$C$8*(1+Assumptions!$C$11)^5+Assumptions!$C$16*$K124+Assumptions!$C$6*Assumptions!$C$9*(1+Assumptions!$C$12)^5</f>
        <v>723.1541927</v>
      </c>
      <c r="Q124" s="139">
        <f>($L124*(1-(Assumptions!$C$25+0.06*(1-1))-Assumptions!$C$27)-Assumptions!$C$28)-MAX(0,($L124*(1-(Assumptions!$C$25+0.06*(1-1))-Assumptions!$C$27)-Assumptions!$C$28)*Assumptions!$C$31)+Assumptions!$C$28-Assumptions!$C$29-$L124*Assumptions!$C$30</f>
        <v>93.53508207</v>
      </c>
      <c r="R124" s="139">
        <f>($M124*(1-(Assumptions!$C$25+0.06*(1-$H124))-Assumptions!$C$27)-Assumptions!$C$28)-MAX(0,($M124*(1-(Assumptions!$C$25+0.06*(1-$H124))-Assumptions!$C$27)-Assumptions!$C$28)*Assumptions!$C$31)+Assumptions!$C$28-Assumptions!$C$29-$M124*Assumptions!$C$30</f>
        <v>37.45034747</v>
      </c>
      <c r="S124" s="139">
        <f>($N124*(1-(Assumptions!$C$25+0.06*(1-$I124))-Assumptions!$C$27)-Assumptions!$C$28)-MAX(0,($N124*(1-(Assumptions!$C$25+0.06*(1-$I124))-Assumptions!$C$27)-Assumptions!$C$28)*Assumptions!$C$31)+Assumptions!$C$28-Assumptions!$C$29-$N124*Assumptions!$C$30</f>
        <v>40.35445052</v>
      </c>
      <c r="T124" s="139">
        <f>($O124*(1-(Assumptions!$C$25+0.06*(1-$J124))-Assumptions!$C$27)-Assumptions!$C$28)-MAX(0,($O124*(1-(Assumptions!$C$25+0.06*(1-$J124))-Assumptions!$C$27)-Assumptions!$C$28)*Assumptions!$C$31)+Assumptions!$C$28-Assumptions!$C$29-$O124*Assumptions!$C$30</f>
        <v>43.31248668</v>
      </c>
      <c r="U124" s="139">
        <f>($P124*(1-(Assumptions!$C$25+0.06*(1-$K124))-Assumptions!$C$27)-Assumptions!$C$28)-MAX(0,($P124*(1-(Assumptions!$C$25+0.06*(1-$K124))-Assumptions!$C$27)-Assumptions!$C$28)*Assumptions!$C$31)+Assumptions!$C$28-Assumptions!$C$29-$P124*Assumptions!$C$30</f>
        <v>46.32546433</v>
      </c>
      <c r="V124" s="143">
        <f>(($Q124/(1+$D124)^1+$R124/(1+$D124)^2+$S124/(1+$D124)^3+$T124/(1+$D124)^4+$U124/(1+$D124)^5+$U124*(1+$E124)/($D124-$E124)/(1+$D124)^5)-Assumptions!$C$37)/Assumptions!$C$40/Assumptions!$C$38</f>
        <v>-0.9879856181</v>
      </c>
    </row>
    <row r="125" ht="12.0" customHeight="1">
      <c r="B125" s="139">
        <v>73.0</v>
      </c>
      <c r="C125" s="140">
        <f t="shared" si="6"/>
        <v>0.9513433517</v>
      </c>
      <c r="D125" s="141">
        <f t="shared" si="7"/>
        <v>0.1097754063</v>
      </c>
      <c r="E125" s="141">
        <f t="shared" si="8"/>
        <v>0.0156307725</v>
      </c>
      <c r="F125" s="140">
        <f t="shared" si="9"/>
        <v>0.9437357053</v>
      </c>
      <c r="G125" s="141">
        <f t="shared" si="10"/>
        <v>0.07993641562</v>
      </c>
      <c r="H125" s="142">
        <f t="shared" si="11"/>
        <v>0</v>
      </c>
      <c r="I125" s="142">
        <f t="shared" si="12"/>
        <v>0</v>
      </c>
      <c r="J125" s="142">
        <f t="shared" si="13"/>
        <v>1</v>
      </c>
      <c r="K125" s="142">
        <f t="shared" si="14"/>
        <v>1</v>
      </c>
      <c r="L125" s="139">
        <f>Assumptions!$C$6*Assumptions!$C$7*(1+$G125-0.05*(1-1))^1+Assumptions!$C$6*Assumptions!$C$8*(1+Assumptions!$C$11)^1+Assumptions!$C$16*1+Assumptions!$C$6*Assumptions!$C$9*(1+Assumptions!$C$12)^1</f>
        <v>753.3745975</v>
      </c>
      <c r="M125" s="139">
        <f>Assumptions!$C$6*Assumptions!$C$7*(1+$G125-0.05*(1-$H125))^2+Assumptions!$C$6*Assumptions!$C$8*(1+Assumptions!$C$11)^2+Assumptions!$C$16*$H125+Assumptions!$C$6*Assumptions!$C$9*(1+Assumptions!$C$12)^2</f>
        <v>693.5202122</v>
      </c>
      <c r="N125" s="139">
        <f>Assumptions!$C$6*Assumptions!$C$7*(1+$G125-0.05*(1-$I125))^3+Assumptions!$C$6*Assumptions!$C$8*(1+Assumptions!$C$11)^3+Assumptions!$C$16*$I125+Assumptions!$C$6*Assumptions!$C$9*(1+Assumptions!$C$12)^3</f>
        <v>710.9384619</v>
      </c>
      <c r="O125" s="139">
        <f>Assumptions!$C$6*Assumptions!$C$7*(1+$G125-0.05*(1-$J125))^4+Assumptions!$C$6*Assumptions!$C$8*(1+Assumptions!$C$11)^4+Assumptions!$C$16*$J125+Assumptions!$C$6*Assumptions!$C$9*(1+Assumptions!$C$12)^4</f>
        <v>867.8913101</v>
      </c>
      <c r="P125" s="139">
        <f>Assumptions!$C$6*Assumptions!$C$7*(1+$G125-0.05*(1-$K125))^5+Assumptions!$C$6*Assumptions!$C$8*(1+Assumptions!$C$11)^5+Assumptions!$C$16*$K125+Assumptions!$C$6*Assumptions!$C$9*(1+Assumptions!$C$12)^5</f>
        <v>911.4899902</v>
      </c>
      <c r="Q125" s="139">
        <f>($L125*(1-(Assumptions!$C$25+0.06*(1-1))-Assumptions!$C$27)-Assumptions!$C$28)-MAX(0,($L125*(1-(Assumptions!$C$25+0.06*(1-1))-Assumptions!$C$27)-Assumptions!$C$28)*Assumptions!$C$31)+Assumptions!$C$28-Assumptions!$C$29-$L125*Assumptions!$C$30</f>
        <v>94.47553846</v>
      </c>
      <c r="R125" s="139">
        <f>($M125*(1-(Assumptions!$C$25+0.06*(1-$H125))-Assumptions!$C$27)-Assumptions!$C$28)-MAX(0,($M125*(1-(Assumptions!$C$25+0.06*(1-$H125))-Assumptions!$C$27)-Assumptions!$C$28)*Assumptions!$C$31)+Assumptions!$C$28-Assumptions!$C$29-$M125*Assumptions!$C$30</f>
        <v>39.50964881</v>
      </c>
      <c r="S125" s="139">
        <f>($N125*(1-(Assumptions!$C$25+0.06*(1-$I125))-Assumptions!$C$27)-Assumptions!$C$28)-MAX(0,($N125*(1-(Assumptions!$C$25+0.06*(1-$I125))-Assumptions!$C$27)-Assumptions!$C$28)*Assumptions!$C$31)+Assumptions!$C$28-Assumptions!$C$29-$N125*Assumptions!$C$30</f>
        <v>43.51584623</v>
      </c>
      <c r="T125" s="139">
        <f>($O125*(1-(Assumptions!$C$25+0.06*(1-$J125))-Assumptions!$C$27)-Assumptions!$C$28)-MAX(0,($O125*(1-(Assumptions!$C$25+0.06*(1-$J125))-Assumptions!$C$27)-Assumptions!$C$28)*Assumptions!$C$31)+Assumptions!$C$28-Assumptions!$C$29-$O125*Assumptions!$C$30</f>
        <v>119.0966317</v>
      </c>
      <c r="U125" s="139">
        <f>($P125*(1-(Assumptions!$C$25+0.06*(1-$K125))-Assumptions!$C$27)-Assumptions!$C$28)-MAX(0,($P125*(1-(Assumptions!$C$25+0.06*(1-$K125))-Assumptions!$C$27)-Assumptions!$C$28)*Assumptions!$C$31)+Assumptions!$C$28-Assumptions!$C$29-$P125*Assumptions!$C$30</f>
        <v>128.4703479</v>
      </c>
      <c r="V125" s="143">
        <f>(($Q125/(1+$D125)^1+$R125/(1+$D125)^2+$S125/(1+$D125)^3+$T125/(1+$D125)^4+$U125/(1+$D125)^5+$U125*(1+$E125)/($D125-$E125)/(1+$D125)^5)-Assumptions!$C$37)/Assumptions!$C$40/Assumptions!$C$38</f>
        <v>3.398629381</v>
      </c>
    </row>
    <row r="126" ht="12.0" customHeight="1">
      <c r="B126" s="139">
        <v>74.0</v>
      </c>
      <c r="C126" s="140">
        <f t="shared" si="6"/>
        <v>0.6327900179</v>
      </c>
      <c r="D126" s="141">
        <f t="shared" si="7"/>
        <v>0.1006471327</v>
      </c>
      <c r="E126" s="141">
        <f t="shared" si="8"/>
        <v>0.01882169676</v>
      </c>
      <c r="F126" s="140">
        <f t="shared" si="9"/>
        <v>0.6896644284</v>
      </c>
      <c r="G126" s="141">
        <f t="shared" si="10"/>
        <v>0.06636519455</v>
      </c>
      <c r="H126" s="142">
        <f t="shared" si="11"/>
        <v>0</v>
      </c>
      <c r="I126" s="142">
        <f t="shared" si="12"/>
        <v>0</v>
      </c>
      <c r="J126" s="142">
        <f t="shared" si="13"/>
        <v>0</v>
      </c>
      <c r="K126" s="142">
        <f t="shared" si="14"/>
        <v>1</v>
      </c>
      <c r="L126" s="139">
        <f>Assumptions!$C$6*Assumptions!$C$7*(1+$G126-0.05*(1-1))^1+Assumptions!$C$6*Assumptions!$C$8*(1+Assumptions!$C$11)^1+Assumptions!$C$16*1+Assumptions!$C$6*Assumptions!$C$9*(1+Assumptions!$C$12)^1</f>
        <v>748.8065245</v>
      </c>
      <c r="M126" s="139">
        <f>Assumptions!$C$6*Assumptions!$C$7*(1+$G126-0.05*(1-$H126))^2+Assumptions!$C$6*Assumptions!$C$8*(1+Assumptions!$C$11)^2+Assumptions!$C$16*$H126+Assumptions!$C$6*Assumptions!$C$9*(1+Assumptions!$C$12)^2</f>
        <v>684.172557</v>
      </c>
      <c r="N126" s="139">
        <f>Assumptions!$C$6*Assumptions!$C$7*(1+$G126-0.05*(1-$I126))^3+Assumptions!$C$6*Assumptions!$C$8*(1+Assumptions!$C$11)^3+Assumptions!$C$16*$I126+Assumptions!$C$6*Assumptions!$C$9*(1+Assumptions!$C$12)^3</f>
        <v>696.5921602</v>
      </c>
      <c r="O126" s="139">
        <f>Assumptions!$C$6*Assumptions!$C$7*(1+$G126-0.05*(1-$J126))^4+Assumptions!$C$6*Assumptions!$C$8*(1+Assumptions!$C$11)^4+Assumptions!$C$16*$J126+Assumptions!$C$6*Assumptions!$C$9*(1+Assumptions!$C$12)^4</f>
        <v>709.2394722</v>
      </c>
      <c r="P126" s="139">
        <f>Assumptions!$C$6*Assumptions!$C$7*(1+$G126-0.05*(1-$K126))^5+Assumptions!$C$6*Assumptions!$C$8*(1+Assumptions!$C$11)^5+Assumptions!$C$16*$K126+Assumptions!$C$6*Assumptions!$C$9*(1+Assumptions!$C$12)^5</f>
        <v>881.1943043</v>
      </c>
      <c r="Q126" s="139">
        <f>($L126*(1-(Assumptions!$C$25+0.06*(1-1))-Assumptions!$C$27)-Assumptions!$C$28)-MAX(0,($L126*(1-(Assumptions!$C$25+0.06*(1-1))-Assumptions!$C$27)-Assumptions!$C$28)*Assumptions!$C$31)+Assumptions!$C$28-Assumptions!$C$29-$L126*Assumptions!$C$30</f>
        <v>93.49340276</v>
      </c>
      <c r="R126" s="139">
        <f>($M126*(1-(Assumptions!$C$25+0.06*(1-$H126))-Assumptions!$C$27)-Assumptions!$C$28)-MAX(0,($M126*(1-(Assumptions!$C$25+0.06*(1-$H126))-Assumptions!$C$27)-Assumptions!$C$28)*Assumptions!$C$31)+Assumptions!$C$28-Assumptions!$C$29-$M126*Assumptions!$C$30</f>
        <v>37.35968812</v>
      </c>
      <c r="S126" s="139">
        <f>($N126*(1-(Assumptions!$C$25+0.06*(1-$I126))-Assumptions!$C$27)-Assumptions!$C$28)-MAX(0,($N126*(1-(Assumptions!$C$25+0.06*(1-$I126))-Assumptions!$C$27)-Assumptions!$C$28)*Assumptions!$C$31)+Assumptions!$C$28-Assumptions!$C$29-$N126*Assumptions!$C$30</f>
        <v>40.21619684</v>
      </c>
      <c r="T126" s="139">
        <f>($O126*(1-(Assumptions!$C$25+0.06*(1-$J126))-Assumptions!$C$27)-Assumptions!$C$28)-MAX(0,($O126*(1-(Assumptions!$C$25+0.06*(1-$J126))-Assumptions!$C$27)-Assumptions!$C$28)*Assumptions!$C$31)+Assumptions!$C$28-Assumptions!$C$29-$O126*Assumptions!$C$30</f>
        <v>43.12507861</v>
      </c>
      <c r="U126" s="139">
        <f>($P126*(1-(Assumptions!$C$25+0.06*(1-$K126))-Assumptions!$C$27)-Assumptions!$C$28)-MAX(0,($P126*(1-(Assumptions!$C$25+0.06*(1-$K126))-Assumptions!$C$27)-Assumptions!$C$28)*Assumptions!$C$31)+Assumptions!$C$28-Assumptions!$C$29-$P126*Assumptions!$C$30</f>
        <v>121.9567754</v>
      </c>
      <c r="V126" s="143">
        <f>(($Q126/(1+$D126)^1+$R126/(1+$D126)^2+$S126/(1+$D126)^3+$T126/(1+$D126)^4+$U126/(1+$D126)^5+$U126*(1+$E126)/($D126-$E126)/(1+$D126)^5)-Assumptions!$C$37)/Assumptions!$C$40/Assumptions!$C$38</f>
        <v>3.896026852</v>
      </c>
    </row>
    <row r="127" ht="12.0" customHeight="1">
      <c r="B127" s="139">
        <v>75.0</v>
      </c>
      <c r="C127" s="140">
        <f t="shared" si="6"/>
        <v>0.1853508083</v>
      </c>
      <c r="D127" s="141">
        <f t="shared" si="7"/>
        <v>0.09292678523</v>
      </c>
      <c r="E127" s="141">
        <f t="shared" si="8"/>
        <v>0.01957182241</v>
      </c>
      <c r="F127" s="140">
        <f t="shared" si="9"/>
        <v>0.9834084023</v>
      </c>
      <c r="G127" s="141">
        <f t="shared" si="10"/>
        <v>0.08453512343</v>
      </c>
      <c r="H127" s="142">
        <f t="shared" si="11"/>
        <v>1</v>
      </c>
      <c r="I127" s="142">
        <f t="shared" si="12"/>
        <v>0</v>
      </c>
      <c r="J127" s="142">
        <f t="shared" si="13"/>
        <v>0</v>
      </c>
      <c r="K127" s="142">
        <f t="shared" si="14"/>
        <v>0</v>
      </c>
      <c r="L127" s="139">
        <f>Assumptions!$C$6*Assumptions!$C$7*(1+$G127-0.05*(1-1))^1+Assumptions!$C$6*Assumptions!$C$8*(1+Assumptions!$C$11)^1+Assumptions!$C$16*1+Assumptions!$C$6*Assumptions!$C$9*(1+Assumptions!$C$12)^1</f>
        <v>754.9225225</v>
      </c>
      <c r="M127" s="139">
        <f>Assumptions!$C$6*Assumptions!$C$7*(1+$G127-0.05*(1-$H127))^2+Assumptions!$C$6*Assumptions!$C$8*(1+Assumptions!$C$11)^2+Assumptions!$C$16*$H127+Assumptions!$C$6*Assumptions!$C$9*(1+Assumptions!$C$12)^2</f>
        <v>792.3798117</v>
      </c>
      <c r="N127" s="139">
        <f>Assumptions!$C$6*Assumptions!$C$7*(1+$G127-0.05*(1-$I127))^3+Assumptions!$C$6*Assumptions!$C$8*(1+Assumptions!$C$11)^3+Assumptions!$C$16*$I127+Assumptions!$C$6*Assumptions!$C$9*(1+Assumptions!$C$12)^3</f>
        <v>715.8864621</v>
      </c>
      <c r="O127" s="139">
        <f>Assumptions!$C$6*Assumptions!$C$7*(1+$G127-0.05*(1-$J127))^4+Assumptions!$C$6*Assumptions!$C$8*(1+Assumptions!$C$11)^4+Assumptions!$C$16*$J127+Assumptions!$C$6*Assumptions!$C$9*(1+Assumptions!$C$12)^4</f>
        <v>735.6213126</v>
      </c>
      <c r="P127" s="139">
        <f>Assumptions!$C$6*Assumptions!$C$7*(1+$G127-0.05*(1-$K127))^5+Assumptions!$C$6*Assumptions!$C$8*(1+Assumptions!$C$11)^5+Assumptions!$C$16*$K127+Assumptions!$C$6*Assumptions!$C$9*(1+Assumptions!$C$12)^5</f>
        <v>755.937941</v>
      </c>
      <c r="Q127" s="139">
        <f>($L127*(1-(Assumptions!$C$25+0.06*(1-1))-Assumptions!$C$27)-Assumptions!$C$28)-MAX(0,($L127*(1-(Assumptions!$C$25+0.06*(1-1))-Assumptions!$C$27)-Assumptions!$C$28)*Assumptions!$C$31)+Assumptions!$C$28-Assumptions!$C$29-$L127*Assumptions!$C$30</f>
        <v>94.80834235</v>
      </c>
      <c r="R127" s="139">
        <f>($M127*(1-(Assumptions!$C$25+0.06*(1-$H127))-Assumptions!$C$27)-Assumptions!$C$28)-MAX(0,($M127*(1-(Assumptions!$C$25+0.06*(1-$H127))-Assumptions!$C$27)-Assumptions!$C$28)*Assumptions!$C$31)+Assumptions!$C$28-Assumptions!$C$29-$M127*Assumptions!$C$30</f>
        <v>102.8616595</v>
      </c>
      <c r="S127" s="139">
        <f>($N127*(1-(Assumptions!$C$25+0.06*(1-$I127))-Assumptions!$C$27)-Assumptions!$C$28)-MAX(0,($N127*(1-(Assumptions!$C$25+0.06*(1-$I127))-Assumptions!$C$27)-Assumptions!$C$28)*Assumptions!$C$31)+Assumptions!$C$28-Assumptions!$C$29-$N127*Assumptions!$C$30</f>
        <v>44.65388628</v>
      </c>
      <c r="T127" s="139">
        <f>($O127*(1-(Assumptions!$C$25+0.06*(1-$J127))-Assumptions!$C$27)-Assumptions!$C$28)-MAX(0,($O127*(1-(Assumptions!$C$25+0.06*(1-$J127))-Assumptions!$C$27)-Assumptions!$C$28)*Assumptions!$C$31)+Assumptions!$C$28-Assumptions!$C$29-$O127*Assumptions!$C$30</f>
        <v>49.19290189</v>
      </c>
      <c r="U127" s="139">
        <f>($P127*(1-(Assumptions!$C$25+0.06*(1-$K127))-Assumptions!$C$27)-Assumptions!$C$28)-MAX(0,($P127*(1-(Assumptions!$C$25+0.06*(1-$K127))-Assumptions!$C$27)-Assumptions!$C$28)*Assumptions!$C$31)+Assumptions!$C$28-Assumptions!$C$29-$P127*Assumptions!$C$30</f>
        <v>53.86572643</v>
      </c>
      <c r="V127" s="143">
        <f>(($Q127/(1+$D127)^1+$R127/(1+$D127)^2+$S127/(1+$D127)^3+$T127/(1+$D127)^4+$U127/(1+$D127)^5+$U127*(1+$E127)/($D127-$E127)/(1+$D127)^5)-Assumptions!$C$37)/Assumptions!$C$40/Assumptions!$C$38</f>
        <v>0.5033647524</v>
      </c>
    </row>
    <row r="128" ht="12.0" customHeight="1">
      <c r="B128" s="139">
        <v>76.0</v>
      </c>
      <c r="C128" s="140">
        <f t="shared" si="6"/>
        <v>0.8953269636</v>
      </c>
      <c r="D128" s="141">
        <f t="shared" si="7"/>
        <v>0.1073369997</v>
      </c>
      <c r="E128" s="141">
        <f t="shared" si="8"/>
        <v>0.01813813667</v>
      </c>
      <c r="F128" s="140">
        <f t="shared" si="9"/>
        <v>0.1739818758</v>
      </c>
      <c r="G128" s="141">
        <f t="shared" si="10"/>
        <v>0.04769653572</v>
      </c>
      <c r="H128" s="142">
        <f t="shared" si="11"/>
        <v>1</v>
      </c>
      <c r="I128" s="142">
        <f t="shared" si="12"/>
        <v>1</v>
      </c>
      <c r="J128" s="142">
        <f t="shared" si="13"/>
        <v>1</v>
      </c>
      <c r="K128" s="142">
        <f t="shared" si="14"/>
        <v>1</v>
      </c>
      <c r="L128" s="139">
        <f>Assumptions!$C$6*Assumptions!$C$7*(1+$G128-0.05*(1-1))^1+Assumptions!$C$6*Assumptions!$C$8*(1+Assumptions!$C$11)^1+Assumptions!$C$16*1+Assumptions!$C$6*Assumptions!$C$9*(1+Assumptions!$C$12)^1</f>
        <v>742.5226539</v>
      </c>
      <c r="M128" s="139">
        <f>Assumptions!$C$6*Assumptions!$C$7*(1+$G128-0.05*(1-$H128))^2+Assumptions!$C$6*Assumptions!$C$8*(1+Assumptions!$C$11)^2+Assumptions!$C$16*$H128+Assumptions!$C$6*Assumptions!$C$9*(1+Assumptions!$C$12)^2</f>
        <v>765.9404192</v>
      </c>
      <c r="N128" s="139">
        <f>Assumptions!$C$6*Assumptions!$C$7*(1+$G128-0.05*(1-$I128))^3+Assumptions!$C$6*Assumptions!$C$8*(1+Assumptions!$C$11)^3+Assumptions!$C$16*$I128+Assumptions!$C$6*Assumptions!$C$9*(1+Assumptions!$C$12)^3</f>
        <v>790.2924068</v>
      </c>
      <c r="O128" s="139">
        <f>Assumptions!$C$6*Assumptions!$C$7*(1+$G128-0.05*(1-$J128))^4+Assumptions!$C$6*Assumptions!$C$8*(1+Assumptions!$C$11)^4+Assumptions!$C$16*$J128+Assumptions!$C$6*Assumptions!$C$9*(1+Assumptions!$C$12)^4</f>
        <v>815.6195213</v>
      </c>
      <c r="P128" s="139">
        <f>Assumptions!$C$6*Assumptions!$C$7*(1+$G128-0.05*(1-$K128))^5+Assumptions!$C$6*Assumptions!$C$8*(1+Assumptions!$C$11)^5+Assumptions!$C$16*$K128+Assumptions!$C$6*Assumptions!$C$9*(1+Assumptions!$C$12)^5</f>
        <v>841.9645454</v>
      </c>
      <c r="Q128" s="139">
        <f>($L128*(1-(Assumptions!$C$25+0.06*(1-1))-Assumptions!$C$27)-Assumptions!$C$28)-MAX(0,($L128*(1-(Assumptions!$C$25+0.06*(1-1))-Assumptions!$C$27)-Assumptions!$C$28)*Assumptions!$C$31)+Assumptions!$C$28-Assumptions!$C$29-$L128*Assumptions!$C$30</f>
        <v>92.14237059</v>
      </c>
      <c r="R128" s="139">
        <f>($M128*(1-(Assumptions!$C$25+0.06*(1-$H128))-Assumptions!$C$27)-Assumptions!$C$28)-MAX(0,($M128*(1-(Assumptions!$C$25+0.06*(1-$H128))-Assumptions!$C$27)-Assumptions!$C$28)*Assumptions!$C$31)+Assumptions!$C$28-Assumptions!$C$29-$M128*Assumptions!$C$30</f>
        <v>97.17719013</v>
      </c>
      <c r="S128" s="139">
        <f>($N128*(1-(Assumptions!$C$25+0.06*(1-$I128))-Assumptions!$C$27)-Assumptions!$C$28)-MAX(0,($N128*(1-(Assumptions!$C$25+0.06*(1-$I128))-Assumptions!$C$27)-Assumptions!$C$28)*Assumptions!$C$31)+Assumptions!$C$28-Assumptions!$C$29-$N128*Assumptions!$C$30</f>
        <v>102.4128675</v>
      </c>
      <c r="T128" s="139">
        <f>($O128*(1-(Assumptions!$C$25+0.06*(1-$J128))-Assumptions!$C$27)-Assumptions!$C$28)-MAX(0,($O128*(1-(Assumptions!$C$25+0.06*(1-$J128))-Assumptions!$C$27)-Assumptions!$C$28)*Assumptions!$C$31)+Assumptions!$C$28-Assumptions!$C$29-$O128*Assumptions!$C$30</f>
        <v>107.8581971</v>
      </c>
      <c r="U128" s="139">
        <f>($P128*(1-(Assumptions!$C$25+0.06*(1-$K128))-Assumptions!$C$27)-Assumptions!$C$28)-MAX(0,($P128*(1-(Assumptions!$C$25+0.06*(1-$K128))-Assumptions!$C$27)-Assumptions!$C$28)*Assumptions!$C$31)+Assumptions!$C$28-Assumptions!$C$29-$P128*Assumptions!$C$30</f>
        <v>113.5223773</v>
      </c>
      <c r="V128" s="143">
        <f>(($Q128/(1+$D128)^1+$R128/(1+$D128)^2+$S128/(1+$D128)^3+$T128/(1+$D128)^4+$U128/(1+$D128)^5+$U128*(1+$E128)/($D128-$E128)/(1+$D128)^5)-Assumptions!$C$37)/Assumptions!$C$40/Assumptions!$C$38</f>
        <v>3.623968463</v>
      </c>
    </row>
    <row r="129" ht="12.0" customHeight="1">
      <c r="B129" s="139">
        <v>77.0</v>
      </c>
      <c r="C129" s="140">
        <f t="shared" si="6"/>
        <v>0.4146605846</v>
      </c>
      <c r="D129" s="141">
        <f t="shared" si="7"/>
        <v>0.09687886836</v>
      </c>
      <c r="E129" s="141">
        <f t="shared" si="8"/>
        <v>0.02356383021</v>
      </c>
      <c r="F129" s="140">
        <f t="shared" si="9"/>
        <v>0.6074054846</v>
      </c>
      <c r="G129" s="141">
        <f t="shared" si="10"/>
        <v>0.06341673219</v>
      </c>
      <c r="H129" s="142">
        <f t="shared" si="11"/>
        <v>1</v>
      </c>
      <c r="I129" s="142">
        <f t="shared" si="12"/>
        <v>0</v>
      </c>
      <c r="J129" s="142">
        <f t="shared" si="13"/>
        <v>0</v>
      </c>
      <c r="K129" s="142">
        <f t="shared" si="14"/>
        <v>1</v>
      </c>
      <c r="L129" s="139">
        <f>Assumptions!$C$6*Assumptions!$C$7*(1+$G129-0.05*(1-1))^1+Assumptions!$C$6*Assumptions!$C$8*(1+Assumptions!$C$11)^1+Assumptions!$C$16*1+Assumptions!$C$6*Assumptions!$C$9*(1+Assumptions!$C$12)^1</f>
        <v>747.8140721</v>
      </c>
      <c r="M129" s="139">
        <f>Assumptions!$C$6*Assumptions!$C$7*(1+$G129-0.05*(1-$H129))^2+Assumptions!$C$6*Assumptions!$C$8*(1+Assumptions!$C$11)^2+Assumptions!$C$16*$H129+Assumptions!$C$6*Assumptions!$C$9*(1+Assumptions!$C$12)^2</f>
        <v>777.1112022</v>
      </c>
      <c r="N129" s="139">
        <f>Assumptions!$C$6*Assumptions!$C$7*(1+$G129-0.05*(1-$I129))^3+Assumptions!$C$6*Assumptions!$C$8*(1+Assumptions!$C$11)^3+Assumptions!$C$16*$I129+Assumptions!$C$6*Assumptions!$C$9*(1+Assumptions!$C$12)^3</f>
        <v>693.5254691</v>
      </c>
      <c r="O129" s="139">
        <f>Assumptions!$C$6*Assumptions!$C$7*(1+$G129-0.05*(1-$J129))^4+Assumptions!$C$6*Assumptions!$C$8*(1+Assumptions!$C$11)^4+Assumptions!$C$16*$J129+Assumptions!$C$6*Assumptions!$C$9*(1+Assumptions!$C$12)^4</f>
        <v>705.089657</v>
      </c>
      <c r="P129" s="139">
        <f>Assumptions!$C$6*Assumptions!$C$7*(1+$G129-0.05*(1-$K129))^5+Assumptions!$C$6*Assumptions!$C$8*(1+Assumptions!$C$11)^5+Assumptions!$C$16*$K129+Assumptions!$C$6*Assumptions!$C$9*(1+Assumptions!$C$12)^5</f>
        <v>874.8131105</v>
      </c>
      <c r="Q129" s="139">
        <f>($L129*(1-(Assumptions!$C$25+0.06*(1-1))-Assumptions!$C$27)-Assumptions!$C$28)-MAX(0,($L129*(1-(Assumptions!$C$25+0.06*(1-1))-Assumptions!$C$27)-Assumptions!$C$28)*Assumptions!$C$31)+Assumptions!$C$28-Assumptions!$C$29-$L129*Assumptions!$C$30</f>
        <v>93.28002549</v>
      </c>
      <c r="R129" s="139">
        <f>($M129*(1-(Assumptions!$C$25+0.06*(1-$H129))-Assumptions!$C$27)-Assumptions!$C$28)-MAX(0,($M129*(1-(Assumptions!$C$25+0.06*(1-$H129))-Assumptions!$C$27)-Assumptions!$C$28)*Assumptions!$C$31)+Assumptions!$C$28-Assumptions!$C$29-$M129*Assumptions!$C$30</f>
        <v>99.57890848</v>
      </c>
      <c r="S129" s="139">
        <f>($N129*(1-(Assumptions!$C$25+0.06*(1-$I129))-Assumptions!$C$27)-Assumptions!$C$28)-MAX(0,($N129*(1-(Assumptions!$C$25+0.06*(1-$I129))-Assumptions!$C$27)-Assumptions!$C$28)*Assumptions!$C$31)+Assumptions!$C$28-Assumptions!$C$29-$N129*Assumptions!$C$30</f>
        <v>39.51085789</v>
      </c>
      <c r="T129" s="139">
        <f>($O129*(1-(Assumptions!$C$25+0.06*(1-$J129))-Assumptions!$C$27)-Assumptions!$C$28)-MAX(0,($O129*(1-(Assumptions!$C$25+0.06*(1-$J129))-Assumptions!$C$27)-Assumptions!$C$28)*Assumptions!$C$31)+Assumptions!$C$28-Assumptions!$C$29-$O129*Assumptions!$C$30</f>
        <v>42.1706211</v>
      </c>
      <c r="U129" s="139">
        <f>($P129*(1-(Assumptions!$C$25+0.06*(1-$K129))-Assumptions!$C$27)-Assumptions!$C$28)-MAX(0,($P129*(1-(Assumptions!$C$25+0.06*(1-$K129))-Assumptions!$C$27)-Assumptions!$C$28)*Assumptions!$C$31)+Assumptions!$C$28-Assumptions!$C$29-$P129*Assumptions!$C$30</f>
        <v>120.5848187</v>
      </c>
      <c r="V129" s="143">
        <f>(($Q129/(1+$D129)^1+$R129/(1+$D129)^2+$S129/(1+$D129)^3+$T129/(1+$D129)^4+$U129/(1+$D129)^5+$U129*(1+$E129)/($D129-$E129)/(1+$D129)^5)-Assumptions!$C$37)/Assumptions!$C$40/Assumptions!$C$38</f>
        <v>5.239620276</v>
      </c>
    </row>
    <row r="130" ht="12.0" customHeight="1">
      <c r="B130" s="139">
        <v>78.0</v>
      </c>
      <c r="C130" s="140">
        <f t="shared" si="6"/>
        <v>0.7584164636</v>
      </c>
      <c r="D130" s="141">
        <f t="shared" si="7"/>
        <v>0.103358335</v>
      </c>
      <c r="E130" s="141">
        <f t="shared" si="8"/>
        <v>0.01606384501</v>
      </c>
      <c r="F130" s="140">
        <f t="shared" si="9"/>
        <v>0.6589364311</v>
      </c>
      <c r="G130" s="141">
        <f t="shared" si="10"/>
        <v>0.06522270346</v>
      </c>
      <c r="H130" s="142">
        <f t="shared" si="11"/>
        <v>1</v>
      </c>
      <c r="I130" s="142">
        <f t="shared" si="12"/>
        <v>0</v>
      </c>
      <c r="J130" s="142">
        <f t="shared" si="13"/>
        <v>1</v>
      </c>
      <c r="K130" s="142">
        <f t="shared" si="14"/>
        <v>0</v>
      </c>
      <c r="L130" s="139">
        <f>Assumptions!$C$6*Assumptions!$C$7*(1+$G130-0.05*(1-1))^1+Assumptions!$C$6*Assumptions!$C$8*(1+Assumptions!$C$11)^1+Assumptions!$C$16*1+Assumptions!$C$6*Assumptions!$C$9*(1+Assumptions!$C$12)^1</f>
        <v>748.421962</v>
      </c>
      <c r="M130" s="139">
        <f>Assumptions!$C$6*Assumptions!$C$7*(1+$G130-0.05*(1-$H130))^2+Assumptions!$C$6*Assumptions!$C$8*(1+Assumptions!$C$11)^2+Assumptions!$C$16*$H130+Assumptions!$C$6*Assumptions!$C$9*(1+Assumptions!$C$12)^2</f>
        <v>778.4051807</v>
      </c>
      <c r="N130" s="139">
        <f>Assumptions!$C$6*Assumptions!$C$7*(1+$G130-0.05*(1-$I130))^3+Assumptions!$C$6*Assumptions!$C$8*(1+Assumptions!$C$11)^3+Assumptions!$C$16*$I130+Assumptions!$C$6*Assumptions!$C$9*(1+Assumptions!$C$12)^3</f>
        <v>695.4017422</v>
      </c>
      <c r="O130" s="139">
        <f>Assumptions!$C$6*Assumptions!$C$7*(1+$G130-0.05*(1-$J130))^4+Assumptions!$C$6*Assumptions!$C$8*(1+Assumptions!$C$11)^4+Assumptions!$C$16*$J130+Assumptions!$C$6*Assumptions!$C$9*(1+Assumptions!$C$12)^4</f>
        <v>843.445449</v>
      </c>
      <c r="P130" s="139">
        <f>Assumptions!$C$6*Assumptions!$C$7*(1+$G130-0.05*(1-$K130))^5+Assumptions!$C$6*Assumptions!$C$8*(1+Assumptions!$C$11)^5+Assumptions!$C$16*$K130+Assumptions!$C$6*Assumptions!$C$9*(1+Assumptions!$C$12)^5</f>
        <v>720.0715117</v>
      </c>
      <c r="Q130" s="139">
        <f>($L130*(1-(Assumptions!$C$25+0.06*(1-1))-Assumptions!$C$27)-Assumptions!$C$28)-MAX(0,($L130*(1-(Assumptions!$C$25+0.06*(1-1))-Assumptions!$C$27)-Assumptions!$C$28)*Assumptions!$C$31)+Assumptions!$C$28-Assumptions!$C$29-$L130*Assumptions!$C$30</f>
        <v>93.41072183</v>
      </c>
      <c r="R130" s="139">
        <f>($M130*(1-(Assumptions!$C$25+0.06*(1-$H130))-Assumptions!$C$27)-Assumptions!$C$28)-MAX(0,($M130*(1-(Assumptions!$C$25+0.06*(1-$H130))-Assumptions!$C$27)-Assumptions!$C$28)*Assumptions!$C$31)+Assumptions!$C$28-Assumptions!$C$29-$M130*Assumptions!$C$30</f>
        <v>99.85711385</v>
      </c>
      <c r="S130" s="139">
        <f>($N130*(1-(Assumptions!$C$25+0.06*(1-$I130))-Assumptions!$C$27)-Assumptions!$C$28)-MAX(0,($N130*(1-(Assumptions!$C$25+0.06*(1-$I130))-Assumptions!$C$27)-Assumptions!$C$28)*Assumptions!$C$31)+Assumptions!$C$28-Assumptions!$C$29-$N130*Assumptions!$C$30</f>
        <v>39.9424007</v>
      </c>
      <c r="T130" s="139">
        <f>($O130*(1-(Assumptions!$C$25+0.06*(1-$J130))-Assumptions!$C$27)-Assumptions!$C$28)-MAX(0,($O130*(1-(Assumptions!$C$25+0.06*(1-$J130))-Assumptions!$C$27)-Assumptions!$C$28)*Assumptions!$C$31)+Assumptions!$C$28-Assumptions!$C$29-$O130*Assumptions!$C$30</f>
        <v>113.8407715</v>
      </c>
      <c r="U130" s="139">
        <f>($P130*(1-(Assumptions!$C$25+0.06*(1-$K130))-Assumptions!$C$27)-Assumptions!$C$28)-MAX(0,($P130*(1-(Assumptions!$C$25+0.06*(1-$K130))-Assumptions!$C$27)-Assumptions!$C$28)*Assumptions!$C$31)+Assumptions!$C$28-Assumptions!$C$29-$P130*Assumptions!$C$30</f>
        <v>45.61644768</v>
      </c>
      <c r="V130" s="143">
        <f>(($Q130/(1+$D130)^1+$R130/(1+$D130)^2+$S130/(1+$D130)^3+$T130/(1+$D130)^4+$U130/(1+$D130)^5+$U130*(1+$E130)/($D130-$E130)/(1+$D130)^5)-Assumptions!$C$37)/Assumptions!$C$40/Assumptions!$C$38</f>
        <v>-0.514105758</v>
      </c>
    </row>
    <row r="131" ht="12.0" customHeight="1">
      <c r="B131" s="139">
        <v>79.0</v>
      </c>
      <c r="C131" s="140">
        <f t="shared" si="6"/>
        <v>0.6430296421</v>
      </c>
      <c r="D131" s="141">
        <f t="shared" si="7"/>
        <v>0.1008486619</v>
      </c>
      <c r="E131" s="141">
        <f t="shared" si="8"/>
        <v>0.02322631966</v>
      </c>
      <c r="F131" s="140">
        <f t="shared" si="9"/>
        <v>0.1993427716</v>
      </c>
      <c r="G131" s="141">
        <f t="shared" si="10"/>
        <v>0.04894246523</v>
      </c>
      <c r="H131" s="142">
        <f t="shared" si="11"/>
        <v>0</v>
      </c>
      <c r="I131" s="142">
        <f t="shared" si="12"/>
        <v>1</v>
      </c>
      <c r="J131" s="142">
        <f t="shared" si="13"/>
        <v>0</v>
      </c>
      <c r="K131" s="142">
        <f t="shared" si="14"/>
        <v>1</v>
      </c>
      <c r="L131" s="139">
        <f>Assumptions!$C$6*Assumptions!$C$7*(1+$G131-0.05*(1-1))^1+Assumptions!$C$6*Assumptions!$C$8*(1+Assumptions!$C$11)^1+Assumptions!$C$16*1+Assumptions!$C$6*Assumptions!$C$9*(1+Assumptions!$C$12)^1</f>
        <v>742.9420338</v>
      </c>
      <c r="M131" s="139">
        <f>Assumptions!$C$6*Assumptions!$C$7*(1+$G131-0.05*(1-$H131))^2+Assumptions!$C$6*Assumptions!$C$8*(1+Assumptions!$C$11)^2+Assumptions!$C$16*$H131+Assumptions!$C$6*Assumptions!$C$9*(1+Assumptions!$C$12)^2</f>
        <v>672.353804</v>
      </c>
      <c r="N131" s="139">
        <f>Assumptions!$C$6*Assumptions!$C$7*(1+$G131-0.05*(1-$I131))^3+Assumptions!$C$6*Assumptions!$C$8*(1+Assumptions!$C$11)^3+Assumptions!$C$16*$I131+Assumptions!$C$6*Assumptions!$C$9*(1+Assumptions!$C$12)^3</f>
        <v>791.6750694</v>
      </c>
      <c r="O131" s="139">
        <f>Assumptions!$C$6*Assumptions!$C$7*(1+$G131-0.05*(1-$J131))^4+Assumptions!$C$6*Assumptions!$C$8*(1+Assumptions!$C$11)^4+Assumptions!$C$16*$J131+Assumptions!$C$6*Assumptions!$C$9*(1+Assumptions!$C$12)^4</f>
        <v>685.2369528</v>
      </c>
      <c r="P131" s="139">
        <f>Assumptions!$C$6*Assumptions!$C$7*(1+$G131-0.05*(1-$K131))^5+Assumptions!$C$6*Assumptions!$C$8*(1+Assumptions!$C$11)^5+Assumptions!$C$16*$K131+Assumptions!$C$6*Assumptions!$C$9*(1+Assumptions!$C$12)^5</f>
        <v>844.4970634</v>
      </c>
      <c r="Q131" s="139">
        <f>($L131*(1-(Assumptions!$C$25+0.06*(1-1))-Assumptions!$C$27)-Assumptions!$C$28)-MAX(0,($L131*(1-(Assumptions!$C$25+0.06*(1-1))-Assumptions!$C$27)-Assumptions!$C$28)*Assumptions!$C$31)+Assumptions!$C$28-Assumptions!$C$29-$L131*Assumptions!$C$30</f>
        <v>92.23253727</v>
      </c>
      <c r="R131" s="139">
        <f>($M131*(1-(Assumptions!$C$25+0.06*(1-$H131))-Assumptions!$C$27)-Assumptions!$C$28)-MAX(0,($M131*(1-(Assumptions!$C$25+0.06*(1-$H131))-Assumptions!$C$27)-Assumptions!$C$28)*Assumptions!$C$31)+Assumptions!$C$28-Assumptions!$C$29-$M131*Assumptions!$C$30</f>
        <v>34.64137493</v>
      </c>
      <c r="S131" s="139">
        <f>($N131*(1-(Assumptions!$C$25+0.06*(1-$I131))-Assumptions!$C$27)-Assumptions!$C$28)-MAX(0,($N131*(1-(Assumptions!$C$25+0.06*(1-$I131))-Assumptions!$C$27)-Assumptions!$C$28)*Assumptions!$C$31)+Assumptions!$C$28-Assumptions!$C$29-$N131*Assumptions!$C$30</f>
        <v>102.7101399</v>
      </c>
      <c r="T131" s="139">
        <f>($O131*(1-(Assumptions!$C$25+0.06*(1-$J131))-Assumptions!$C$27)-Assumptions!$C$28)-MAX(0,($O131*(1-(Assumptions!$C$25+0.06*(1-$J131))-Assumptions!$C$27)-Assumptions!$C$28)*Assumptions!$C$31)+Assumptions!$C$28-Assumptions!$C$29-$O131*Assumptions!$C$30</f>
        <v>37.60449915</v>
      </c>
      <c r="U131" s="139">
        <f>($P131*(1-(Assumptions!$C$25+0.06*(1-$K131))-Assumptions!$C$27)-Assumptions!$C$28)-MAX(0,($P131*(1-(Assumptions!$C$25+0.06*(1-$K131))-Assumptions!$C$27)-Assumptions!$C$28)*Assumptions!$C$31)+Assumptions!$C$28-Assumptions!$C$29-$P131*Assumptions!$C$30</f>
        <v>114.0668686</v>
      </c>
      <c r="V131" s="143">
        <f>(($Q131/(1+$D131)^1+$R131/(1+$D131)^2+$S131/(1+$D131)^3+$T131/(1+$D131)^4+$U131/(1+$D131)^5+$U131*(1+$E131)/($D131-$E131)/(1+$D131)^5)-Assumptions!$C$37)/Assumptions!$C$40/Assumptions!$C$38</f>
        <v>4.088239192</v>
      </c>
    </row>
    <row r="132" ht="12.0" customHeight="1">
      <c r="B132" s="139">
        <v>80.0</v>
      </c>
      <c r="C132" s="140">
        <f t="shared" si="6"/>
        <v>0.1816554936</v>
      </c>
      <c r="D132" s="141">
        <f t="shared" si="7"/>
        <v>0.09284736977</v>
      </c>
      <c r="E132" s="141">
        <f t="shared" si="8"/>
        <v>0.02428666945</v>
      </c>
      <c r="F132" s="140">
        <f t="shared" si="9"/>
        <v>0.442499602</v>
      </c>
      <c r="G132" s="141">
        <f t="shared" si="10"/>
        <v>0.05822231889</v>
      </c>
      <c r="H132" s="142">
        <f t="shared" si="11"/>
        <v>1</v>
      </c>
      <c r="I132" s="142">
        <f t="shared" si="12"/>
        <v>0</v>
      </c>
      <c r="J132" s="142">
        <f t="shared" si="13"/>
        <v>1</v>
      </c>
      <c r="K132" s="142">
        <f t="shared" si="14"/>
        <v>0</v>
      </c>
      <c r="L132" s="139">
        <f>Assumptions!$C$6*Assumptions!$C$7*(1+$G132-0.05*(1-1))^1+Assumptions!$C$6*Assumptions!$C$8*(1+Assumptions!$C$11)^1+Assumptions!$C$16*1+Assumptions!$C$6*Assumptions!$C$9*(1+Assumptions!$C$12)^1</f>
        <v>746.0656325</v>
      </c>
      <c r="M132" s="139">
        <f>Assumptions!$C$6*Assumptions!$C$7*(1+$G132-0.05*(1-$H132))^2+Assumptions!$C$6*Assumptions!$C$8*(1+Assumptions!$C$11)^2+Assumptions!$C$16*$H132+Assumptions!$C$6*Assumptions!$C$9*(1+Assumptions!$C$12)^2</f>
        <v>773.4016447</v>
      </c>
      <c r="N132" s="139">
        <f>Assumptions!$C$6*Assumptions!$C$7*(1+$G132-0.05*(1-$I132))^3+Assumptions!$C$6*Assumptions!$C$8*(1+Assumptions!$C$11)^3+Assumptions!$C$16*$I132+Assumptions!$C$6*Assumptions!$C$9*(1+Assumptions!$C$12)^3</f>
        <v>688.166021</v>
      </c>
      <c r="O132" s="139">
        <f>Assumptions!$C$6*Assumptions!$C$7*(1+$G132-0.05*(1-$J132))^4+Assumptions!$C$6*Assumptions!$C$8*(1+Assumptions!$C$11)^4+Assumptions!$C$16*$J132+Assumptions!$C$6*Assumptions!$C$9*(1+Assumptions!$C$12)^4</f>
        <v>832.1648075</v>
      </c>
      <c r="P132" s="139">
        <f>Assumptions!$C$6*Assumptions!$C$7*(1+$G132-0.05*(1-$K132))^5+Assumptions!$C$6*Assumptions!$C$8*(1+Assumptions!$C$11)^5+Assumptions!$C$16*$K132+Assumptions!$C$6*Assumptions!$C$9*(1+Assumptions!$C$12)^5</f>
        <v>707.7273368</v>
      </c>
      <c r="Q132" s="139">
        <f>($L132*(1-(Assumptions!$C$25+0.06*(1-1))-Assumptions!$C$27)-Assumptions!$C$28)-MAX(0,($L132*(1-(Assumptions!$C$25+0.06*(1-1))-Assumptions!$C$27)-Assumptions!$C$28)*Assumptions!$C$31)+Assumptions!$C$28-Assumptions!$C$29-$L132*Assumptions!$C$30</f>
        <v>92.904111</v>
      </c>
      <c r="R132" s="139">
        <f>($M132*(1-(Assumptions!$C$25+0.06*(1-$H132))-Assumptions!$C$27)-Assumptions!$C$28)-MAX(0,($M132*(1-(Assumptions!$C$25+0.06*(1-$H132))-Assumptions!$C$27)-Assumptions!$C$28)*Assumptions!$C$31)+Assumptions!$C$28-Assumptions!$C$29-$M132*Assumptions!$C$30</f>
        <v>98.78135361</v>
      </c>
      <c r="S132" s="139">
        <f>($N132*(1-(Assumptions!$C$25+0.06*(1-$I132))-Assumptions!$C$27)-Assumptions!$C$28)-MAX(0,($N132*(1-(Assumptions!$C$25+0.06*(1-$I132))-Assumptions!$C$27)-Assumptions!$C$28)*Assumptions!$C$31)+Assumptions!$C$28-Assumptions!$C$29-$N132*Assumptions!$C$30</f>
        <v>38.27818483</v>
      </c>
      <c r="T132" s="139">
        <f>($O132*(1-(Assumptions!$C$25+0.06*(1-$J132))-Assumptions!$C$27)-Assumptions!$C$28)-MAX(0,($O132*(1-(Assumptions!$C$25+0.06*(1-$J132))-Assumptions!$C$27)-Assumptions!$C$28)*Assumptions!$C$31)+Assumptions!$C$28-Assumptions!$C$29-$O132*Assumptions!$C$30</f>
        <v>111.4154336</v>
      </c>
      <c r="U132" s="139">
        <f>($P132*(1-(Assumptions!$C$25+0.06*(1-$K132))-Assumptions!$C$27)-Assumptions!$C$28)-MAX(0,($P132*(1-(Assumptions!$C$25+0.06*(1-$K132))-Assumptions!$C$27)-Assumptions!$C$28)*Assumptions!$C$31)+Assumptions!$C$28-Assumptions!$C$29-$P132*Assumptions!$C$30</f>
        <v>42.77728747</v>
      </c>
      <c r="V132" s="143">
        <f>(($Q132/(1+$D132)^1+$R132/(1+$D132)^2+$S132/(1+$D132)^3+$T132/(1+$D132)^4+$U132/(1+$D132)^5+$U132*(1+$E132)/($D132-$E132)/(1+$D132)^5)-Assumptions!$C$37)/Assumptions!$C$40/Assumptions!$C$38</f>
        <v>0.1629425463</v>
      </c>
    </row>
    <row r="133" ht="12.0" customHeight="1">
      <c r="B133" s="139">
        <v>81.0</v>
      </c>
      <c r="C133" s="140">
        <f t="shared" si="6"/>
        <v>0.7202300871</v>
      </c>
      <c r="D133" s="141">
        <f t="shared" si="7"/>
        <v>0.1024719945</v>
      </c>
      <c r="E133" s="141">
        <f t="shared" si="8"/>
        <v>0.01659345108</v>
      </c>
      <c r="F133" s="140">
        <f t="shared" si="9"/>
        <v>0.4153235144</v>
      </c>
      <c r="G133" s="141">
        <f t="shared" si="10"/>
        <v>0.05734195176</v>
      </c>
      <c r="H133" s="142">
        <f t="shared" si="11"/>
        <v>0</v>
      </c>
      <c r="I133" s="142">
        <f t="shared" si="12"/>
        <v>0</v>
      </c>
      <c r="J133" s="142">
        <f t="shared" si="13"/>
        <v>1</v>
      </c>
      <c r="K133" s="142">
        <f t="shared" si="14"/>
        <v>1</v>
      </c>
      <c r="L133" s="139">
        <f>Assumptions!$C$6*Assumptions!$C$7*(1+$G133-0.05*(1-1))^1+Assumptions!$C$6*Assumptions!$C$8*(1+Assumptions!$C$11)^1+Assumptions!$C$16*1+Assumptions!$C$6*Assumptions!$C$9*(1+Assumptions!$C$12)^1</f>
        <v>745.769301</v>
      </c>
      <c r="M133" s="139">
        <f>Assumptions!$C$6*Assumptions!$C$7*(1+$G133-0.05*(1-$H133))^2+Assumptions!$C$6*Assumptions!$C$8*(1+Assumptions!$C$11)^2+Assumptions!$C$16*$H133+Assumptions!$C$6*Assumptions!$C$9*(1+Assumptions!$C$12)^2</f>
        <v>678.0261061</v>
      </c>
      <c r="N133" s="139">
        <f>Assumptions!$C$6*Assumptions!$C$7*(1+$G133-0.05*(1-$I133))^3+Assumptions!$C$6*Assumptions!$C$8*(1+Assumptions!$C$11)^3+Assumptions!$C$16*$I133+Assumptions!$C$6*Assumptions!$C$9*(1+Assumptions!$C$12)^3</f>
        <v>687.2631358</v>
      </c>
      <c r="O133" s="139">
        <f>Assumptions!$C$6*Assumptions!$C$7*(1+$G133-0.05*(1-$J133))^4+Assumptions!$C$6*Assumptions!$C$8*(1+Assumptions!$C$11)^4+Assumptions!$C$16*$J133+Assumptions!$C$6*Assumptions!$C$9*(1+Assumptions!$C$12)^4</f>
        <v>830.7619076</v>
      </c>
      <c r="P133" s="139">
        <f>Assumptions!$C$6*Assumptions!$C$7*(1+$G133-0.05*(1-$K133))^5+Assumptions!$C$6*Assumptions!$C$8*(1+Assumptions!$C$11)^5+Assumptions!$C$16*$K133+Assumptions!$C$6*Assumptions!$C$9*(1+Assumptions!$C$12)^5</f>
        <v>861.8870298</v>
      </c>
      <c r="Q133" s="139">
        <f>($L133*(1-(Assumptions!$C$25+0.06*(1-1))-Assumptions!$C$27)-Assumptions!$C$28)-MAX(0,($L133*(1-(Assumptions!$C$25+0.06*(1-1))-Assumptions!$C$27)-Assumptions!$C$28)*Assumptions!$C$31)+Assumptions!$C$28-Assumptions!$C$29-$L133*Assumptions!$C$30</f>
        <v>92.84039971</v>
      </c>
      <c r="R133" s="139">
        <f>($M133*(1-(Assumptions!$C$25+0.06*(1-$H133))-Assumptions!$C$27)-Assumptions!$C$28)-MAX(0,($M133*(1-(Assumptions!$C$25+0.06*(1-$H133))-Assumptions!$C$27)-Assumptions!$C$28)*Assumptions!$C$31)+Assumptions!$C$28-Assumptions!$C$29-$M133*Assumptions!$C$30</f>
        <v>35.9460044</v>
      </c>
      <c r="S133" s="139">
        <f>($N133*(1-(Assumptions!$C$25+0.06*(1-$I133))-Assumptions!$C$27)-Assumptions!$C$28)-MAX(0,($N133*(1-(Assumptions!$C$25+0.06*(1-$I133))-Assumptions!$C$27)-Assumptions!$C$28)*Assumptions!$C$31)+Assumptions!$C$28-Assumptions!$C$29-$N133*Assumptions!$C$30</f>
        <v>38.07052124</v>
      </c>
      <c r="T133" s="139">
        <f>($O133*(1-(Assumptions!$C$25+0.06*(1-$J133))-Assumptions!$C$27)-Assumptions!$C$28)-MAX(0,($O133*(1-(Assumptions!$C$25+0.06*(1-$J133))-Assumptions!$C$27)-Assumptions!$C$28)*Assumptions!$C$31)+Assumptions!$C$28-Assumptions!$C$29-$O133*Assumptions!$C$30</f>
        <v>111.1138101</v>
      </c>
      <c r="U133" s="139">
        <f>($P133*(1-(Assumptions!$C$25+0.06*(1-$K133))-Assumptions!$C$27)-Assumptions!$C$28)-MAX(0,($P133*(1-(Assumptions!$C$25+0.06*(1-$K133))-Assumptions!$C$27)-Assumptions!$C$28)*Assumptions!$C$31)+Assumptions!$C$28-Assumptions!$C$29-$P133*Assumptions!$C$30</f>
        <v>117.8057114</v>
      </c>
      <c r="V133" s="143">
        <f>(($Q133/(1+$D133)^1+$R133/(1+$D133)^2+$S133/(1+$D133)^3+$T133/(1+$D133)^4+$U133/(1+$D133)^5+$U133*(1+$E133)/($D133-$E133)/(1+$D133)^5)-Assumptions!$C$37)/Assumptions!$C$40/Assumptions!$C$38</f>
        <v>3.54513332</v>
      </c>
    </row>
    <row r="134" ht="12.0" customHeight="1">
      <c r="B134" s="139">
        <v>82.0</v>
      </c>
      <c r="C134" s="140">
        <f t="shared" si="6"/>
        <v>0.9683290803</v>
      </c>
      <c r="D134" s="141">
        <f t="shared" si="7"/>
        <v>0.1107848623</v>
      </c>
      <c r="E134" s="141">
        <f t="shared" si="8"/>
        <v>0.02360540041</v>
      </c>
      <c r="F134" s="140">
        <f t="shared" si="9"/>
        <v>0.6995014821</v>
      </c>
      <c r="G134" s="141">
        <f t="shared" si="10"/>
        <v>0.06674280042</v>
      </c>
      <c r="H134" s="142">
        <f t="shared" si="11"/>
        <v>1</v>
      </c>
      <c r="I134" s="142">
        <f t="shared" si="12"/>
        <v>1</v>
      </c>
      <c r="J134" s="142">
        <f t="shared" si="13"/>
        <v>0</v>
      </c>
      <c r="K134" s="142">
        <f t="shared" si="14"/>
        <v>0</v>
      </c>
      <c r="L134" s="139">
        <f>Assumptions!$C$6*Assumptions!$C$7*(1+$G134-0.05*(1-1))^1+Assumptions!$C$6*Assumptions!$C$8*(1+Assumptions!$C$11)^1+Assumptions!$C$16*1+Assumptions!$C$6*Assumptions!$C$9*(1+Assumptions!$C$12)^1</f>
        <v>748.9336266</v>
      </c>
      <c r="M134" s="139">
        <f>Assumptions!$C$6*Assumptions!$C$7*(1+$G134-0.05*(1-$H134))^2+Assumptions!$C$6*Assumptions!$C$8*(1+Assumptions!$C$11)^2+Assumptions!$C$16*$H134+Assumptions!$C$6*Assumptions!$C$9*(1+Assumptions!$C$12)^2</f>
        <v>779.4960321</v>
      </c>
      <c r="N134" s="139">
        <f>Assumptions!$C$6*Assumptions!$C$7*(1+$G134-0.05*(1-$I134))^3+Assumptions!$C$6*Assumptions!$C$8*(1+Assumptions!$C$11)^3+Assumptions!$C$16*$I134+Assumptions!$C$6*Assumptions!$C$9*(1+Assumptions!$C$12)^3</f>
        <v>811.789879</v>
      </c>
      <c r="O134" s="139">
        <f>Assumptions!$C$6*Assumptions!$C$7*(1+$G134-0.05*(1-$J134))^4+Assumptions!$C$6*Assumptions!$C$8*(1+Assumptions!$C$11)^4+Assumptions!$C$16*$J134+Assumptions!$C$6*Assumptions!$C$9*(1+Assumptions!$C$12)^4</f>
        <v>709.7735497</v>
      </c>
      <c r="P134" s="139">
        <f>Assumptions!$C$6*Assumptions!$C$7*(1+$G134-0.05*(1-$K134))^5+Assumptions!$C$6*Assumptions!$C$8*(1+Assumptions!$C$11)^5+Assumptions!$C$16*$K134+Assumptions!$C$6*Assumptions!$C$9*(1+Assumptions!$C$12)^5</f>
        <v>722.7973571</v>
      </c>
      <c r="Q134" s="139">
        <f>($L134*(1-(Assumptions!$C$25+0.06*(1-1))-Assumptions!$C$27)-Assumptions!$C$28)-MAX(0,($L134*(1-(Assumptions!$C$25+0.06*(1-1))-Assumptions!$C$27)-Assumptions!$C$28)*Assumptions!$C$31)+Assumptions!$C$28-Assumptions!$C$29-$L134*Assumptions!$C$30</f>
        <v>93.52072972</v>
      </c>
      <c r="R134" s="139">
        <f>($M134*(1-(Assumptions!$C$25+0.06*(1-$H134))-Assumptions!$C$27)-Assumptions!$C$28)-MAX(0,($M134*(1-(Assumptions!$C$25+0.06*(1-$H134))-Assumptions!$C$27)-Assumptions!$C$28)*Assumptions!$C$31)+Assumptions!$C$28-Assumptions!$C$29-$M134*Assumptions!$C$30</f>
        <v>100.0916469</v>
      </c>
      <c r="S134" s="139">
        <f>($N134*(1-(Assumptions!$C$25+0.06*(1-$I134))-Assumptions!$C$27)-Assumptions!$C$28)-MAX(0,($N134*(1-(Assumptions!$C$25+0.06*(1-$I134))-Assumptions!$C$27)-Assumptions!$C$28)*Assumptions!$C$31)+Assumptions!$C$28-Assumptions!$C$29-$N134*Assumptions!$C$30</f>
        <v>107.034824</v>
      </c>
      <c r="T134" s="139">
        <f>($O134*(1-(Assumptions!$C$25+0.06*(1-$J134))-Assumptions!$C$27)-Assumptions!$C$28)-MAX(0,($O134*(1-(Assumptions!$C$25+0.06*(1-$J134))-Assumptions!$C$27)-Assumptions!$C$28)*Assumptions!$C$31)+Assumptions!$C$28-Assumptions!$C$29-$O134*Assumptions!$C$30</f>
        <v>43.24791642</v>
      </c>
      <c r="U134" s="139">
        <f>($P134*(1-(Assumptions!$C$25+0.06*(1-$K134))-Assumptions!$C$27)-Assumptions!$C$28)-MAX(0,($P134*(1-(Assumptions!$C$25+0.06*(1-$K134))-Assumptions!$C$27)-Assumptions!$C$28)*Assumptions!$C$31)+Assumptions!$C$28-Assumptions!$C$29-$P134*Assumptions!$C$30</f>
        <v>46.24339214</v>
      </c>
      <c r="V134" s="143">
        <f>(($Q134/(1+$D134)^1+$R134/(1+$D134)^2+$S134/(1+$D134)^3+$T134/(1+$D134)^4+$U134/(1+$D134)^5+$U134*(1+$E134)/($D134-$E134)/(1+$D134)^5)-Assumptions!$C$37)/Assumptions!$C$40/Assumptions!$C$38</f>
        <v>-0.5575867675</v>
      </c>
    </row>
    <row r="135" ht="12.0" customHeight="1">
      <c r="B135" s="139">
        <v>83.0</v>
      </c>
      <c r="C135" s="140">
        <f t="shared" si="6"/>
        <v>0.2542887961</v>
      </c>
      <c r="D135" s="141">
        <f t="shared" si="7"/>
        <v>0.09428460564</v>
      </c>
      <c r="E135" s="141">
        <f t="shared" si="8"/>
        <v>0.02254676556</v>
      </c>
      <c r="F135" s="140">
        <f t="shared" si="9"/>
        <v>0.9283014848</v>
      </c>
      <c r="G135" s="141">
        <f t="shared" si="10"/>
        <v>0.0786396599</v>
      </c>
      <c r="H135" s="142">
        <f t="shared" si="11"/>
        <v>1</v>
      </c>
      <c r="I135" s="142">
        <f t="shared" si="12"/>
        <v>1</v>
      </c>
      <c r="J135" s="142">
        <f t="shared" si="13"/>
        <v>1</v>
      </c>
      <c r="K135" s="142">
        <f t="shared" si="14"/>
        <v>0</v>
      </c>
      <c r="L135" s="139">
        <f>Assumptions!$C$6*Assumptions!$C$7*(1+$G135-0.05*(1-1))^1+Assumptions!$C$6*Assumptions!$C$8*(1+Assumptions!$C$11)^1+Assumptions!$C$16*1+Assumptions!$C$6*Assumptions!$C$9*(1+Assumptions!$C$12)^1</f>
        <v>752.9381095</v>
      </c>
      <c r="M135" s="139">
        <f>Assumptions!$C$6*Assumptions!$C$7*(1+$G135-0.05*(1-$H135))^2+Assumptions!$C$6*Assumptions!$C$8*(1+Assumptions!$C$11)^2+Assumptions!$C$16*$H135+Assumptions!$C$6*Assumptions!$C$9*(1+Assumptions!$C$12)^2</f>
        <v>788.0871795</v>
      </c>
      <c r="N135" s="139">
        <f>Assumptions!$C$6*Assumptions!$C$7*(1+$G135-0.05*(1-$I135))^3+Assumptions!$C$6*Assumptions!$C$8*(1+Assumptions!$C$11)^3+Assumptions!$C$16*$I135+Assumptions!$C$6*Assumptions!$C$9*(1+Assumptions!$C$12)^3</f>
        <v>825.6134933</v>
      </c>
      <c r="O135" s="139">
        <f>Assumptions!$C$6*Assumptions!$C$7*(1+$G135-0.05*(1-$J135))^4+Assumptions!$C$6*Assumptions!$C$8*(1+Assumptions!$C$11)^4+Assumptions!$C$16*$J135+Assumptions!$C$6*Assumptions!$C$9*(1+Assumptions!$C$12)^4</f>
        <v>865.6962595</v>
      </c>
      <c r="P135" s="139">
        <f>Assumptions!$C$6*Assumptions!$C$7*(1+$G135-0.05*(1-$K135))^5+Assumptions!$C$6*Assumptions!$C$8*(1+Assumptions!$C$11)^5+Assumptions!$C$16*$K135+Assumptions!$C$6*Assumptions!$C$9*(1+Assumptions!$C$12)^5</f>
        <v>744.7013838</v>
      </c>
      <c r="Q135" s="139">
        <f>($L135*(1-(Assumptions!$C$25+0.06*(1-1))-Assumptions!$C$27)-Assumptions!$C$28)-MAX(0,($L135*(1-(Assumptions!$C$25+0.06*(1-1))-Assumptions!$C$27)-Assumptions!$C$28)*Assumptions!$C$31)+Assumptions!$C$28-Assumptions!$C$29-$L135*Assumptions!$C$30</f>
        <v>94.38169355</v>
      </c>
      <c r="R135" s="139">
        <f>($M135*(1-(Assumptions!$C$25+0.06*(1-$H135))-Assumptions!$C$27)-Assumptions!$C$28)-MAX(0,($M135*(1-(Assumptions!$C$25+0.06*(1-$H135))-Assumptions!$C$27)-Assumptions!$C$28)*Assumptions!$C$31)+Assumptions!$C$28-Assumptions!$C$29-$M135*Assumptions!$C$30</f>
        <v>101.9387436</v>
      </c>
      <c r="S135" s="139">
        <f>($N135*(1-(Assumptions!$C$25+0.06*(1-$I135))-Assumptions!$C$27)-Assumptions!$C$28)-MAX(0,($N135*(1-(Assumptions!$C$25+0.06*(1-$I135))-Assumptions!$C$27)-Assumptions!$C$28)*Assumptions!$C$31)+Assumptions!$C$28-Assumptions!$C$29-$N135*Assumptions!$C$30</f>
        <v>110.0069011</v>
      </c>
      <c r="T135" s="139">
        <f>($O135*(1-(Assumptions!$C$25+0.06*(1-$J135))-Assumptions!$C$27)-Assumptions!$C$28)-MAX(0,($O135*(1-(Assumptions!$C$25+0.06*(1-$J135))-Assumptions!$C$27)-Assumptions!$C$28)*Assumptions!$C$31)+Assumptions!$C$28-Assumptions!$C$29-$O135*Assumptions!$C$30</f>
        <v>118.6246958</v>
      </c>
      <c r="U135" s="139">
        <f>($P135*(1-(Assumptions!$C$25+0.06*(1-$K135))-Assumptions!$C$27)-Assumptions!$C$28)-MAX(0,($P135*(1-(Assumptions!$C$25+0.06*(1-$K135))-Assumptions!$C$27)-Assumptions!$C$28)*Assumptions!$C$31)+Assumptions!$C$28-Assumptions!$C$29-$P135*Assumptions!$C$30</f>
        <v>51.28131827</v>
      </c>
      <c r="V135" s="143">
        <f>(($Q135/(1+$D135)^1+$R135/(1+$D135)^2+$S135/(1+$D135)^3+$T135/(1+$D135)^4+$U135/(1+$D135)^5+$U135*(1+$E135)/($D135-$E135)/(1+$D135)^5)-Assumptions!$C$37)/Assumptions!$C$40/Assumptions!$C$38</f>
        <v>1.130692906</v>
      </c>
    </row>
    <row r="136" ht="12.0" customHeight="1">
      <c r="B136" s="139">
        <v>84.0</v>
      </c>
      <c r="C136" s="140">
        <f t="shared" si="6"/>
        <v>0.7021771185</v>
      </c>
      <c r="D136" s="141">
        <f t="shared" si="7"/>
        <v>0.1020741098</v>
      </c>
      <c r="E136" s="141">
        <f t="shared" si="8"/>
        <v>0.02106809933</v>
      </c>
      <c r="F136" s="140">
        <f t="shared" si="9"/>
        <v>0.7772551342</v>
      </c>
      <c r="G136" s="141">
        <f t="shared" si="10"/>
        <v>0.06997649485</v>
      </c>
      <c r="H136" s="142">
        <f t="shared" si="11"/>
        <v>0</v>
      </c>
      <c r="I136" s="142">
        <f t="shared" si="12"/>
        <v>0</v>
      </c>
      <c r="J136" s="142">
        <f t="shared" si="13"/>
        <v>1</v>
      </c>
      <c r="K136" s="142">
        <f t="shared" si="14"/>
        <v>1</v>
      </c>
      <c r="L136" s="139">
        <f>Assumptions!$C$6*Assumptions!$C$7*(1+$G136-0.05*(1-1))^1+Assumptions!$C$6*Assumptions!$C$8*(1+Assumptions!$C$11)^1+Assumptions!$C$16*1+Assumptions!$C$6*Assumptions!$C$9*(1+Assumptions!$C$12)^1</f>
        <v>750.0220882</v>
      </c>
      <c r="M136" s="139">
        <f>Assumptions!$C$6*Assumptions!$C$7*(1+$G136-0.05*(1-$H136))^2+Assumptions!$C$6*Assumptions!$C$8*(1+Assumptions!$C$11)^2+Assumptions!$C$16*$H136+Assumptions!$C$6*Assumptions!$C$9*(1+Assumptions!$C$12)^2</f>
        <v>686.64786</v>
      </c>
      <c r="N136" s="139">
        <f>Assumptions!$C$6*Assumptions!$C$7*(1+$G136-0.05*(1-$I136))^3+Assumptions!$C$6*Assumptions!$C$8*(1+Assumptions!$C$11)^3+Assumptions!$C$16*$I136+Assumptions!$C$6*Assumptions!$C$9*(1+Assumptions!$C$12)^3</f>
        <v>700.3725862</v>
      </c>
      <c r="O136" s="139">
        <f>Assumptions!$C$6*Assumptions!$C$7*(1+$G136-0.05*(1-$J136))^4+Assumptions!$C$6*Assumptions!$C$8*(1+Assumptions!$C$11)^4+Assumptions!$C$16*$J136+Assumptions!$C$6*Assumptions!$C$9*(1+Assumptions!$C$12)^4</f>
        <v>851.2337294</v>
      </c>
      <c r="P136" s="139">
        <f>Assumptions!$C$6*Assumptions!$C$7*(1+$G136-0.05*(1-$K136))^5+Assumptions!$C$6*Assumptions!$C$8*(1+Assumptions!$C$11)^5+Assumptions!$C$16*$K136+Assumptions!$C$6*Assumptions!$C$9*(1+Assumptions!$C$12)^5</f>
        <v>889.1067926</v>
      </c>
      <c r="Q136" s="139">
        <f>($L136*(1-(Assumptions!$C$25+0.06*(1-1))-Assumptions!$C$27)-Assumptions!$C$28)-MAX(0,($L136*(1-(Assumptions!$C$25+0.06*(1-1))-Assumptions!$C$27)-Assumptions!$C$28)*Assumptions!$C$31)+Assumptions!$C$28-Assumptions!$C$29-$L136*Assumptions!$C$30</f>
        <v>93.75474896</v>
      </c>
      <c r="R136" s="139">
        <f>($M136*(1-(Assumptions!$C$25+0.06*(1-$H136))-Assumptions!$C$27)-Assumptions!$C$28)-MAX(0,($M136*(1-(Assumptions!$C$25+0.06*(1-$H136))-Assumptions!$C$27)-Assumptions!$C$28)*Assumptions!$C$31)+Assumptions!$C$28-Assumptions!$C$29-$M136*Assumptions!$C$30</f>
        <v>37.92900781</v>
      </c>
      <c r="S136" s="139">
        <f>($N136*(1-(Assumptions!$C$25+0.06*(1-$I136))-Assumptions!$C$27)-Assumptions!$C$28)-MAX(0,($N136*(1-(Assumptions!$C$25+0.06*(1-$I136))-Assumptions!$C$27)-Assumptions!$C$28)*Assumptions!$C$31)+Assumptions!$C$28-Assumptions!$C$29-$N136*Assumptions!$C$30</f>
        <v>41.08569482</v>
      </c>
      <c r="T136" s="139">
        <f>($O136*(1-(Assumptions!$C$25+0.06*(1-$J136))-Assumptions!$C$27)-Assumptions!$C$28)-MAX(0,($O136*(1-(Assumptions!$C$25+0.06*(1-$J136))-Assumptions!$C$27)-Assumptions!$C$28)*Assumptions!$C$31)+Assumptions!$C$28-Assumptions!$C$29-$O136*Assumptions!$C$30</f>
        <v>115.5152518</v>
      </c>
      <c r="U136" s="139">
        <f>($P136*(1-(Assumptions!$C$25+0.06*(1-$K136))-Assumptions!$C$27)-Assumptions!$C$28)-MAX(0,($P136*(1-(Assumptions!$C$25+0.06*(1-$K136))-Assumptions!$C$27)-Assumptions!$C$28)*Assumptions!$C$31)+Assumptions!$C$28-Assumptions!$C$29-$P136*Assumptions!$C$30</f>
        <v>123.6579604</v>
      </c>
      <c r="V136" s="143">
        <f>(($Q136/(1+$D136)^1+$R136/(1+$D136)^2+$S136/(1+$D136)^3+$T136/(1+$D136)^4+$U136/(1+$D136)^5+$U136*(1+$E136)/($D136-$E136)/(1+$D136)^5)-Assumptions!$C$37)/Assumptions!$C$40/Assumptions!$C$38</f>
        <v>4.435871332</v>
      </c>
    </row>
    <row r="137" ht="12.0" customHeight="1">
      <c r="B137" s="139">
        <v>85.0</v>
      </c>
      <c r="C137" s="140">
        <f t="shared" si="6"/>
        <v>0.02253651757</v>
      </c>
      <c r="D137" s="141">
        <f t="shared" si="7"/>
        <v>0.08776403319</v>
      </c>
      <c r="E137" s="141">
        <f t="shared" si="8"/>
        <v>0.01051114754</v>
      </c>
      <c r="F137" s="140">
        <f t="shared" si="9"/>
        <v>0.9450361771</v>
      </c>
      <c r="G137" s="141">
        <f t="shared" si="10"/>
        <v>0.08005339851</v>
      </c>
      <c r="H137" s="142">
        <f t="shared" si="11"/>
        <v>0</v>
      </c>
      <c r="I137" s="142">
        <f t="shared" si="12"/>
        <v>0</v>
      </c>
      <c r="J137" s="142">
        <f t="shared" si="13"/>
        <v>1</v>
      </c>
      <c r="K137" s="142">
        <f t="shared" si="14"/>
        <v>1</v>
      </c>
      <c r="L137" s="139">
        <f>Assumptions!$C$6*Assumptions!$C$7*(1+$G137-0.05*(1-1))^1+Assumptions!$C$6*Assumptions!$C$8*(1+Assumptions!$C$11)^1+Assumptions!$C$16*1+Assumptions!$C$6*Assumptions!$C$9*(1+Assumptions!$C$12)^1</f>
        <v>753.4139739</v>
      </c>
      <c r="M137" s="139">
        <f>Assumptions!$C$6*Assumptions!$C$7*(1+$G137-0.05*(1-$H137))^2+Assumptions!$C$6*Assumptions!$C$8*(1+Assumptions!$C$11)^2+Assumptions!$C$16*$H137+Assumptions!$C$6*Assumptions!$C$9*(1+Assumptions!$C$12)^2</f>
        <v>693.6013273</v>
      </c>
      <c r="N137" s="139">
        <f>Assumptions!$C$6*Assumptions!$C$7*(1+$G137-0.05*(1-$I137))^3+Assumptions!$C$6*Assumptions!$C$8*(1+Assumptions!$C$11)^3+Assumptions!$C$16*$I137+Assumptions!$C$6*Assumptions!$C$9*(1+Assumptions!$C$12)^3</f>
        <v>711.063784</v>
      </c>
      <c r="O137" s="139">
        <f>Assumptions!$C$6*Assumptions!$C$7*(1+$G137-0.05*(1-$J137))^4+Assumptions!$C$6*Assumptions!$C$8*(1+Assumptions!$C$11)^4+Assumptions!$C$16*$J137+Assumptions!$C$6*Assumptions!$C$9*(1+Assumptions!$C$12)^4</f>
        <v>868.0897191</v>
      </c>
      <c r="P137" s="139">
        <f>Assumptions!$C$6*Assumptions!$C$7*(1+$G137-0.05*(1-$K137))^5+Assumptions!$C$6*Assumptions!$C$8*(1+Assumptions!$C$11)^5+Assumptions!$C$16*$K137+Assumptions!$C$6*Assumptions!$C$9*(1+Assumptions!$C$12)^5</f>
        <v>911.7578412</v>
      </c>
      <c r="Q137" s="139">
        <f>($L137*(1-(Assumptions!$C$25+0.06*(1-1))-Assumptions!$C$27)-Assumptions!$C$28)-MAX(0,($L137*(1-(Assumptions!$C$25+0.06*(1-1))-Assumptions!$C$27)-Assumptions!$C$28)*Assumptions!$C$31)+Assumptions!$C$28-Assumptions!$C$29-$L137*Assumptions!$C$30</f>
        <v>94.4840044</v>
      </c>
      <c r="R137" s="139">
        <f>($M137*(1-(Assumptions!$C$25+0.06*(1-$H137))-Assumptions!$C$27)-Assumptions!$C$28)-MAX(0,($M137*(1-(Assumptions!$C$25+0.06*(1-$H137))-Assumptions!$C$27)-Assumptions!$C$28)*Assumptions!$C$31)+Assumptions!$C$28-Assumptions!$C$29-$M137*Assumptions!$C$30</f>
        <v>39.52830527</v>
      </c>
      <c r="S137" s="139">
        <f>($N137*(1-(Assumptions!$C$25+0.06*(1-$I137))-Assumptions!$C$27)-Assumptions!$C$28)-MAX(0,($N137*(1-(Assumptions!$C$25+0.06*(1-$I137))-Assumptions!$C$27)-Assumptions!$C$28)*Assumptions!$C$31)+Assumptions!$C$28-Assumptions!$C$29-$N137*Assumptions!$C$30</f>
        <v>43.54467032</v>
      </c>
      <c r="T137" s="139">
        <f>($O137*(1-(Assumptions!$C$25+0.06*(1-$J137))-Assumptions!$C$27)-Assumptions!$C$28)-MAX(0,($O137*(1-(Assumptions!$C$25+0.06*(1-$J137))-Assumptions!$C$27)-Assumptions!$C$28)*Assumptions!$C$31)+Assumptions!$C$28-Assumptions!$C$29-$O137*Assumptions!$C$30</f>
        <v>119.1392896</v>
      </c>
      <c r="U137" s="139">
        <f>($P137*(1-(Assumptions!$C$25+0.06*(1-$K137))-Assumptions!$C$27)-Assumptions!$C$28)-MAX(0,($P137*(1-(Assumptions!$C$25+0.06*(1-$K137))-Assumptions!$C$27)-Assumptions!$C$28)*Assumptions!$C$31)+Assumptions!$C$28-Assumptions!$C$29-$P137*Assumptions!$C$30</f>
        <v>128.5279359</v>
      </c>
      <c r="V137" s="143">
        <f>(($Q137/(1+$D137)^1+$R137/(1+$D137)^2+$S137/(1+$D137)^3+$T137/(1+$D137)^4+$U137/(1+$D137)^5+$U137*(1+$E137)/($D137-$E137)/(1+$D137)^5)-Assumptions!$C$37)/Assumptions!$C$40/Assumptions!$C$38</f>
        <v>5.742520686</v>
      </c>
    </row>
    <row r="138" ht="12.0" customHeight="1">
      <c r="B138" s="139">
        <v>86.0</v>
      </c>
      <c r="C138" s="140">
        <f t="shared" si="6"/>
        <v>0.6054708771</v>
      </c>
      <c r="D138" s="141">
        <f t="shared" si="7"/>
        <v>0.1001228081</v>
      </c>
      <c r="E138" s="141">
        <f t="shared" si="8"/>
        <v>0.01544928378</v>
      </c>
      <c r="F138" s="140">
        <f t="shared" si="9"/>
        <v>0.04346673127</v>
      </c>
      <c r="G138" s="141">
        <f t="shared" si="10"/>
        <v>0.03884534433</v>
      </c>
      <c r="H138" s="142">
        <f t="shared" si="11"/>
        <v>0</v>
      </c>
      <c r="I138" s="142">
        <f t="shared" si="12"/>
        <v>1</v>
      </c>
      <c r="J138" s="142">
        <f t="shared" si="13"/>
        <v>0</v>
      </c>
      <c r="K138" s="142">
        <f t="shared" si="14"/>
        <v>1</v>
      </c>
      <c r="L138" s="139">
        <f>Assumptions!$C$6*Assumptions!$C$7*(1+$G138-0.05*(1-1))^1+Assumptions!$C$6*Assumptions!$C$8*(1+Assumptions!$C$11)^1+Assumptions!$C$16*1+Assumptions!$C$6*Assumptions!$C$9*(1+Assumptions!$C$12)^1</f>
        <v>739.5433429</v>
      </c>
      <c r="M138" s="139">
        <f>Assumptions!$C$6*Assumptions!$C$7*(1+$G138-0.05*(1-$H138))^2+Assumptions!$C$6*Assumptions!$C$8*(1+Assumptions!$C$11)^2+Assumptions!$C$16*$H138+Assumptions!$C$6*Assumptions!$C$9*(1+Assumptions!$C$12)^2</f>
        <v>665.5979277</v>
      </c>
      <c r="N138" s="139">
        <f>Assumptions!$C$6*Assumptions!$C$7*(1+$G138-0.05*(1-$I138))^3+Assumptions!$C$6*Assumptions!$C$8*(1+Assumptions!$C$11)^3+Assumptions!$C$16*$I138+Assumptions!$C$6*Assumptions!$C$9*(1+Assumptions!$C$12)^3</f>
        <v>780.5641747</v>
      </c>
      <c r="O138" s="139">
        <f>Assumptions!$C$6*Assumptions!$C$7*(1+$G138-0.05*(1-$J138))^4+Assumptions!$C$6*Assumptions!$C$8*(1+Assumptions!$C$11)^4+Assumptions!$C$16*$J138+Assumptions!$C$6*Assumptions!$C$9*(1+Assumptions!$C$12)^4</f>
        <v>671.8893601</v>
      </c>
      <c r="P138" s="139">
        <f>Assumptions!$C$6*Assumptions!$C$7*(1+$G138-0.05*(1-$K138))^5+Assumptions!$C$6*Assumptions!$C$8*(1+Assumptions!$C$11)^5+Assumptions!$C$16*$K138+Assumptions!$C$6*Assumptions!$C$9*(1+Assumptions!$C$12)^5</f>
        <v>824.3167719</v>
      </c>
      <c r="Q138" s="139">
        <f>($L138*(1-(Assumptions!$C$25+0.06*(1-1))-Assumptions!$C$27)-Assumptions!$C$28)-MAX(0,($L138*(1-(Assumptions!$C$25+0.06*(1-1))-Assumptions!$C$27)-Assumptions!$C$28)*Assumptions!$C$31)+Assumptions!$C$28-Assumptions!$C$29-$L138*Assumptions!$C$30</f>
        <v>91.50181872</v>
      </c>
      <c r="R138" s="139">
        <f>($M138*(1-(Assumptions!$C$25+0.06*(1-$H138))-Assumptions!$C$27)-Assumptions!$C$28)-MAX(0,($M138*(1-(Assumptions!$C$25+0.06*(1-$H138))-Assumptions!$C$27)-Assumptions!$C$28)*Assumptions!$C$31)+Assumptions!$C$28-Assumptions!$C$29-$M138*Assumptions!$C$30</f>
        <v>33.08752337</v>
      </c>
      <c r="S138" s="139">
        <f>($N138*(1-(Assumptions!$C$25+0.06*(1-$I138))-Assumptions!$C$27)-Assumptions!$C$28)-MAX(0,($N138*(1-(Assumptions!$C$25+0.06*(1-$I138))-Assumptions!$C$27)-Assumptions!$C$28)*Assumptions!$C$31)+Assumptions!$C$28-Assumptions!$C$29-$N138*Assumptions!$C$30</f>
        <v>100.3212976</v>
      </c>
      <c r="T138" s="139">
        <f>($O138*(1-(Assumptions!$C$25+0.06*(1-$J138))-Assumptions!$C$27)-Assumptions!$C$28)-MAX(0,($O138*(1-(Assumptions!$C$25+0.06*(1-$J138))-Assumptions!$C$27)-Assumptions!$C$28)*Assumptions!$C$31)+Assumptions!$C$28-Assumptions!$C$29-$O138*Assumptions!$C$30</f>
        <v>34.53455282</v>
      </c>
      <c r="U138" s="139">
        <f>($P138*(1-(Assumptions!$C$25+0.06*(1-$K138))-Assumptions!$C$27)-Assumptions!$C$28)-MAX(0,($P138*(1-(Assumptions!$C$25+0.06*(1-$K138))-Assumptions!$C$27)-Assumptions!$C$28)*Assumptions!$C$31)+Assumptions!$C$28-Assumptions!$C$29-$P138*Assumptions!$C$30</f>
        <v>109.728106</v>
      </c>
      <c r="V138" s="143">
        <f>(($Q138/(1+$D138)^1+$R138/(1+$D138)^2+$S138/(1+$D138)^3+$T138/(1+$D138)^4+$U138/(1+$D138)^5+$U138*(1+$E138)/($D138-$E138)/(1+$D138)^5)-Assumptions!$C$37)/Assumptions!$C$40/Assumptions!$C$38</f>
        <v>3.140762088</v>
      </c>
    </row>
    <row r="139" ht="12.0" customHeight="1">
      <c r="B139" s="139">
        <v>87.0</v>
      </c>
      <c r="C139" s="140">
        <f t="shared" si="6"/>
        <v>0.01714031522</v>
      </c>
      <c r="D139" s="141">
        <f t="shared" si="7"/>
        <v>0.08741051174</v>
      </c>
      <c r="E139" s="141">
        <f t="shared" si="8"/>
        <v>0.02008603042</v>
      </c>
      <c r="F139" s="140">
        <f t="shared" si="9"/>
        <v>0.9078339343</v>
      </c>
      <c r="G139" s="141">
        <f t="shared" si="10"/>
        <v>0.0771198246</v>
      </c>
      <c r="H139" s="142">
        <f t="shared" si="11"/>
        <v>0</v>
      </c>
      <c r="I139" s="142">
        <f t="shared" si="12"/>
        <v>1</v>
      </c>
      <c r="J139" s="142">
        <f t="shared" si="13"/>
        <v>1</v>
      </c>
      <c r="K139" s="142">
        <f t="shared" si="14"/>
        <v>1</v>
      </c>
      <c r="L139" s="139">
        <f>Assumptions!$C$6*Assumptions!$C$7*(1+$G139-0.05*(1-1))^1+Assumptions!$C$6*Assumptions!$C$8*(1+Assumptions!$C$11)^1+Assumptions!$C$16*1+Assumptions!$C$6*Assumptions!$C$9*(1+Assumptions!$C$12)^1</f>
        <v>752.426533</v>
      </c>
      <c r="M139" s="139">
        <f>Assumptions!$C$6*Assumptions!$C$7*(1+$G139-0.05*(1-$H139))^2+Assumptions!$C$6*Assumptions!$C$8*(1+Assumptions!$C$11)^2+Assumptions!$C$16*$H139+Assumptions!$C$6*Assumptions!$C$9*(1+Assumptions!$C$12)^2</f>
        <v>691.5699901</v>
      </c>
      <c r="N139" s="139">
        <f>Assumptions!$C$6*Assumptions!$C$7*(1+$G139-0.05*(1-$I139))^3+Assumptions!$C$6*Assumptions!$C$8*(1+Assumptions!$C$11)^3+Assumptions!$C$16*$I139+Assumptions!$C$6*Assumptions!$C$9*(1+Assumptions!$C$12)^3</f>
        <v>823.8304061</v>
      </c>
      <c r="O139" s="139">
        <f>Assumptions!$C$6*Assumptions!$C$7*(1+$G139-0.05*(1-$J139))^4+Assumptions!$C$6*Assumptions!$C$8*(1+Assumptions!$C$11)^4+Assumptions!$C$16*$J139+Assumptions!$C$6*Assumptions!$C$9*(1+Assumptions!$C$12)^4</f>
        <v>863.1336539</v>
      </c>
      <c r="P139" s="139">
        <f>Assumptions!$C$6*Assumptions!$C$7*(1+$G139-0.05*(1-$K139))^5+Assumptions!$C$6*Assumptions!$C$8*(1+Assumptions!$C$11)^5+Assumptions!$C$16*$K139+Assumptions!$C$6*Assumptions!$C$9*(1+Assumptions!$C$12)^5</f>
        <v>905.0758968</v>
      </c>
      <c r="Q139" s="139">
        <f>($L139*(1-(Assumptions!$C$25+0.06*(1-1))-Assumptions!$C$27)-Assumptions!$C$28)-MAX(0,($L139*(1-(Assumptions!$C$25+0.06*(1-1))-Assumptions!$C$27)-Assumptions!$C$28)*Assumptions!$C$31)+Assumptions!$C$28-Assumptions!$C$29-$L139*Assumptions!$C$30</f>
        <v>94.27170459</v>
      </c>
      <c r="R139" s="139">
        <f>($M139*(1-(Assumptions!$C$25+0.06*(1-$H139))-Assumptions!$C$27)-Assumptions!$C$28)-MAX(0,($M139*(1-(Assumptions!$C$25+0.06*(1-$H139))-Assumptions!$C$27)-Assumptions!$C$28)*Assumptions!$C$31)+Assumptions!$C$28-Assumptions!$C$29-$M139*Assumptions!$C$30</f>
        <v>39.06109773</v>
      </c>
      <c r="S139" s="139">
        <f>($N139*(1-(Assumptions!$C$25+0.06*(1-$I139))-Assumptions!$C$27)-Assumptions!$C$28)-MAX(0,($N139*(1-(Assumptions!$C$25+0.06*(1-$I139))-Assumptions!$C$27)-Assumptions!$C$28)*Assumptions!$C$31)+Assumptions!$C$28-Assumptions!$C$29-$N139*Assumptions!$C$30</f>
        <v>109.6235373</v>
      </c>
      <c r="T139" s="139">
        <f>($O139*(1-(Assumptions!$C$25+0.06*(1-$J139))-Assumptions!$C$27)-Assumptions!$C$28)-MAX(0,($O139*(1-(Assumptions!$C$25+0.06*(1-$J139))-Assumptions!$C$27)-Assumptions!$C$28)*Assumptions!$C$31)+Assumptions!$C$28-Assumptions!$C$29-$O139*Assumptions!$C$30</f>
        <v>118.0737356</v>
      </c>
      <c r="U139" s="139">
        <f>($P139*(1-(Assumptions!$C$25+0.06*(1-$K139))-Assumptions!$C$27)-Assumptions!$C$28)-MAX(0,($P139*(1-(Assumptions!$C$25+0.06*(1-$K139))-Assumptions!$C$27)-Assumptions!$C$28)*Assumptions!$C$31)+Assumptions!$C$28-Assumptions!$C$29-$P139*Assumptions!$C$30</f>
        <v>127.0913178</v>
      </c>
      <c r="V139" s="143">
        <f>(($Q139/(1+$D139)^1+$R139/(1+$D139)^2+$S139/(1+$D139)^3+$T139/(1+$D139)^4+$U139/(1+$D139)^5+$U139*(1+$E139)/($D139-$E139)/(1+$D139)^5)-Assumptions!$C$37)/Assumptions!$C$40/Assumptions!$C$38</f>
        <v>7.39689346</v>
      </c>
    </row>
    <row r="140" ht="12.0" customHeight="1">
      <c r="B140" s="139">
        <v>88.0</v>
      </c>
      <c r="C140" s="140">
        <f t="shared" si="6"/>
        <v>0.3889734684</v>
      </c>
      <c r="D140" s="141">
        <f t="shared" si="7"/>
        <v>0.09648552231</v>
      </c>
      <c r="E140" s="141">
        <f t="shared" si="8"/>
        <v>0.02203220397</v>
      </c>
      <c r="F140" s="140">
        <f t="shared" si="9"/>
        <v>0.2822064687</v>
      </c>
      <c r="G140" s="141">
        <f t="shared" si="10"/>
        <v>0.05253822627</v>
      </c>
      <c r="H140" s="142">
        <f t="shared" si="11"/>
        <v>1</v>
      </c>
      <c r="I140" s="142">
        <f t="shared" si="12"/>
        <v>0</v>
      </c>
      <c r="J140" s="142">
        <f t="shared" si="13"/>
        <v>1</v>
      </c>
      <c r="K140" s="142">
        <f t="shared" si="14"/>
        <v>0</v>
      </c>
      <c r="L140" s="139">
        <f>Assumptions!$C$6*Assumptions!$C$7*(1+$G140-0.05*(1-1))^1+Assumptions!$C$6*Assumptions!$C$8*(1+Assumptions!$C$11)^1+Assumptions!$C$16*1+Assumptions!$C$6*Assumptions!$C$9*(1+Assumptions!$C$12)^1</f>
        <v>744.152367</v>
      </c>
      <c r="M140" s="139">
        <f>Assumptions!$C$6*Assumptions!$C$7*(1+$G140-0.05*(1-$H140))^2+Assumptions!$C$6*Assumptions!$C$8*(1+Assumptions!$C$11)^2+Assumptions!$C$16*$H140+Assumptions!$C$6*Assumptions!$C$9*(1+Assumptions!$C$12)^2</f>
        <v>769.3631992</v>
      </c>
      <c r="N140" s="139">
        <f>Assumptions!$C$6*Assumptions!$C$7*(1+$G140-0.05*(1-$I140))^3+Assumptions!$C$6*Assumptions!$C$8*(1+Assumptions!$C$11)^3+Assumptions!$C$16*$I140+Assumptions!$C$6*Assumptions!$C$9*(1+Assumptions!$C$12)^3</f>
        <v>682.3642793</v>
      </c>
      <c r="O140" s="139">
        <f>Assumptions!$C$6*Assumptions!$C$7*(1+$G140-0.05*(1-$J140))^4+Assumptions!$C$6*Assumptions!$C$8*(1+Assumptions!$C$11)^4+Assumptions!$C$16*$J140+Assumptions!$C$6*Assumptions!$C$9*(1+Assumptions!$C$12)^4</f>
        <v>823.1684788</v>
      </c>
      <c r="P140" s="139">
        <f>Assumptions!$C$6*Assumptions!$C$7*(1+$G140-0.05*(1-$K140))^5+Assumptions!$C$6*Assumptions!$C$8*(1+Assumptions!$C$11)^5+Assumptions!$C$16*$K140+Assumptions!$C$6*Assumptions!$C$9*(1+Assumptions!$C$12)^5</f>
        <v>697.9533075</v>
      </c>
      <c r="Q140" s="139">
        <f>($L140*(1-(Assumptions!$C$25+0.06*(1-1))-Assumptions!$C$27)-Assumptions!$C$28)-MAX(0,($L140*(1-(Assumptions!$C$25+0.06*(1-1))-Assumptions!$C$27)-Assumptions!$C$28)*Assumptions!$C$31)+Assumptions!$C$28-Assumptions!$C$29-$L140*Assumptions!$C$30</f>
        <v>92.4927589</v>
      </c>
      <c r="R140" s="139">
        <f>($M140*(1-(Assumptions!$C$25+0.06*(1-$H140))-Assumptions!$C$27)-Assumptions!$C$28)-MAX(0,($M140*(1-(Assumptions!$C$25+0.06*(1-$H140))-Assumptions!$C$27)-Assumptions!$C$28)*Assumptions!$C$31)+Assumptions!$C$28-Assumptions!$C$29-$M140*Assumptions!$C$30</f>
        <v>97.91308783</v>
      </c>
      <c r="S140" s="139">
        <f>($N140*(1-(Assumptions!$C$25+0.06*(1-$I140))-Assumptions!$C$27)-Assumptions!$C$28)-MAX(0,($N140*(1-(Assumptions!$C$25+0.06*(1-$I140))-Assumptions!$C$27)-Assumptions!$C$28)*Assumptions!$C$31)+Assumptions!$C$28-Assumptions!$C$29-$N140*Assumptions!$C$30</f>
        <v>36.94378424</v>
      </c>
      <c r="T140" s="139">
        <f>($O140*(1-(Assumptions!$C$25+0.06*(1-$J140))-Assumptions!$C$27)-Assumptions!$C$28)-MAX(0,($O140*(1-(Assumptions!$C$25+0.06*(1-$J140))-Assumptions!$C$27)-Assumptions!$C$28)*Assumptions!$C$31)+Assumptions!$C$28-Assumptions!$C$29-$O140*Assumptions!$C$30</f>
        <v>109.4812229</v>
      </c>
      <c r="U140" s="139">
        <f>($P140*(1-(Assumptions!$C$25+0.06*(1-$K140))-Assumptions!$C$27)-Assumptions!$C$28)-MAX(0,($P140*(1-(Assumptions!$C$25+0.06*(1-$K140))-Assumptions!$C$27)-Assumptions!$C$28)*Assumptions!$C$31)+Assumptions!$C$28-Assumptions!$C$29-$P140*Assumptions!$C$30</f>
        <v>40.52926071</v>
      </c>
      <c r="V140" s="143">
        <f>(($Q140/(1+$D140)^1+$R140/(1+$D140)^2+$S140/(1+$D140)^3+$T140/(1+$D140)^4+$U140/(1+$D140)^5+$U140*(1+$E140)/($D140-$E140)/(1+$D140)^5)-Assumptions!$C$37)/Assumptions!$C$40/Assumptions!$C$38</f>
        <v>-0.3554579581</v>
      </c>
    </row>
    <row r="141" ht="12.0" customHeight="1">
      <c r="B141" s="139">
        <v>89.0</v>
      </c>
      <c r="C141" s="140">
        <f t="shared" si="6"/>
        <v>0.7049499146</v>
      </c>
      <c r="D141" s="141">
        <f t="shared" si="7"/>
        <v>0.102134422</v>
      </c>
      <c r="E141" s="141">
        <f t="shared" si="8"/>
        <v>0.02561330321</v>
      </c>
      <c r="F141" s="140">
        <f t="shared" si="9"/>
        <v>0.6226790715</v>
      </c>
      <c r="G141" s="141">
        <f t="shared" si="10"/>
        <v>0.06393896258</v>
      </c>
      <c r="H141" s="142">
        <f t="shared" si="11"/>
        <v>0</v>
      </c>
      <c r="I141" s="142">
        <f t="shared" si="12"/>
        <v>1</v>
      </c>
      <c r="J141" s="142">
        <f t="shared" si="13"/>
        <v>1</v>
      </c>
      <c r="K141" s="142">
        <f t="shared" si="14"/>
        <v>1</v>
      </c>
      <c r="L141" s="139">
        <f>Assumptions!$C$6*Assumptions!$C$7*(1+$G141-0.05*(1-1))^1+Assumptions!$C$6*Assumptions!$C$8*(1+Assumptions!$C$11)^1+Assumptions!$C$16*1+Assumptions!$C$6*Assumptions!$C$9*(1+Assumptions!$C$12)^1</f>
        <v>747.9898548</v>
      </c>
      <c r="M141" s="139">
        <f>Assumptions!$C$6*Assumptions!$C$7*(1+$G141-0.05*(1-$H141))^2+Assumptions!$C$6*Assumptions!$C$8*(1+Assumptions!$C$11)^2+Assumptions!$C$16*$H141+Assumptions!$C$6*Assumptions!$C$9*(1+Assumptions!$C$12)^2</f>
        <v>682.5144692</v>
      </c>
      <c r="N141" s="139">
        <f>Assumptions!$C$6*Assumptions!$C$7*(1+$G141-0.05*(1-$I141))^3+Assumptions!$C$6*Assumptions!$C$8*(1+Assumptions!$C$11)^3+Assumptions!$C$16*$I141+Assumptions!$C$6*Assumptions!$C$9*(1+Assumptions!$C$12)^3</f>
        <v>808.5764723</v>
      </c>
      <c r="O141" s="139">
        <f>Assumptions!$C$6*Assumptions!$C$7*(1+$G141-0.05*(1-$J141))^4+Assumptions!$C$6*Assumptions!$C$8*(1+Assumptions!$C$11)^4+Assumptions!$C$16*$J141+Assumptions!$C$6*Assumptions!$C$9*(1+Assumptions!$C$12)^4</f>
        <v>841.3600577</v>
      </c>
      <c r="P141" s="139">
        <f>Assumptions!$C$6*Assumptions!$C$7*(1+$G141-0.05*(1-$K141))^5+Assumptions!$C$6*Assumptions!$C$8*(1+Assumptions!$C$11)^5+Assumptions!$C$16*$K141+Assumptions!$C$6*Assumptions!$C$9*(1+Assumptions!$C$12)^5</f>
        <v>875.9381992</v>
      </c>
      <c r="Q141" s="139">
        <f>($L141*(1-(Assumptions!$C$25+0.06*(1-1))-Assumptions!$C$27)-Assumptions!$C$28)-MAX(0,($L141*(1-(Assumptions!$C$25+0.06*(1-1))-Assumptions!$C$27)-Assumptions!$C$28)*Assumptions!$C$31)+Assumptions!$C$28-Assumptions!$C$29-$L141*Assumptions!$C$30</f>
        <v>93.31781878</v>
      </c>
      <c r="R141" s="139">
        <f>($M141*(1-(Assumptions!$C$25+0.06*(1-$H141))-Assumptions!$C$27)-Assumptions!$C$28)-MAX(0,($M141*(1-(Assumptions!$C$25+0.06*(1-$H141))-Assumptions!$C$27)-Assumptions!$C$28)*Assumptions!$C$31)+Assumptions!$C$28-Assumptions!$C$29-$M141*Assumptions!$C$30</f>
        <v>36.97832792</v>
      </c>
      <c r="S141" s="139">
        <f>($N141*(1-(Assumptions!$C$25+0.06*(1-$I141))-Assumptions!$C$27)-Assumptions!$C$28)-MAX(0,($N141*(1-(Assumptions!$C$25+0.06*(1-$I141))-Assumptions!$C$27)-Assumptions!$C$28)*Assumptions!$C$31)+Assumptions!$C$28-Assumptions!$C$29-$N141*Assumptions!$C$30</f>
        <v>106.3439415</v>
      </c>
      <c r="T141" s="139">
        <f>($O141*(1-(Assumptions!$C$25+0.06*(1-$J141))-Assumptions!$C$27)-Assumptions!$C$28)-MAX(0,($O141*(1-(Assumptions!$C$25+0.06*(1-$J141))-Assumptions!$C$27)-Assumptions!$C$28)*Assumptions!$C$31)+Assumptions!$C$28-Assumptions!$C$29-$O141*Assumptions!$C$30</f>
        <v>113.3924124</v>
      </c>
      <c r="U141" s="139">
        <f>($P141*(1-(Assumptions!$C$25+0.06*(1-$K141))-Assumptions!$C$27)-Assumptions!$C$28)-MAX(0,($P141*(1-(Assumptions!$C$25+0.06*(1-$K141))-Assumptions!$C$27)-Assumptions!$C$28)*Assumptions!$C$31)+Assumptions!$C$28-Assumptions!$C$29-$P141*Assumptions!$C$30</f>
        <v>120.8267128</v>
      </c>
      <c r="V141" s="143">
        <f>(($Q141/(1+$D141)^1+$R141/(1+$D141)^2+$S141/(1+$D141)^3+$T141/(1+$D141)^4+$U141/(1+$D141)^5+$U141*(1+$E141)/($D141-$E141)/(1+$D141)^5)-Assumptions!$C$37)/Assumptions!$C$40/Assumptions!$C$38</f>
        <v>5.071360293</v>
      </c>
    </row>
    <row r="142" ht="12.0" customHeight="1">
      <c r="B142" s="139">
        <v>90.0</v>
      </c>
      <c r="C142" s="140">
        <f t="shared" si="6"/>
        <v>0.8418217392</v>
      </c>
      <c r="D142" s="141">
        <f t="shared" si="7"/>
        <v>0.1055799148</v>
      </c>
      <c r="E142" s="141">
        <f t="shared" si="8"/>
        <v>0.0255720561</v>
      </c>
      <c r="F142" s="140">
        <f t="shared" si="9"/>
        <v>0.01284002413</v>
      </c>
      <c r="G142" s="141">
        <f t="shared" si="10"/>
        <v>0.03480749867</v>
      </c>
      <c r="H142" s="142">
        <f t="shared" si="11"/>
        <v>0</v>
      </c>
      <c r="I142" s="142">
        <f t="shared" si="12"/>
        <v>0</v>
      </c>
      <c r="J142" s="142">
        <f t="shared" si="13"/>
        <v>0</v>
      </c>
      <c r="K142" s="142">
        <f t="shared" si="14"/>
        <v>0</v>
      </c>
      <c r="L142" s="139">
        <f>Assumptions!$C$6*Assumptions!$C$7*(1+$G142-0.05*(1-1))^1+Assumptions!$C$6*Assumptions!$C$8*(1+Assumptions!$C$11)^1+Assumptions!$C$16*1+Assumptions!$C$6*Assumptions!$C$9*(1+Assumptions!$C$12)^1</f>
        <v>738.1842041</v>
      </c>
      <c r="M142" s="139">
        <f>Assumptions!$C$6*Assumptions!$C$7*(1+$G142-0.05*(1-$H142))^2+Assumptions!$C$6*Assumptions!$C$8*(1+Assumptions!$C$11)^2+Assumptions!$C$16*$H142+Assumptions!$C$6*Assumptions!$C$9*(1+Assumptions!$C$12)^2</f>
        <v>662.9154595</v>
      </c>
      <c r="N142" s="139">
        <f>Assumptions!$C$6*Assumptions!$C$7*(1+$G142-0.05*(1-$I142))^3+Assumptions!$C$6*Assumptions!$C$8*(1+Assumptions!$C$11)^3+Assumptions!$C$16*$I142+Assumptions!$C$6*Assumptions!$C$9*(1+Assumptions!$C$12)^3</f>
        <v>664.6851731</v>
      </c>
      <c r="O142" s="139">
        <f>Assumptions!$C$6*Assumptions!$C$7*(1+$G142-0.05*(1-$J142))^4+Assumptions!$C$6*Assumptions!$C$8*(1+Assumptions!$C$11)^4+Assumptions!$C$16*$J142+Assumptions!$C$6*Assumptions!$C$9*(1+Assumptions!$C$12)^4</f>
        <v>666.6648215</v>
      </c>
      <c r="P142" s="139">
        <f>Assumptions!$C$6*Assumptions!$C$7*(1+$G142-0.05*(1-$K142))^5+Assumptions!$C$6*Assumptions!$C$8*(1+Assumptions!$C$11)^5+Assumptions!$C$16*$K142+Assumptions!$C$6*Assumptions!$C$9*(1+Assumptions!$C$12)^5</f>
        <v>668.8559517</v>
      </c>
      <c r="Q142" s="139">
        <f>($L142*(1-(Assumptions!$C$25+0.06*(1-1))-Assumptions!$C$27)-Assumptions!$C$28)-MAX(0,($L142*(1-(Assumptions!$C$25+0.06*(1-1))-Assumptions!$C$27)-Assumptions!$C$28)*Assumptions!$C$31)+Assumptions!$C$28-Assumptions!$C$29-$L142*Assumptions!$C$30</f>
        <v>91.20960387</v>
      </c>
      <c r="R142" s="139">
        <f>($M142*(1-(Assumptions!$C$25+0.06*(1-$H142))-Assumptions!$C$27)-Assumptions!$C$28)-MAX(0,($M142*(1-(Assumptions!$C$25+0.06*(1-$H142))-Assumptions!$C$27)-Assumptions!$C$28)*Assumptions!$C$31)+Assumptions!$C$28-Assumptions!$C$29-$M142*Assumptions!$C$30</f>
        <v>32.47055567</v>
      </c>
      <c r="S142" s="139">
        <f>($N142*(1-(Assumptions!$C$25+0.06*(1-$I142))-Assumptions!$C$27)-Assumptions!$C$28)-MAX(0,($N142*(1-(Assumptions!$C$25+0.06*(1-$I142))-Assumptions!$C$27)-Assumptions!$C$28)*Assumptions!$C$31)+Assumptions!$C$28-Assumptions!$C$29-$N142*Assumptions!$C$30</f>
        <v>32.87758981</v>
      </c>
      <c r="T142" s="139">
        <f>($O142*(1-(Assumptions!$C$25+0.06*(1-$J142))-Assumptions!$C$27)-Assumptions!$C$28)-MAX(0,($O142*(1-(Assumptions!$C$25+0.06*(1-$J142))-Assumptions!$C$27)-Assumptions!$C$28)*Assumptions!$C$31)+Assumptions!$C$28-Assumptions!$C$29-$O142*Assumptions!$C$30</f>
        <v>33.33290894</v>
      </c>
      <c r="U142" s="139">
        <f>($P142*(1-(Assumptions!$C$25+0.06*(1-$K142))-Assumptions!$C$27)-Assumptions!$C$28)-MAX(0,($P142*(1-(Assumptions!$C$25+0.06*(1-$K142))-Assumptions!$C$27)-Assumptions!$C$28)*Assumptions!$C$31)+Assumptions!$C$28-Assumptions!$C$29-$P142*Assumptions!$C$30</f>
        <v>33.83686888</v>
      </c>
      <c r="V142" s="143">
        <f>(($Q142/(1+$D142)^1+$R142/(1+$D142)^2+$S142/(1+$D142)^3+$T142/(1+$D142)^4+$U142/(1+$D142)^5+$U142*(1+$E142)/($D142-$E142)/(1+$D142)^5)-Assumptions!$C$37)/Assumptions!$C$40/Assumptions!$C$38</f>
        <v>-1.973807497</v>
      </c>
    </row>
    <row r="143" ht="12.0" customHeight="1">
      <c r="B143" s="139">
        <v>91.0</v>
      </c>
      <c r="C143" s="140">
        <f t="shared" si="6"/>
        <v>0.5217994473</v>
      </c>
      <c r="D143" s="141">
        <f t="shared" si="7"/>
        <v>0.09862103452</v>
      </c>
      <c r="E143" s="141">
        <f t="shared" si="8"/>
        <v>0.02982651426</v>
      </c>
      <c r="F143" s="140">
        <f t="shared" si="9"/>
        <v>0.4199868133</v>
      </c>
      <c r="G143" s="141">
        <f t="shared" si="10"/>
        <v>0.05749502253</v>
      </c>
      <c r="H143" s="142">
        <f t="shared" si="11"/>
        <v>1</v>
      </c>
      <c r="I143" s="142">
        <f t="shared" si="12"/>
        <v>0</v>
      </c>
      <c r="J143" s="142">
        <f t="shared" si="13"/>
        <v>1</v>
      </c>
      <c r="K143" s="142">
        <f t="shared" si="14"/>
        <v>1</v>
      </c>
      <c r="L143" s="139">
        <f>Assumptions!$C$6*Assumptions!$C$7*(1+$G143-0.05*(1-1))^1+Assumptions!$C$6*Assumptions!$C$8*(1+Assumptions!$C$11)^1+Assumptions!$C$16*1+Assumptions!$C$6*Assumptions!$C$9*(1+Assumptions!$C$12)^1</f>
        <v>745.8208246</v>
      </c>
      <c r="M143" s="139">
        <f>Assumptions!$C$6*Assumptions!$C$7*(1+$G143-0.05*(1-$H143))^2+Assumptions!$C$6*Assumptions!$C$8*(1+Assumptions!$C$11)^2+Assumptions!$C$16*$H143+Assumptions!$C$6*Assumptions!$C$9*(1+Assumptions!$C$12)^2</f>
        <v>772.8837003</v>
      </c>
      <c r="N143" s="139">
        <f>Assumptions!$C$6*Assumptions!$C$7*(1+$G143-0.05*(1-$I143))^3+Assumptions!$C$6*Assumptions!$C$8*(1+Assumptions!$C$11)^3+Assumptions!$C$16*$I143+Assumptions!$C$6*Assumptions!$C$9*(1+Assumptions!$C$12)^3</f>
        <v>687.4200086</v>
      </c>
      <c r="O143" s="139">
        <f>Assumptions!$C$6*Assumptions!$C$7*(1+$G143-0.05*(1-$J143))^4+Assumptions!$C$6*Assumptions!$C$8*(1+Assumptions!$C$11)^4+Assumptions!$C$16*$J143+Assumptions!$C$6*Assumptions!$C$9*(1+Assumptions!$C$12)^4</f>
        <v>831.0055804</v>
      </c>
      <c r="P143" s="139">
        <f>Assumptions!$C$6*Assumptions!$C$7*(1+$G143-0.05*(1-$K143))^5+Assumptions!$C$6*Assumptions!$C$8*(1+Assumptions!$C$11)^5+Assumptions!$C$16*$K143+Assumptions!$C$6*Assumptions!$C$9*(1+Assumptions!$C$12)^5</f>
        <v>862.20911</v>
      </c>
      <c r="Q143" s="139">
        <f>($L143*(1-(Assumptions!$C$25+0.06*(1-1))-Assumptions!$C$27)-Assumptions!$C$28)-MAX(0,($L143*(1-(Assumptions!$C$25+0.06*(1-1))-Assumptions!$C$27)-Assumptions!$C$28)*Assumptions!$C$31)+Assumptions!$C$28-Assumptions!$C$29-$L143*Assumptions!$C$30</f>
        <v>92.85147729</v>
      </c>
      <c r="R143" s="139">
        <f>($M143*(1-(Assumptions!$C$25+0.06*(1-$H143))-Assumptions!$C$27)-Assumptions!$C$28)-MAX(0,($M143*(1-(Assumptions!$C$25+0.06*(1-$H143))-Assumptions!$C$27)-Assumptions!$C$28)*Assumptions!$C$31)+Assumptions!$C$28-Assumptions!$C$29-$M143*Assumptions!$C$30</f>
        <v>98.66999555</v>
      </c>
      <c r="S143" s="139">
        <f>($N143*(1-(Assumptions!$C$25+0.06*(1-$I143))-Assumptions!$C$27)-Assumptions!$C$28)-MAX(0,($N143*(1-(Assumptions!$C$25+0.06*(1-$I143))-Assumptions!$C$27)-Assumptions!$C$28)*Assumptions!$C$31)+Assumptions!$C$28-Assumptions!$C$29-$N143*Assumptions!$C$30</f>
        <v>38.10660197</v>
      </c>
      <c r="T143" s="139">
        <f>($O143*(1-(Assumptions!$C$25+0.06*(1-$J143))-Assumptions!$C$27)-Assumptions!$C$28)-MAX(0,($O143*(1-(Assumptions!$C$25+0.06*(1-$J143))-Assumptions!$C$27)-Assumptions!$C$28)*Assumptions!$C$31)+Assumptions!$C$28-Assumptions!$C$29-$O143*Assumptions!$C$30</f>
        <v>111.1661998</v>
      </c>
      <c r="U143" s="139">
        <f>($P143*(1-(Assumptions!$C$25+0.06*(1-$K143))-Assumptions!$C$27)-Assumptions!$C$28)-MAX(0,($P143*(1-(Assumptions!$C$25+0.06*(1-$K143))-Assumptions!$C$27)-Assumptions!$C$28)*Assumptions!$C$31)+Assumptions!$C$28-Assumptions!$C$29-$P143*Assumptions!$C$30</f>
        <v>117.8749586</v>
      </c>
      <c r="V143" s="143">
        <f>(($Q143/(1+$D143)^1+$R143/(1+$D143)^2+$S143/(1+$D143)^3+$T143/(1+$D143)^4+$U143/(1+$D143)^5+$U143*(1+$E143)/($D143-$E143)/(1+$D143)^5)-Assumptions!$C$37)/Assumptions!$C$40/Assumptions!$C$38</f>
        <v>5.898242366</v>
      </c>
    </row>
    <row r="144" ht="12.0" customHeight="1">
      <c r="B144" s="139">
        <v>92.0</v>
      </c>
      <c r="C144" s="140">
        <f t="shared" si="6"/>
        <v>0.3393332898</v>
      </c>
      <c r="D144" s="141">
        <f t="shared" si="7"/>
        <v>0.09572538975</v>
      </c>
      <c r="E144" s="141">
        <f t="shared" si="8"/>
        <v>0.01679128851</v>
      </c>
      <c r="F144" s="140">
        <f t="shared" si="9"/>
        <v>0.8400075719</v>
      </c>
      <c r="G144" s="141">
        <f t="shared" si="10"/>
        <v>0.07302983882</v>
      </c>
      <c r="H144" s="142">
        <f t="shared" si="11"/>
        <v>1</v>
      </c>
      <c r="I144" s="142">
        <f t="shared" si="12"/>
        <v>0</v>
      </c>
      <c r="J144" s="142">
        <f t="shared" si="13"/>
        <v>0</v>
      </c>
      <c r="K144" s="142">
        <f t="shared" si="14"/>
        <v>0</v>
      </c>
      <c r="L144" s="139">
        <f>Assumptions!$C$6*Assumptions!$C$7*(1+$G144-0.05*(1-1))^1+Assumptions!$C$6*Assumptions!$C$8*(1+Assumptions!$C$11)^1+Assumptions!$C$16*1+Assumptions!$C$6*Assumptions!$C$9*(1+Assumptions!$C$12)^1</f>
        <v>751.0498437</v>
      </c>
      <c r="M144" s="139">
        <f>Assumptions!$C$6*Assumptions!$C$7*(1+$G144-0.05*(1-$H144))^2+Assumptions!$C$6*Assumptions!$C$8*(1+Assumptions!$C$11)^2+Assumptions!$C$16*$H144+Assumptions!$C$6*Assumptions!$C$9*(1+Assumptions!$C$12)^2</f>
        <v>784.0242556</v>
      </c>
      <c r="N144" s="139">
        <f>Assumptions!$C$6*Assumptions!$C$7*(1+$G144-0.05*(1-$I144))^3+Assumptions!$C$6*Assumptions!$C$8*(1+Assumptions!$C$11)^3+Assumptions!$C$16*$I144+Assumptions!$C$6*Assumptions!$C$9*(1+Assumptions!$C$12)^3</f>
        <v>703.5898809</v>
      </c>
      <c r="O144" s="139">
        <f>Assumptions!$C$6*Assumptions!$C$7*(1+$G144-0.05*(1-$J144))^4+Assumptions!$C$6*Assumptions!$C$8*(1+Assumptions!$C$11)^4+Assumptions!$C$16*$J144+Assumptions!$C$6*Assumptions!$C$9*(1+Assumptions!$C$12)^4</f>
        <v>718.753618</v>
      </c>
      <c r="P144" s="139">
        <f>Assumptions!$C$6*Assumptions!$C$7*(1+$G144-0.05*(1-$K144))^5+Assumptions!$C$6*Assumptions!$C$8*(1+Assumptions!$C$11)^5+Assumptions!$C$16*$K144+Assumptions!$C$6*Assumptions!$C$9*(1+Assumptions!$C$12)^5</f>
        <v>734.2457769</v>
      </c>
      <c r="Q144" s="139">
        <f>($L144*(1-(Assumptions!$C$25+0.06*(1-1))-Assumptions!$C$27)-Assumptions!$C$28)-MAX(0,($L144*(1-(Assumptions!$C$25+0.06*(1-1))-Assumptions!$C$27)-Assumptions!$C$28)*Assumptions!$C$31)+Assumptions!$C$28-Assumptions!$C$29-$L144*Assumptions!$C$30</f>
        <v>93.97571641</v>
      </c>
      <c r="R144" s="139">
        <f>($M144*(1-(Assumptions!$C$25+0.06*(1-$H144))-Assumptions!$C$27)-Assumptions!$C$28)-MAX(0,($M144*(1-(Assumptions!$C$25+0.06*(1-$H144))-Assumptions!$C$27)-Assumptions!$C$28)*Assumptions!$C$31)+Assumptions!$C$28-Assumptions!$C$29-$M144*Assumptions!$C$30</f>
        <v>101.0652149</v>
      </c>
      <c r="S144" s="139">
        <f>($N144*(1-(Assumptions!$C$25+0.06*(1-$I144))-Assumptions!$C$27)-Assumptions!$C$28)-MAX(0,($N144*(1-(Assumptions!$C$25+0.06*(1-$I144))-Assumptions!$C$27)-Assumptions!$C$28)*Assumptions!$C$31)+Assumptions!$C$28-Assumptions!$C$29-$N144*Assumptions!$C$30</f>
        <v>41.82567262</v>
      </c>
      <c r="T144" s="139">
        <f>($O144*(1-(Assumptions!$C$25+0.06*(1-$J144))-Assumptions!$C$27)-Assumptions!$C$28)-MAX(0,($O144*(1-(Assumptions!$C$25+0.06*(1-$J144))-Assumptions!$C$27)-Assumptions!$C$28)*Assumptions!$C$31)+Assumptions!$C$28-Assumptions!$C$29-$O144*Assumptions!$C$30</f>
        <v>45.31333213</v>
      </c>
      <c r="U144" s="139">
        <f>($P144*(1-(Assumptions!$C$25+0.06*(1-$K144))-Assumptions!$C$27)-Assumptions!$C$28)-MAX(0,($P144*(1-(Assumptions!$C$25+0.06*(1-$K144))-Assumptions!$C$27)-Assumptions!$C$28)*Assumptions!$C$31)+Assumptions!$C$28-Assumptions!$C$29-$P144*Assumptions!$C$30</f>
        <v>48.87652869</v>
      </c>
      <c r="V144" s="143">
        <f>(($Q144/(1+$D144)^1+$R144/(1+$D144)^2+$S144/(1+$D144)^3+$T144/(1+$D144)^4+$U144/(1+$D144)^5+$U144*(1+$E144)/($D144-$E144)/(1+$D144)^5)-Assumptions!$C$37)/Assumptions!$C$40/Assumptions!$C$38</f>
        <v>-0.226022701</v>
      </c>
    </row>
    <row r="145" ht="12.0" customHeight="1">
      <c r="B145" s="139">
        <v>93.0</v>
      </c>
      <c r="C145" s="140">
        <f t="shared" si="6"/>
        <v>0.4807247208</v>
      </c>
      <c r="D145" s="141">
        <f t="shared" si="7"/>
        <v>0.09793209352</v>
      </c>
      <c r="E145" s="141">
        <f t="shared" si="8"/>
        <v>0.02738986394</v>
      </c>
      <c r="F145" s="140">
        <f t="shared" si="9"/>
        <v>0.9019066807</v>
      </c>
      <c r="G145" s="141">
        <f t="shared" si="10"/>
        <v>0.07671211172</v>
      </c>
      <c r="H145" s="142">
        <f t="shared" si="11"/>
        <v>1</v>
      </c>
      <c r="I145" s="142">
        <f t="shared" si="12"/>
        <v>1</v>
      </c>
      <c r="J145" s="142">
        <f t="shared" si="13"/>
        <v>0</v>
      </c>
      <c r="K145" s="142">
        <f t="shared" si="14"/>
        <v>0</v>
      </c>
      <c r="L145" s="139">
        <f>Assumptions!$C$6*Assumptions!$C$7*(1+$G145-0.05*(1-1))^1+Assumptions!$C$6*Assumptions!$C$8*(1+Assumptions!$C$11)^1+Assumptions!$C$16*1+Assumptions!$C$6*Assumptions!$C$9*(1+Assumptions!$C$12)^1</f>
        <v>752.2892968</v>
      </c>
      <c r="M145" s="139">
        <f>Assumptions!$C$6*Assumptions!$C$7*(1+$G145-0.05*(1-$H145))^2+Assumptions!$C$6*Assumptions!$C$8*(1+Assumptions!$C$11)^2+Assumptions!$C$16*$H145+Assumptions!$C$6*Assumptions!$C$9*(1+Assumptions!$C$12)^2</f>
        <v>786.6887598</v>
      </c>
      <c r="N145" s="139">
        <f>Assumptions!$C$6*Assumptions!$C$7*(1+$G145-0.05*(1-$I145))^3+Assumptions!$C$6*Assumptions!$C$8*(1+Assumptions!$C$11)^3+Assumptions!$C$16*$I145+Assumptions!$C$6*Assumptions!$C$9*(1+Assumptions!$C$12)^3</f>
        <v>823.3529281</v>
      </c>
      <c r="O145" s="139">
        <f>Assumptions!$C$6*Assumptions!$C$7*(1+$G145-0.05*(1-$J145))^4+Assumptions!$C$6*Assumptions!$C$8*(1+Assumptions!$C$11)^4+Assumptions!$C$16*$J145+Assumptions!$C$6*Assumptions!$C$9*(1+Assumptions!$C$12)^4</f>
        <v>724.0906408</v>
      </c>
      <c r="P145" s="139">
        <f>Assumptions!$C$6*Assumptions!$C$7*(1+$G145-0.05*(1-$K145))^5+Assumptions!$C$6*Assumptions!$C$8*(1+Assumptions!$C$11)^5+Assumptions!$C$16*$K145+Assumptions!$C$6*Assumptions!$C$9*(1+Assumptions!$C$12)^5</f>
        <v>741.0829987</v>
      </c>
      <c r="Q145" s="139">
        <f>($L145*(1-(Assumptions!$C$25+0.06*(1-1))-Assumptions!$C$27)-Assumptions!$C$28)-MAX(0,($L145*(1-(Assumptions!$C$25+0.06*(1-1))-Assumptions!$C$27)-Assumptions!$C$28)*Assumptions!$C$31)+Assumptions!$C$28-Assumptions!$C$29-$L145*Assumptions!$C$30</f>
        <v>94.24219881</v>
      </c>
      <c r="R145" s="139">
        <f>($M145*(1-(Assumptions!$C$25+0.06*(1-$H145))-Assumptions!$C$27)-Assumptions!$C$28)-MAX(0,($M145*(1-(Assumptions!$C$25+0.06*(1-$H145))-Assumptions!$C$27)-Assumptions!$C$28)*Assumptions!$C$31)+Assumptions!$C$28-Assumptions!$C$29-$M145*Assumptions!$C$30</f>
        <v>101.6380834</v>
      </c>
      <c r="S145" s="139">
        <f>($N145*(1-(Assumptions!$C$25+0.06*(1-$I145))-Assumptions!$C$27)-Assumptions!$C$28)-MAX(0,($N145*(1-(Assumptions!$C$25+0.06*(1-$I145))-Assumptions!$C$27)-Assumptions!$C$28)*Assumptions!$C$31)+Assumptions!$C$28-Assumptions!$C$29-$N145*Assumptions!$C$30</f>
        <v>109.5208795</v>
      </c>
      <c r="T145" s="139">
        <f>($O145*(1-(Assumptions!$C$25+0.06*(1-$J145))-Assumptions!$C$27)-Assumptions!$C$28)-MAX(0,($O145*(1-(Assumptions!$C$25+0.06*(1-$J145))-Assumptions!$C$27)-Assumptions!$C$28)*Assumptions!$C$31)+Assumptions!$C$28-Assumptions!$C$29-$O145*Assumptions!$C$30</f>
        <v>46.54084738</v>
      </c>
      <c r="U145" s="139">
        <f>($P145*(1-(Assumptions!$C$25+0.06*(1-$K145))-Assumptions!$C$27)-Assumptions!$C$28)-MAX(0,($P145*(1-(Assumptions!$C$25+0.06*(1-$K145))-Assumptions!$C$27)-Assumptions!$C$28)*Assumptions!$C$31)+Assumptions!$C$28-Assumptions!$C$29-$P145*Assumptions!$C$30</f>
        <v>50.4490897</v>
      </c>
      <c r="V145" s="143">
        <f>(($Q145/(1+$D145)^1+$R145/(1+$D145)^2+$S145/(1+$D145)^3+$T145/(1+$D145)^4+$U145/(1+$D145)^5+$U145*(1+$E145)/($D145-$E145)/(1+$D145)^5)-Assumptions!$C$37)/Assumptions!$C$40/Assumptions!$C$38</f>
        <v>0.6663434839</v>
      </c>
    </row>
    <row r="146" ht="12.0" customHeight="1">
      <c r="B146" s="139">
        <v>94.0</v>
      </c>
      <c r="C146" s="140">
        <f t="shared" si="6"/>
        <v>0.5286243432</v>
      </c>
      <c r="D146" s="141">
        <f t="shared" si="7"/>
        <v>0.09873833516</v>
      </c>
      <c r="E146" s="141">
        <f t="shared" si="8"/>
        <v>0.01703739099</v>
      </c>
      <c r="F146" s="140">
        <f t="shared" si="9"/>
        <v>0.5544064144</v>
      </c>
      <c r="G146" s="141">
        <f t="shared" si="10"/>
        <v>0.06167918691</v>
      </c>
      <c r="H146" s="142">
        <f t="shared" si="11"/>
        <v>0</v>
      </c>
      <c r="I146" s="142">
        <f t="shared" si="12"/>
        <v>1</v>
      </c>
      <c r="J146" s="142">
        <f t="shared" si="13"/>
        <v>0</v>
      </c>
      <c r="K146" s="142">
        <f t="shared" si="14"/>
        <v>0</v>
      </c>
      <c r="L146" s="139">
        <f>Assumptions!$C$6*Assumptions!$C$7*(1+$G146-0.05*(1-1))^1+Assumptions!$C$6*Assumptions!$C$8*(1+Assumptions!$C$11)^1+Assumptions!$C$16*1+Assumptions!$C$6*Assumptions!$C$9*(1+Assumptions!$C$12)^1</f>
        <v>747.2292143</v>
      </c>
      <c r="M146" s="139">
        <f>Assumptions!$C$6*Assumptions!$C$7*(1+$G146-0.05*(1-$H146))^2+Assumptions!$C$6*Assumptions!$C$8*(1+Assumptions!$C$11)^2+Assumptions!$C$16*$H146+Assumptions!$C$6*Assumptions!$C$9*(1+Assumptions!$C$12)^2</f>
        <v>680.973702</v>
      </c>
      <c r="N146" s="139">
        <f>Assumptions!$C$6*Assumptions!$C$7*(1+$G146-0.05*(1-$I146))^3+Assumptions!$C$6*Assumptions!$C$8*(1+Assumptions!$C$11)^3+Assumptions!$C$16*$I146+Assumptions!$C$6*Assumptions!$C$9*(1+Assumptions!$C$12)^3</f>
        <v>805.9988969</v>
      </c>
      <c r="O146" s="139">
        <f>Assumptions!$C$6*Assumptions!$C$7*(1+$G146-0.05*(1-$J146))^4+Assumptions!$C$6*Assumptions!$C$8*(1+Assumptions!$C$11)^4+Assumptions!$C$16*$J146+Assumptions!$C$6*Assumptions!$C$9*(1+Assumptions!$C$12)^4</f>
        <v>702.6610493</v>
      </c>
      <c r="P146" s="139">
        <f>Assumptions!$C$6*Assumptions!$C$7*(1+$G146-0.05*(1-$K146))^5+Assumptions!$C$6*Assumptions!$C$8*(1+Assumptions!$C$11)^5+Assumptions!$C$16*$K146+Assumptions!$C$6*Assumptions!$C$9*(1+Assumptions!$C$12)^5</f>
        <v>713.7803309</v>
      </c>
      <c r="Q146" s="139">
        <f>($L146*(1-(Assumptions!$C$25+0.06*(1-1))-Assumptions!$C$27)-Assumptions!$C$28)-MAX(0,($L146*(1-(Assumptions!$C$25+0.06*(1-1))-Assumptions!$C$27)-Assumptions!$C$28)*Assumptions!$C$31)+Assumptions!$C$28-Assumptions!$C$29-$L146*Assumptions!$C$30</f>
        <v>93.15428108</v>
      </c>
      <c r="R146" s="139">
        <f>($M146*(1-(Assumptions!$C$25+0.06*(1-$H146))-Assumptions!$C$27)-Assumptions!$C$28)-MAX(0,($M146*(1-(Assumptions!$C$25+0.06*(1-$H146))-Assumptions!$C$27)-Assumptions!$C$28)*Assumptions!$C$31)+Assumptions!$C$28-Assumptions!$C$29-$M146*Assumptions!$C$30</f>
        <v>36.62395146</v>
      </c>
      <c r="S146" s="139">
        <f>($N146*(1-(Assumptions!$C$25+0.06*(1-$I146))-Assumptions!$C$27)-Assumptions!$C$28)-MAX(0,($N146*(1-(Assumptions!$C$25+0.06*(1-$I146))-Assumptions!$C$27)-Assumptions!$C$28)*Assumptions!$C$31)+Assumptions!$C$28-Assumptions!$C$29-$N146*Assumptions!$C$30</f>
        <v>105.7897628</v>
      </c>
      <c r="T146" s="139">
        <f>($O146*(1-(Assumptions!$C$25+0.06*(1-$J146))-Assumptions!$C$27)-Assumptions!$C$28)-MAX(0,($O146*(1-(Assumptions!$C$25+0.06*(1-$J146))-Assumptions!$C$27)-Assumptions!$C$28)*Assumptions!$C$31)+Assumptions!$C$28-Assumptions!$C$29-$O146*Assumptions!$C$30</f>
        <v>41.61204134</v>
      </c>
      <c r="U146" s="139">
        <f>($P146*(1-(Assumptions!$C$25+0.06*(1-$K146))-Assumptions!$C$27)-Assumptions!$C$28)-MAX(0,($P146*(1-(Assumptions!$C$25+0.06*(1-$K146))-Assumptions!$C$27)-Assumptions!$C$28)*Assumptions!$C$31)+Assumptions!$C$28-Assumptions!$C$29-$P146*Assumptions!$C$30</f>
        <v>44.1694761</v>
      </c>
      <c r="V146" s="143">
        <f>(($Q146/(1+$D146)^1+$R146/(1+$D146)^2+$S146/(1+$D146)^3+$T146/(1+$D146)^4+$U146/(1+$D146)^5+$U146*(1+$E146)/($D146-$E146)/(1+$D146)^5)-Assumptions!$C$37)/Assumptions!$C$40/Assumptions!$C$38</f>
        <v>-0.7594785854</v>
      </c>
    </row>
    <row r="147" ht="12.0" customHeight="1">
      <c r="B147" s="139">
        <v>95.0</v>
      </c>
      <c r="C147" s="140">
        <f t="shared" si="6"/>
        <v>0.9903555939</v>
      </c>
      <c r="D147" s="141">
        <f t="shared" si="7"/>
        <v>0.1126739493</v>
      </c>
      <c r="E147" s="141">
        <f t="shared" si="8"/>
        <v>0.02833965685</v>
      </c>
      <c r="F147" s="140">
        <f t="shared" si="9"/>
        <v>0.9243471946</v>
      </c>
      <c r="G147" s="141">
        <f t="shared" si="10"/>
        <v>0.07833059343</v>
      </c>
      <c r="H147" s="142">
        <f t="shared" si="11"/>
        <v>0</v>
      </c>
      <c r="I147" s="142">
        <f t="shared" si="12"/>
        <v>0</v>
      </c>
      <c r="J147" s="142">
        <f t="shared" si="13"/>
        <v>1</v>
      </c>
      <c r="K147" s="142">
        <f t="shared" si="14"/>
        <v>1</v>
      </c>
      <c r="L147" s="139">
        <f>Assumptions!$C$6*Assumptions!$C$7*(1+$G147-0.05*(1-1))^1+Assumptions!$C$6*Assumptions!$C$8*(1+Assumptions!$C$11)^1+Assumptions!$C$16*1+Assumptions!$C$6*Assumptions!$C$9*(1+Assumptions!$C$12)^1</f>
        <v>752.8340777</v>
      </c>
      <c r="M147" s="139">
        <f>Assumptions!$C$6*Assumptions!$C$7*(1+$G147-0.05*(1-$H147))^2+Assumptions!$C$6*Assumptions!$C$8*(1+Assumptions!$C$11)^2+Assumptions!$C$16*$H147+Assumptions!$C$6*Assumptions!$C$9*(1+Assumptions!$C$12)^2</f>
        <v>692.4076782</v>
      </c>
      <c r="N147" s="139">
        <f>Assumptions!$C$6*Assumptions!$C$7*(1+$G147-0.05*(1-$I147))^3+Assumptions!$C$6*Assumptions!$C$8*(1+Assumptions!$C$11)^3+Assumptions!$C$16*$I147+Assumptions!$C$6*Assumptions!$C$9*(1+Assumptions!$C$12)^3</f>
        <v>709.2210425</v>
      </c>
      <c r="O147" s="139">
        <f>Assumptions!$C$6*Assumptions!$C$7*(1+$G147-0.05*(1-$J147))^4+Assumptions!$C$6*Assumptions!$C$8*(1+Assumptions!$C$11)^4+Assumptions!$C$16*$J147+Assumptions!$C$6*Assumptions!$C$9*(1+Assumptions!$C$12)^4</f>
        <v>865.1742619</v>
      </c>
      <c r="P147" s="139">
        <f>Assumptions!$C$6*Assumptions!$C$7*(1+$G147-0.05*(1-$K147))^5+Assumptions!$C$6*Assumptions!$C$8*(1+Assumptions!$C$11)^5+Assumptions!$C$16*$K147+Assumptions!$C$6*Assumptions!$C$9*(1+Assumptions!$C$12)^5</f>
        <v>907.8249161</v>
      </c>
      <c r="Q147" s="139">
        <f>($L147*(1-(Assumptions!$C$25+0.06*(1-1))-Assumptions!$C$27)-Assumptions!$C$28)-MAX(0,($L147*(1-(Assumptions!$C$25+0.06*(1-1))-Assumptions!$C$27)-Assumptions!$C$28)*Assumptions!$C$31)+Assumptions!$C$28-Assumptions!$C$29-$L147*Assumptions!$C$30</f>
        <v>94.35932672</v>
      </c>
      <c r="R147" s="139">
        <f>($M147*(1-(Assumptions!$C$25+0.06*(1-$H147))-Assumptions!$C$27)-Assumptions!$C$28)-MAX(0,($M147*(1-(Assumptions!$C$25+0.06*(1-$H147))-Assumptions!$C$27)-Assumptions!$C$28)*Assumptions!$C$31)+Assumptions!$C$28-Assumptions!$C$29-$M147*Assumptions!$C$30</f>
        <v>39.25376599</v>
      </c>
      <c r="S147" s="139">
        <f>($N147*(1-(Assumptions!$C$25+0.06*(1-$I147))-Assumptions!$C$27)-Assumptions!$C$28)-MAX(0,($N147*(1-(Assumptions!$C$25+0.06*(1-$I147))-Assumptions!$C$27)-Assumptions!$C$28)*Assumptions!$C$31)+Assumptions!$C$28-Assumptions!$C$29-$N147*Assumptions!$C$30</f>
        <v>43.12083978</v>
      </c>
      <c r="T147" s="139">
        <f>($O147*(1-(Assumptions!$C$25+0.06*(1-$J147))-Assumptions!$C$27)-Assumptions!$C$28)-MAX(0,($O147*(1-(Assumptions!$C$25+0.06*(1-$J147))-Assumptions!$C$27)-Assumptions!$C$28)*Assumptions!$C$31)+Assumptions!$C$28-Assumptions!$C$29-$O147*Assumptions!$C$30</f>
        <v>118.5124663</v>
      </c>
      <c r="U147" s="139">
        <f>($P147*(1-(Assumptions!$C$25+0.06*(1-$K147))-Assumptions!$C$27)-Assumptions!$C$28)-MAX(0,($P147*(1-(Assumptions!$C$25+0.06*(1-$K147))-Assumptions!$C$27)-Assumptions!$C$28)*Assumptions!$C$31)+Assumptions!$C$28-Assumptions!$C$29-$P147*Assumptions!$C$30</f>
        <v>127.682357</v>
      </c>
      <c r="V147" s="143">
        <f>(($Q147/(1+$D147)^1+$R147/(1+$D147)^2+$S147/(1+$D147)^3+$T147/(1+$D147)^4+$U147/(1+$D147)^5+$U147*(1+$E147)/($D147-$E147)/(1+$D147)^5)-Assumptions!$C$37)/Assumptions!$C$40/Assumptions!$C$38</f>
        <v>4.067437453</v>
      </c>
    </row>
    <row r="148" ht="12.0" customHeight="1">
      <c r="B148" s="139">
        <v>96.0</v>
      </c>
      <c r="C148" s="140">
        <f t="shared" si="6"/>
        <v>0.2257629294</v>
      </c>
      <c r="D148" s="141">
        <f t="shared" si="7"/>
        <v>0.0937483503</v>
      </c>
      <c r="E148" s="141">
        <f t="shared" si="8"/>
        <v>0.02486755849</v>
      </c>
      <c r="F148" s="140">
        <f t="shared" si="9"/>
        <v>0.8593180766</v>
      </c>
      <c r="G148" s="141">
        <f t="shared" si="10"/>
        <v>0.07408687768</v>
      </c>
      <c r="H148" s="142">
        <f t="shared" si="11"/>
        <v>0</v>
      </c>
      <c r="I148" s="142">
        <f t="shared" si="12"/>
        <v>1</v>
      </c>
      <c r="J148" s="142">
        <f t="shared" si="13"/>
        <v>1</v>
      </c>
      <c r="K148" s="142">
        <f t="shared" si="14"/>
        <v>1</v>
      </c>
      <c r="L148" s="139">
        <f>Assumptions!$C$6*Assumptions!$C$7*(1+$G148-0.05*(1-1))^1+Assumptions!$C$6*Assumptions!$C$8*(1+Assumptions!$C$11)^1+Assumptions!$C$16*1+Assumptions!$C$6*Assumptions!$C$9*(1+Assumptions!$C$12)^1</f>
        <v>751.405643</v>
      </c>
      <c r="M148" s="139">
        <f>Assumptions!$C$6*Assumptions!$C$7*(1+$G148-0.05*(1-$H148))^2+Assumptions!$C$6*Assumptions!$C$8*(1+Assumptions!$C$11)^2+Assumptions!$C$16*$H148+Assumptions!$C$6*Assumptions!$C$9*(1+Assumptions!$C$12)^2</f>
        <v>689.4759339</v>
      </c>
      <c r="N148" s="139">
        <f>Assumptions!$C$6*Assumptions!$C$7*(1+$G148-0.05*(1-$I148))^3+Assumptions!$C$6*Assumptions!$C$8*(1+Assumptions!$C$11)^3+Assumptions!$C$16*$I148+Assumptions!$C$6*Assumptions!$C$9*(1+Assumptions!$C$12)^3</f>
        <v>820.287132</v>
      </c>
      <c r="O148" s="139">
        <f>Assumptions!$C$6*Assumptions!$C$7*(1+$G148-0.05*(1-$J148))^4+Assumptions!$C$6*Assumptions!$C$8*(1+Assumptions!$C$11)^4+Assumptions!$C$16*$J148+Assumptions!$C$6*Assumptions!$C$9*(1+Assumptions!$C$12)^4</f>
        <v>858.0521037</v>
      </c>
      <c r="P148" s="139">
        <f>Assumptions!$C$6*Assumptions!$C$7*(1+$G148-0.05*(1-$K148))^5+Assumptions!$C$6*Assumptions!$C$8*(1+Assumptions!$C$11)^5+Assumptions!$C$16*$K148+Assumptions!$C$6*Assumptions!$C$9*(1+Assumptions!$C$12)^5</f>
        <v>898.2437178</v>
      </c>
      <c r="Q148" s="139">
        <f>($L148*(1-(Assumptions!$C$25+0.06*(1-1))-Assumptions!$C$27)-Assumptions!$C$28)-MAX(0,($L148*(1-(Assumptions!$C$25+0.06*(1-1))-Assumptions!$C$27)-Assumptions!$C$28)*Assumptions!$C$31)+Assumptions!$C$28-Assumptions!$C$29-$L148*Assumptions!$C$30</f>
        <v>94.05221325</v>
      </c>
      <c r="R148" s="139">
        <f>($M148*(1-(Assumptions!$C$25+0.06*(1-$H148))-Assumptions!$C$27)-Assumptions!$C$28)-MAX(0,($M148*(1-(Assumptions!$C$25+0.06*(1-$H148))-Assumptions!$C$27)-Assumptions!$C$28)*Assumptions!$C$31)+Assumptions!$C$28-Assumptions!$C$29-$M148*Assumptions!$C$30</f>
        <v>38.57946479</v>
      </c>
      <c r="S148" s="139">
        <f>($N148*(1-(Assumptions!$C$25+0.06*(1-$I148))-Assumptions!$C$27)-Assumptions!$C$28)-MAX(0,($N148*(1-(Assumptions!$C$25+0.06*(1-$I148))-Assumptions!$C$27)-Assumptions!$C$28)*Assumptions!$C$31)+Assumptions!$C$28-Assumptions!$C$29-$N148*Assumptions!$C$30</f>
        <v>108.8617334</v>
      </c>
      <c r="T148" s="139">
        <f>($O148*(1-(Assumptions!$C$25+0.06*(1-$J148))-Assumptions!$C$27)-Assumptions!$C$28)-MAX(0,($O148*(1-(Assumptions!$C$25+0.06*(1-$J148))-Assumptions!$C$27)-Assumptions!$C$28)*Assumptions!$C$31)+Assumptions!$C$28-Assumptions!$C$29-$O148*Assumptions!$C$30</f>
        <v>116.9812023</v>
      </c>
      <c r="U148" s="139">
        <f>($P148*(1-(Assumptions!$C$25+0.06*(1-$K148))-Assumptions!$C$27)-Assumptions!$C$28)-MAX(0,($P148*(1-(Assumptions!$C$25+0.06*(1-$K148))-Assumptions!$C$27)-Assumptions!$C$28)*Assumptions!$C$31)+Assumptions!$C$28-Assumptions!$C$29-$P148*Assumptions!$C$30</f>
        <v>125.6223993</v>
      </c>
      <c r="V148" s="143">
        <f>(($Q148/(1+$D148)^1+$R148/(1+$D148)^2+$S148/(1+$D148)^3+$T148/(1+$D148)^4+$U148/(1+$D148)^5+$U148*(1+$E148)/($D148-$E148)/(1+$D148)^5)-Assumptions!$C$37)/Assumptions!$C$40/Assumptions!$C$38</f>
        <v>6.757166607</v>
      </c>
    </row>
    <row r="149" ht="12.0" customHeight="1">
      <c r="B149" s="139">
        <v>97.0</v>
      </c>
      <c r="C149" s="140">
        <f t="shared" si="6"/>
        <v>0.2581296973</v>
      </c>
      <c r="D149" s="141">
        <f t="shared" si="7"/>
        <v>0.09435446243</v>
      </c>
      <c r="E149" s="141">
        <f t="shared" si="8"/>
        <v>0.013517371</v>
      </c>
      <c r="F149" s="140">
        <f t="shared" si="9"/>
        <v>0.03178150907</v>
      </c>
      <c r="G149" s="141">
        <f t="shared" si="10"/>
        <v>0.03756351217</v>
      </c>
      <c r="H149" s="142">
        <f t="shared" si="11"/>
        <v>1</v>
      </c>
      <c r="I149" s="142">
        <f t="shared" si="12"/>
        <v>1</v>
      </c>
      <c r="J149" s="142">
        <f t="shared" si="13"/>
        <v>0</v>
      </c>
      <c r="K149" s="142">
        <f t="shared" si="14"/>
        <v>1</v>
      </c>
      <c r="L149" s="139">
        <f>Assumptions!$C$6*Assumptions!$C$7*(1+$G149-0.05*(1-1))^1+Assumptions!$C$6*Assumptions!$C$8*(1+Assumptions!$C$11)^1+Assumptions!$C$16*1+Assumptions!$C$6*Assumptions!$C$9*(1+Assumptions!$C$12)^1</f>
        <v>739.1118782</v>
      </c>
      <c r="M149" s="139">
        <f>Assumptions!$C$6*Assumptions!$C$7*(1+$G149-0.05*(1-$H149))^2+Assumptions!$C$6*Assumptions!$C$8*(1+Assumptions!$C$11)^2+Assumptions!$C$16*$H149+Assumptions!$C$6*Assumptions!$C$9*(1+Assumptions!$C$12)^2</f>
        <v>758.8280649</v>
      </c>
      <c r="N149" s="139">
        <f>Assumptions!$C$6*Assumptions!$C$7*(1+$G149-0.05*(1-$I149))^3+Assumptions!$C$6*Assumptions!$C$8*(1+Assumptions!$C$11)^3+Assumptions!$C$16*$I149+Assumptions!$C$6*Assumptions!$C$9*(1+Assumptions!$C$12)^3</f>
        <v>779.1689879</v>
      </c>
      <c r="O149" s="139">
        <f>Assumptions!$C$6*Assumptions!$C$7*(1+$G149-0.05*(1-$J149))^4+Assumptions!$C$6*Assumptions!$C$8*(1+Assumptions!$C$11)^4+Assumptions!$C$16*$J149+Assumptions!$C$6*Assumptions!$C$9*(1+Assumptions!$C$12)^4</f>
        <v>670.2238555</v>
      </c>
      <c r="P149" s="139">
        <f>Assumptions!$C$6*Assumptions!$C$7*(1+$G149-0.05*(1-$K149))^5+Assumptions!$C$6*Assumptions!$C$8*(1+Assumptions!$C$11)^5+Assumptions!$C$16*$K149+Assumptions!$C$6*Assumptions!$C$9*(1+Assumptions!$C$12)^5</f>
        <v>821.8103908</v>
      </c>
      <c r="Q149" s="139">
        <f>($L149*(1-(Assumptions!$C$25+0.06*(1-1))-Assumptions!$C$27)-Assumptions!$C$28)-MAX(0,($L149*(1-(Assumptions!$C$25+0.06*(1-1))-Assumptions!$C$27)-Assumptions!$C$28)*Assumptions!$C$31)+Assumptions!$C$28-Assumptions!$C$29-$L149*Assumptions!$C$30</f>
        <v>91.40905381</v>
      </c>
      <c r="R149" s="139">
        <f>($M149*(1-(Assumptions!$C$25+0.06*(1-$H149))-Assumptions!$C$27)-Assumptions!$C$28)-MAX(0,($M149*(1-(Assumptions!$C$25+0.06*(1-$H149))-Assumptions!$C$27)-Assumptions!$C$28)*Assumptions!$C$31)+Assumptions!$C$28-Assumptions!$C$29-$M149*Assumptions!$C$30</f>
        <v>95.64803395</v>
      </c>
      <c r="S149" s="139">
        <f>($N149*(1-(Assumptions!$C$25+0.06*(1-$I149))-Assumptions!$C$27)-Assumptions!$C$28)-MAX(0,($N149*(1-(Assumptions!$C$25+0.06*(1-$I149))-Assumptions!$C$27)-Assumptions!$C$28)*Assumptions!$C$31)+Assumptions!$C$28-Assumptions!$C$29-$N149*Assumptions!$C$30</f>
        <v>100.0213324</v>
      </c>
      <c r="T149" s="139">
        <f>($O149*(1-(Assumptions!$C$25+0.06*(1-$J149))-Assumptions!$C$27)-Assumptions!$C$28)-MAX(0,($O149*(1-(Assumptions!$C$25+0.06*(1-$J149))-Assumptions!$C$27)-Assumptions!$C$28)*Assumptions!$C$31)+Assumptions!$C$28-Assumptions!$C$29-$O149*Assumptions!$C$30</f>
        <v>34.15148676</v>
      </c>
      <c r="U149" s="139">
        <f>($P149*(1-(Assumptions!$C$25+0.06*(1-$K149))-Assumptions!$C$27)-Assumptions!$C$28)-MAX(0,($P149*(1-(Assumptions!$C$25+0.06*(1-$K149))-Assumptions!$C$27)-Assumptions!$C$28)*Assumptions!$C$31)+Assumptions!$C$28-Assumptions!$C$29-$P149*Assumptions!$C$30</f>
        <v>109.189234</v>
      </c>
      <c r="V149" s="143">
        <f>(($Q149/(1+$D149)^1+$R149/(1+$D149)^2+$S149/(1+$D149)^3+$T149/(1+$D149)^4+$U149/(1+$D149)^5+$U149*(1+$E149)/($D149-$E149)/(1+$D149)^5)-Assumptions!$C$37)/Assumptions!$C$40/Assumptions!$C$38</f>
        <v>4.007914505</v>
      </c>
    </row>
    <row r="150" ht="12.0" customHeight="1">
      <c r="B150" s="139">
        <v>98.0</v>
      </c>
      <c r="C150" s="140">
        <f t="shared" si="6"/>
        <v>0.4546387638</v>
      </c>
      <c r="D150" s="141">
        <f t="shared" si="7"/>
        <v>0.0975086406</v>
      </c>
      <c r="E150" s="141">
        <f t="shared" si="8"/>
        <v>0.01217661863</v>
      </c>
      <c r="F150" s="140">
        <f t="shared" si="9"/>
        <v>0.3521886736</v>
      </c>
      <c r="G150" s="141">
        <f t="shared" si="10"/>
        <v>0.05517815745</v>
      </c>
      <c r="H150" s="142">
        <f t="shared" si="11"/>
        <v>0</v>
      </c>
      <c r="I150" s="142">
        <f t="shared" si="12"/>
        <v>0</v>
      </c>
      <c r="J150" s="142">
        <f t="shared" si="13"/>
        <v>1</v>
      </c>
      <c r="K150" s="142">
        <f t="shared" si="14"/>
        <v>1</v>
      </c>
      <c r="L150" s="139">
        <f>Assumptions!$C$6*Assumptions!$C$7*(1+$G150-0.05*(1-1))^1+Assumptions!$C$6*Assumptions!$C$8*(1+Assumptions!$C$11)^1+Assumptions!$C$16*1+Assumptions!$C$6*Assumptions!$C$9*(1+Assumptions!$C$12)^1</f>
        <v>745.0409678</v>
      </c>
      <c r="M150" s="139">
        <f>Assumptions!$C$6*Assumptions!$C$7*(1+$G150-0.05*(1-$H150))^2+Assumptions!$C$6*Assumptions!$C$8*(1+Assumptions!$C$11)^2+Assumptions!$C$16*$H150+Assumptions!$C$6*Assumptions!$C$9*(1+Assumptions!$C$12)^2</f>
        <v>676.560321</v>
      </c>
      <c r="N150" s="139">
        <f>Assumptions!$C$6*Assumptions!$C$7*(1+$G150-0.05*(1-$I150))^3+Assumptions!$C$6*Assumptions!$C$8*(1+Assumptions!$C$11)^3+Assumptions!$C$16*$I150+Assumptions!$C$6*Assumptions!$C$9*(1+Assumptions!$C$12)^3</f>
        <v>685.0506934</v>
      </c>
      <c r="O150" s="139">
        <f>Assumptions!$C$6*Assumptions!$C$7*(1+$G150-0.05*(1-$J150))^4+Assumptions!$C$6*Assumptions!$C$8*(1+Assumptions!$C$11)^4+Assumptions!$C$16*$J150+Assumptions!$C$6*Assumptions!$C$9*(1+Assumptions!$C$12)^4</f>
        <v>827.328676</v>
      </c>
      <c r="P150" s="139">
        <f>Assumptions!$C$6*Assumptions!$C$7*(1+$G150-0.05*(1-$K150))^5+Assumptions!$C$6*Assumptions!$C$8*(1+Assumptions!$C$11)^5+Assumptions!$C$16*$K150+Assumptions!$C$6*Assumptions!$C$9*(1+Assumptions!$C$12)^5</f>
        <v>857.3540433</v>
      </c>
      <c r="Q150" s="139">
        <f>($L150*(1-(Assumptions!$C$25+0.06*(1-1))-Assumptions!$C$27)-Assumptions!$C$28)-MAX(0,($L150*(1-(Assumptions!$C$25+0.06*(1-1))-Assumptions!$C$27)-Assumptions!$C$28)*Assumptions!$C$31)+Assumptions!$C$28-Assumptions!$C$29-$L150*Assumptions!$C$30</f>
        <v>92.68380808</v>
      </c>
      <c r="R150" s="139">
        <f>($M150*(1-(Assumptions!$C$25+0.06*(1-$H150))-Assumptions!$C$27)-Assumptions!$C$28)-MAX(0,($M150*(1-(Assumptions!$C$25+0.06*(1-$H150))-Assumptions!$C$27)-Assumptions!$C$28)*Assumptions!$C$31)+Assumptions!$C$28-Assumptions!$C$29-$M150*Assumptions!$C$30</f>
        <v>35.60887382</v>
      </c>
      <c r="S150" s="139">
        <f>($N150*(1-(Assumptions!$C$25+0.06*(1-$I150))-Assumptions!$C$27)-Assumptions!$C$28)-MAX(0,($N150*(1-(Assumptions!$C$25+0.06*(1-$I150))-Assumptions!$C$27)-Assumptions!$C$28)*Assumptions!$C$31)+Assumptions!$C$28-Assumptions!$C$29-$N150*Assumptions!$C$30</f>
        <v>37.56165948</v>
      </c>
      <c r="T150" s="139">
        <f>($O150*(1-(Assumptions!$C$25+0.06*(1-$J150))-Assumptions!$C$27)-Assumptions!$C$28)-MAX(0,($O150*(1-(Assumptions!$C$25+0.06*(1-$J150))-Assumptions!$C$27)-Assumptions!$C$28)*Assumptions!$C$31)+Assumptions!$C$28-Assumptions!$C$29-$O150*Assumptions!$C$30</f>
        <v>110.3756653</v>
      </c>
      <c r="U150" s="139">
        <f>($P150*(1-(Assumptions!$C$25+0.06*(1-$K150))-Assumptions!$C$27)-Assumptions!$C$28)-MAX(0,($P150*(1-(Assumptions!$C$25+0.06*(1-$K150))-Assumptions!$C$27)-Assumptions!$C$28)*Assumptions!$C$31)+Assumptions!$C$28-Assumptions!$C$29-$P150*Assumptions!$C$30</f>
        <v>116.8311193</v>
      </c>
      <c r="V150" s="143">
        <f>(($Q150/(1+$D150)^1+$R150/(1+$D150)^2+$S150/(1+$D150)^3+$T150/(1+$D150)^4+$U150/(1+$D150)^5+$U150*(1+$E150)/($D150-$E150)/(1+$D150)^5)-Assumptions!$C$37)/Assumptions!$C$40/Assumptions!$C$38</f>
        <v>3.671439143</v>
      </c>
    </row>
    <row r="151" ht="12.0" customHeight="1">
      <c r="B151" s="139">
        <v>99.0</v>
      </c>
      <c r="C151" s="140">
        <f t="shared" si="6"/>
        <v>0.7126687536</v>
      </c>
      <c r="D151" s="141">
        <f t="shared" si="7"/>
        <v>0.1023038262</v>
      </c>
      <c r="E151" s="141">
        <f t="shared" si="8"/>
        <v>0.02967685274</v>
      </c>
      <c r="F151" s="140">
        <f t="shared" si="9"/>
        <v>0.9531562946</v>
      </c>
      <c r="G151" s="141">
        <f t="shared" si="10"/>
        <v>0.08081748021</v>
      </c>
      <c r="H151" s="142">
        <f t="shared" si="11"/>
        <v>1</v>
      </c>
      <c r="I151" s="142">
        <f t="shared" si="12"/>
        <v>0</v>
      </c>
      <c r="J151" s="142">
        <f t="shared" si="13"/>
        <v>1</v>
      </c>
      <c r="K151" s="142">
        <f t="shared" si="14"/>
        <v>0</v>
      </c>
      <c r="L151" s="139">
        <f>Assumptions!$C$6*Assumptions!$C$7*(1+$G151-0.05*(1-1))^1+Assumptions!$C$6*Assumptions!$C$8*(1+Assumptions!$C$11)^1+Assumptions!$C$16*1+Assumptions!$C$6*Assumptions!$C$9*(1+Assumptions!$C$12)^1</f>
        <v>753.6711638</v>
      </c>
      <c r="M151" s="139">
        <f>Assumptions!$C$6*Assumptions!$C$7*(1+$G151-0.05*(1-$H151))^2+Assumptions!$C$6*Assumptions!$C$8*(1+Assumptions!$C$11)^2+Assumptions!$C$16*$H151+Assumptions!$C$6*Assumptions!$C$9*(1+Assumptions!$C$12)^2</f>
        <v>789.6701788</v>
      </c>
      <c r="N151" s="139">
        <f>Assumptions!$C$6*Assumptions!$C$7*(1+$G151-0.05*(1-$I151))^3+Assumptions!$C$6*Assumptions!$C$8*(1+Assumptions!$C$11)^3+Assumptions!$C$16*$I151+Assumptions!$C$6*Assumptions!$C$9*(1+Assumptions!$C$12)^3</f>
        <v>711.8830346</v>
      </c>
      <c r="O151" s="139">
        <f>Assumptions!$C$6*Assumptions!$C$7*(1+$G151-0.05*(1-$J151))^4+Assumptions!$C$6*Assumptions!$C$8*(1+Assumptions!$C$11)^4+Assumptions!$C$16*$J151+Assumptions!$C$6*Assumptions!$C$9*(1+Assumptions!$C$12)^4</f>
        <v>869.3872283</v>
      </c>
      <c r="P151" s="139">
        <f>Assumptions!$C$6*Assumptions!$C$7*(1+$G151-0.05*(1-$K151))^5+Assumptions!$C$6*Assumptions!$C$8*(1+Assumptions!$C$11)^5+Assumptions!$C$16*$K151+Assumptions!$C$6*Assumptions!$C$9*(1+Assumptions!$C$12)^5</f>
        <v>748.8223417</v>
      </c>
      <c r="Q151" s="139">
        <f>($L151*(1-(Assumptions!$C$25+0.06*(1-1))-Assumptions!$C$27)-Assumptions!$C$28)-MAX(0,($L151*(1-(Assumptions!$C$25+0.06*(1-1))-Assumptions!$C$27)-Assumptions!$C$28)*Assumptions!$C$31)+Assumptions!$C$28-Assumptions!$C$29-$L151*Assumptions!$C$30</f>
        <v>94.53930023</v>
      </c>
      <c r="R151" s="139">
        <f>($M151*(1-(Assumptions!$C$25+0.06*(1-$H151))-Assumptions!$C$27)-Assumptions!$C$28)-MAX(0,($M151*(1-(Assumptions!$C$25+0.06*(1-$H151))-Assumptions!$C$27)-Assumptions!$C$28)*Assumptions!$C$31)+Assumptions!$C$28-Assumptions!$C$29-$M151*Assumptions!$C$30</f>
        <v>102.2790884</v>
      </c>
      <c r="S151" s="139">
        <f>($N151*(1-(Assumptions!$C$25+0.06*(1-$I151))-Assumptions!$C$27)-Assumptions!$C$28)-MAX(0,($N151*(1-(Assumptions!$C$25+0.06*(1-$I151))-Assumptions!$C$27)-Assumptions!$C$28)*Assumptions!$C$31)+Assumptions!$C$28-Assumptions!$C$29-$N151*Assumptions!$C$30</f>
        <v>43.73309796</v>
      </c>
      <c r="T151" s="139">
        <f>($O151*(1-(Assumptions!$C$25+0.06*(1-$J151))-Assumptions!$C$27)-Assumptions!$C$28)-MAX(0,($O151*(1-(Assumptions!$C$25+0.06*(1-$J151))-Assumptions!$C$27)-Assumptions!$C$28)*Assumptions!$C$31)+Assumptions!$C$28-Assumptions!$C$29-$O151*Assumptions!$C$30</f>
        <v>119.4182541</v>
      </c>
      <c r="U151" s="139">
        <f>($P151*(1-(Assumptions!$C$25+0.06*(1-$K151))-Assumptions!$C$27)-Assumptions!$C$28)-MAX(0,($P151*(1-(Assumptions!$C$25+0.06*(1-$K151))-Assumptions!$C$27)-Assumptions!$C$28)*Assumptions!$C$31)+Assumptions!$C$28-Assumptions!$C$29-$P151*Assumptions!$C$30</f>
        <v>52.2291386</v>
      </c>
      <c r="V151" s="143">
        <f>(($Q151/(1+$D151)^1+$R151/(1+$D151)^2+$S151/(1+$D151)^3+$T151/(1+$D151)^4+$U151/(1+$D151)^5+$U151*(1+$E151)/($D151-$E151)/(1+$D151)^5)-Assumptions!$C$37)/Assumptions!$C$40/Assumptions!$C$38</f>
        <v>0.6154765766</v>
      </c>
    </row>
    <row r="152" ht="12.0" customHeight="1">
      <c r="B152" s="139">
        <v>100.0</v>
      </c>
      <c r="C152" s="140">
        <f t="shared" si="6"/>
        <v>0.6480981238</v>
      </c>
      <c r="D152" s="141">
        <f t="shared" si="7"/>
        <v>0.1009494857</v>
      </c>
      <c r="E152" s="141">
        <f t="shared" si="8"/>
        <v>0.01373041913</v>
      </c>
      <c r="F152" s="140">
        <f t="shared" si="9"/>
        <v>0.4404108311</v>
      </c>
      <c r="G152" s="141">
        <f t="shared" si="10"/>
        <v>0.05815562992</v>
      </c>
      <c r="H152" s="142">
        <f t="shared" si="11"/>
        <v>0</v>
      </c>
      <c r="I152" s="142">
        <f t="shared" si="12"/>
        <v>1</v>
      </c>
      <c r="J152" s="142">
        <f t="shared" si="13"/>
        <v>1</v>
      </c>
      <c r="K152" s="142">
        <f t="shared" si="14"/>
        <v>1</v>
      </c>
      <c r="L152" s="139">
        <f>Assumptions!$C$6*Assumptions!$C$7*(1+$G152-0.05*(1-1))^1+Assumptions!$C$6*Assumptions!$C$8*(1+Assumptions!$C$11)^1+Assumptions!$C$16*1+Assumptions!$C$6*Assumptions!$C$9*(1+Assumptions!$C$12)^1</f>
        <v>746.043185</v>
      </c>
      <c r="M152" s="139">
        <f>Assumptions!$C$6*Assumptions!$C$7*(1+$G152-0.05*(1-$H152))^2+Assumptions!$C$6*Assumptions!$C$8*(1+Assumptions!$C$11)^2+Assumptions!$C$16*$H152+Assumptions!$C$6*Assumptions!$C$9*(1+Assumptions!$C$12)^2</f>
        <v>678.5781188</v>
      </c>
      <c r="N152" s="139">
        <f>Assumptions!$C$6*Assumptions!$C$7*(1+$G152-0.05*(1-$I152))^3+Assumptions!$C$6*Assumptions!$C$8*(1+Assumptions!$C$11)^3+Assumptions!$C$16*$I152+Assumptions!$C$6*Assumptions!$C$9*(1+Assumptions!$C$12)^3</f>
        <v>802.0016487</v>
      </c>
      <c r="O152" s="139">
        <f>Assumptions!$C$6*Assumptions!$C$7*(1+$G152-0.05*(1-$J152))^4+Assumptions!$C$6*Assumptions!$C$8*(1+Assumptions!$C$11)^4+Assumptions!$C$16*$J152+Assumptions!$C$6*Assumptions!$C$9*(1+Assumptions!$C$12)^4</f>
        <v>832.0584133</v>
      </c>
      <c r="P152" s="139">
        <f>Assumptions!$C$6*Assumptions!$C$7*(1+$G152-0.05*(1-$K152))^5+Assumptions!$C$6*Assumptions!$C$8*(1+Assumptions!$C$11)^5+Assumptions!$C$16*$K152+Assumptions!$C$6*Assumptions!$C$9*(1+Assumptions!$C$12)^5</f>
        <v>863.6012518</v>
      </c>
      <c r="Q152" s="139">
        <f>($L152*(1-(Assumptions!$C$25+0.06*(1-1))-Assumptions!$C$27)-Assumptions!$C$28)-MAX(0,($L152*(1-(Assumptions!$C$25+0.06*(1-1))-Assumptions!$C$27)-Assumptions!$C$28)*Assumptions!$C$31)+Assumptions!$C$28-Assumptions!$C$29-$L152*Assumptions!$C$30</f>
        <v>92.89928478</v>
      </c>
      <c r="R152" s="139">
        <f>($M152*(1-(Assumptions!$C$25+0.06*(1-$H152))-Assumptions!$C$27)-Assumptions!$C$28)-MAX(0,($M152*(1-(Assumptions!$C$25+0.06*(1-$H152))-Assumptions!$C$27)-Assumptions!$C$28)*Assumptions!$C$31)+Assumptions!$C$28-Assumptions!$C$29-$M152*Assumptions!$C$30</f>
        <v>36.07296732</v>
      </c>
      <c r="S152" s="139">
        <f>($N152*(1-(Assumptions!$C$25+0.06*(1-$I152))-Assumptions!$C$27)-Assumptions!$C$28)-MAX(0,($N152*(1-(Assumptions!$C$25+0.06*(1-$I152))-Assumptions!$C$27)-Assumptions!$C$28)*Assumptions!$C$31)+Assumptions!$C$28-Assumptions!$C$29-$N152*Assumptions!$C$30</f>
        <v>104.9303545</v>
      </c>
      <c r="T152" s="139">
        <f>($O152*(1-(Assumptions!$C$25+0.06*(1-$J152))-Assumptions!$C$27)-Assumptions!$C$28)-MAX(0,($O152*(1-(Assumptions!$C$25+0.06*(1-$J152))-Assumptions!$C$27)-Assumptions!$C$28)*Assumptions!$C$31)+Assumptions!$C$28-Assumptions!$C$29-$O152*Assumptions!$C$30</f>
        <v>111.3925589</v>
      </c>
      <c r="U152" s="139">
        <f>($P152*(1-(Assumptions!$C$25+0.06*(1-$K152))-Assumptions!$C$27)-Assumptions!$C$28)-MAX(0,($P152*(1-(Assumptions!$C$25+0.06*(1-$K152))-Assumptions!$C$27)-Assumptions!$C$28)*Assumptions!$C$31)+Assumptions!$C$28-Assumptions!$C$29-$P152*Assumptions!$C$30</f>
        <v>118.1742691</v>
      </c>
      <c r="V152" s="143">
        <f>(($Q152/(1+$D152)^1+$R152/(1+$D152)^2+$S152/(1+$D152)^3+$T152/(1+$D152)^4+$U152/(1+$D152)^5+$U152*(1+$E152)/($D152-$E152)/(1+$D152)^5)-Assumptions!$C$37)/Assumptions!$C$40/Assumptions!$C$38</f>
        <v>3.895193816</v>
      </c>
    </row>
    <row r="153" ht="12.0" customHeight="1">
      <c r="B153" s="139">
        <v>101.0</v>
      </c>
      <c r="C153" s="140">
        <f t="shared" si="6"/>
        <v>0.7060179178</v>
      </c>
      <c r="D153" s="141">
        <f t="shared" si="7"/>
        <v>0.1021577281</v>
      </c>
      <c r="E153" s="141">
        <f t="shared" si="8"/>
        <v>0.02701534148</v>
      </c>
      <c r="F153" s="140">
        <f t="shared" si="9"/>
        <v>0.5882143038</v>
      </c>
      <c r="G153" s="141">
        <f t="shared" si="10"/>
        <v>0.06277474971</v>
      </c>
      <c r="H153" s="142">
        <f t="shared" si="11"/>
        <v>0</v>
      </c>
      <c r="I153" s="142">
        <f t="shared" si="12"/>
        <v>1</v>
      </c>
      <c r="J153" s="142">
        <f t="shared" si="13"/>
        <v>0</v>
      </c>
      <c r="K153" s="142">
        <f t="shared" si="14"/>
        <v>1</v>
      </c>
      <c r="L153" s="139">
        <f>Assumptions!$C$6*Assumptions!$C$7*(1+$G153-0.05*(1-1))^1+Assumptions!$C$6*Assumptions!$C$8*(1+Assumptions!$C$11)^1+Assumptions!$C$16*1+Assumptions!$C$6*Assumptions!$C$9*(1+Assumptions!$C$12)^1</f>
        <v>747.5979808</v>
      </c>
      <c r="M153" s="139">
        <f>Assumptions!$C$6*Assumptions!$C$7*(1+$G153-0.05*(1-$H153))^2+Assumptions!$C$6*Assumptions!$C$8*(1+Assumptions!$C$11)^2+Assumptions!$C$16*$H153+Assumptions!$C$6*Assumptions!$C$9*(1+Assumptions!$C$12)^2</f>
        <v>681.7202527</v>
      </c>
      <c r="N153" s="139">
        <f>Assumptions!$C$6*Assumptions!$C$7*(1+$G153-0.05*(1-$I153))^3+Assumptions!$C$6*Assumptions!$C$8*(1+Assumptions!$C$11)^3+Assumptions!$C$16*$I153+Assumptions!$C$6*Assumptions!$C$9*(1+Assumptions!$C$12)^3</f>
        <v>807.2471635</v>
      </c>
      <c r="O153" s="139">
        <f>Assumptions!$C$6*Assumptions!$C$7*(1+$G153-0.05*(1-$J153))^4+Assumptions!$C$6*Assumptions!$C$8*(1+Assumptions!$C$11)^4+Assumptions!$C$16*$J153+Assumptions!$C$6*Assumptions!$C$9*(1+Assumptions!$C$12)^4</f>
        <v>704.1908865</v>
      </c>
      <c r="P153" s="139">
        <f>Assumptions!$C$6*Assumptions!$C$7*(1+$G153-0.05*(1-$K153))^5+Assumptions!$C$6*Assumptions!$C$8*(1+Assumptions!$C$11)^5+Assumptions!$C$16*$K153+Assumptions!$C$6*Assumptions!$C$9*(1+Assumptions!$C$12)^5</f>
        <v>873.4330539</v>
      </c>
      <c r="Q153" s="139">
        <f>($L153*(1-(Assumptions!$C$25+0.06*(1-1))-Assumptions!$C$27)-Assumptions!$C$28)-MAX(0,($L153*(1-(Assumptions!$C$25+0.06*(1-1))-Assumptions!$C$27)-Assumptions!$C$28)*Assumptions!$C$31)+Assumptions!$C$28-Assumptions!$C$29-$L153*Assumptions!$C$30</f>
        <v>93.23356586</v>
      </c>
      <c r="R153" s="139">
        <f>($M153*(1-(Assumptions!$C$25+0.06*(1-$H153))-Assumptions!$C$27)-Assumptions!$C$28)-MAX(0,($M153*(1-(Assumptions!$C$25+0.06*(1-$H153))-Assumptions!$C$27)-Assumptions!$C$28)*Assumptions!$C$31)+Assumptions!$C$28-Assumptions!$C$29-$M153*Assumptions!$C$30</f>
        <v>36.79565812</v>
      </c>
      <c r="S153" s="139">
        <f>($N153*(1-(Assumptions!$C$25+0.06*(1-$I153))-Assumptions!$C$27)-Assumptions!$C$28)-MAX(0,($N153*(1-(Assumptions!$C$25+0.06*(1-$I153))-Assumptions!$C$27)-Assumptions!$C$28)*Assumptions!$C$31)+Assumptions!$C$28-Assumptions!$C$29-$N153*Assumptions!$C$30</f>
        <v>106.0581401</v>
      </c>
      <c r="T153" s="139">
        <f>($O153*(1-(Assumptions!$C$25+0.06*(1-$J153))-Assumptions!$C$27)-Assumptions!$C$28)-MAX(0,($O153*(1-(Assumptions!$C$25+0.06*(1-$J153))-Assumptions!$C$27)-Assumptions!$C$28)*Assumptions!$C$31)+Assumptions!$C$28-Assumptions!$C$29-$O153*Assumptions!$C$30</f>
        <v>41.9639039</v>
      </c>
      <c r="U153" s="139">
        <f>($P153*(1-(Assumptions!$C$25+0.06*(1-$K153))-Assumptions!$C$27)-Assumptions!$C$28)-MAX(0,($P153*(1-(Assumptions!$C$25+0.06*(1-$K153))-Assumptions!$C$27)-Assumptions!$C$28)*Assumptions!$C$31)+Assumptions!$C$28-Assumptions!$C$29-$P153*Assumptions!$C$30</f>
        <v>120.2881066</v>
      </c>
      <c r="V153" s="143">
        <f>(($Q153/(1+$D153)^1+$R153/(1+$D153)^2+$S153/(1+$D153)^3+$T153/(1+$D153)^4+$U153/(1+$D153)^5+$U153*(1+$E153)/($D153-$E153)/(1+$D153)^5)-Assumptions!$C$37)/Assumptions!$C$40/Assumptions!$C$38</f>
        <v>4.804660295</v>
      </c>
    </row>
    <row r="154" ht="12.0" customHeight="1">
      <c r="B154" s="139">
        <v>102.0</v>
      </c>
      <c r="C154" s="140">
        <f t="shared" si="6"/>
        <v>0.2780810467</v>
      </c>
      <c r="D154" s="141">
        <f t="shared" si="7"/>
        <v>0.09470924687</v>
      </c>
      <c r="E154" s="141">
        <f t="shared" si="8"/>
        <v>0.02809475293</v>
      </c>
      <c r="F154" s="140">
        <f t="shared" si="9"/>
        <v>0.8026790393</v>
      </c>
      <c r="G154" s="141">
        <f t="shared" si="10"/>
        <v>0.07115384047</v>
      </c>
      <c r="H154" s="142">
        <f t="shared" si="11"/>
        <v>1</v>
      </c>
      <c r="I154" s="142">
        <f t="shared" si="12"/>
        <v>0</v>
      </c>
      <c r="J154" s="142">
        <f t="shared" si="13"/>
        <v>1</v>
      </c>
      <c r="K154" s="142">
        <f t="shared" si="14"/>
        <v>0</v>
      </c>
      <c r="L154" s="139">
        <f>Assumptions!$C$6*Assumptions!$C$7*(1+$G154-0.05*(1-1))^1+Assumptions!$C$6*Assumptions!$C$8*(1+Assumptions!$C$11)^1+Assumptions!$C$16*1+Assumptions!$C$6*Assumptions!$C$9*(1+Assumptions!$C$12)^1</f>
        <v>750.4183827</v>
      </c>
      <c r="M154" s="139">
        <f>Assumptions!$C$6*Assumptions!$C$7*(1+$G154-0.05*(1-$H154))^2+Assumptions!$C$6*Assumptions!$C$8*(1+Assumptions!$C$11)^2+Assumptions!$C$16*$H154+Assumptions!$C$6*Assumptions!$C$9*(1+Assumptions!$C$12)^2</f>
        <v>782.6702871</v>
      </c>
      <c r="N154" s="139">
        <f>Assumptions!$C$6*Assumptions!$C$7*(1+$G154-0.05*(1-$I154))^3+Assumptions!$C$6*Assumptions!$C$8*(1+Assumptions!$C$11)^3+Assumptions!$C$16*$I154+Assumptions!$C$6*Assumptions!$C$9*(1+Assumptions!$C$12)^3</f>
        <v>701.6108719</v>
      </c>
      <c r="O154" s="139">
        <f>Assumptions!$C$6*Assumptions!$C$7*(1+$G154-0.05*(1-$J154))^4+Assumptions!$C$6*Assumptions!$C$8*(1+Assumptions!$C$11)^4+Assumptions!$C$16*$J154+Assumptions!$C$6*Assumptions!$C$9*(1+Assumptions!$C$12)^4</f>
        <v>853.1787202</v>
      </c>
      <c r="P154" s="139">
        <f>Assumptions!$C$6*Assumptions!$C$7*(1+$G154-0.05*(1-$K154))^5+Assumptions!$C$6*Assumptions!$C$8*(1+Assumptions!$C$11)^5+Assumptions!$C$16*$K154+Assumptions!$C$6*Assumptions!$C$9*(1+Assumptions!$C$12)^5</f>
        <v>730.8000807</v>
      </c>
      <c r="Q154" s="139">
        <f>($L154*(1-(Assumptions!$C$25+0.06*(1-1))-Assumptions!$C$27)-Assumptions!$C$28)-MAX(0,($L154*(1-(Assumptions!$C$25+0.06*(1-1))-Assumptions!$C$27)-Assumptions!$C$28)*Assumptions!$C$31)+Assumptions!$C$28-Assumptions!$C$29-$L154*Assumptions!$C$30</f>
        <v>93.83995228</v>
      </c>
      <c r="R154" s="139">
        <f>($M154*(1-(Assumptions!$C$25+0.06*(1-$H154))-Assumptions!$C$27)-Assumptions!$C$28)-MAX(0,($M154*(1-(Assumptions!$C$25+0.06*(1-$H154))-Assumptions!$C$27)-Assumptions!$C$28)*Assumptions!$C$31)+Assumptions!$C$28-Assumptions!$C$29-$M154*Assumptions!$C$30</f>
        <v>100.7741117</v>
      </c>
      <c r="S154" s="139">
        <f>($N154*(1-(Assumptions!$C$25+0.06*(1-$I154))-Assumptions!$C$27)-Assumptions!$C$28)-MAX(0,($N154*(1-(Assumptions!$C$25+0.06*(1-$I154))-Assumptions!$C$27)-Assumptions!$C$28)*Assumptions!$C$31)+Assumptions!$C$28-Assumptions!$C$29-$N154*Assumptions!$C$30</f>
        <v>41.37050053</v>
      </c>
      <c r="T154" s="139">
        <f>($O154*(1-(Assumptions!$C$25+0.06*(1-$J154))-Assumptions!$C$27)-Assumptions!$C$28)-MAX(0,($O154*(1-(Assumptions!$C$25+0.06*(1-$J154))-Assumptions!$C$27)-Assumptions!$C$28)*Assumptions!$C$31)+Assumptions!$C$28-Assumptions!$C$29-$O154*Assumptions!$C$30</f>
        <v>115.9334248</v>
      </c>
      <c r="U154" s="139">
        <f>($P154*(1-(Assumptions!$C$25+0.06*(1-$K154))-Assumptions!$C$27)-Assumptions!$C$28)-MAX(0,($P154*(1-(Assumptions!$C$25+0.06*(1-$K154))-Assumptions!$C$27)-Assumptions!$C$28)*Assumptions!$C$31)+Assumptions!$C$28-Assumptions!$C$29-$P154*Assumptions!$C$30</f>
        <v>48.08401857</v>
      </c>
      <c r="V154" s="143">
        <f>(($Q154/(1+$D154)^1+$R154/(1+$D154)^2+$S154/(1+$D154)^3+$T154/(1+$D154)^4+$U154/(1+$D154)^5+$U154*(1+$E154)/($D154-$E154)/(1+$D154)^5)-Assumptions!$C$37)/Assumptions!$C$40/Assumptions!$C$38</f>
        <v>0.7256945622</v>
      </c>
    </row>
    <row r="155" ht="12.0" customHeight="1">
      <c r="B155" s="139">
        <v>103.0</v>
      </c>
      <c r="C155" s="140">
        <f t="shared" si="6"/>
        <v>0.8504467219</v>
      </c>
      <c r="D155" s="141">
        <f t="shared" si="7"/>
        <v>0.105840339</v>
      </c>
      <c r="E155" s="141">
        <f t="shared" si="8"/>
        <v>0.01268867008</v>
      </c>
      <c r="F155" s="140">
        <f t="shared" si="9"/>
        <v>0.2912294777</v>
      </c>
      <c r="G155" s="141">
        <f t="shared" si="10"/>
        <v>0.05289569959</v>
      </c>
      <c r="H155" s="142">
        <f t="shared" si="11"/>
        <v>1</v>
      </c>
      <c r="I155" s="142">
        <f t="shared" si="12"/>
        <v>1</v>
      </c>
      <c r="J155" s="142">
        <f t="shared" si="13"/>
        <v>1</v>
      </c>
      <c r="K155" s="142">
        <f t="shared" si="14"/>
        <v>1</v>
      </c>
      <c r="L155" s="139">
        <f>Assumptions!$C$6*Assumptions!$C$7*(1+$G155-0.05*(1-1))^1+Assumptions!$C$6*Assumptions!$C$8*(1+Assumptions!$C$11)^1+Assumptions!$C$16*1+Assumptions!$C$6*Assumptions!$C$9*(1+Assumptions!$C$12)^1</f>
        <v>744.2726925</v>
      </c>
      <c r="M155" s="139">
        <f>Assumptions!$C$6*Assumptions!$C$7*(1+$G155-0.05*(1-$H155))^2+Assumptions!$C$6*Assumptions!$C$8*(1+Assumptions!$C$11)^2+Assumptions!$C$16*$H155+Assumptions!$C$6*Assumptions!$C$9*(1+Assumptions!$C$12)^2</f>
        <v>769.6165366</v>
      </c>
      <c r="N155" s="139">
        <f>Assumptions!$C$6*Assumptions!$C$7*(1+$G155-0.05*(1-$I155))^3+Assumptions!$C$6*Assumptions!$C$8*(1+Assumptions!$C$11)^3+Assumptions!$C$16*$I155+Assumptions!$C$6*Assumptions!$C$9*(1+Assumptions!$C$12)^3</f>
        <v>796.0839364</v>
      </c>
      <c r="O155" s="139">
        <f>Assumptions!$C$6*Assumptions!$C$7*(1+$G155-0.05*(1-$J155))^4+Assumptions!$C$6*Assumptions!$C$8*(1+Assumptions!$C$11)^4+Assumptions!$C$16*$J155+Assumptions!$C$6*Assumptions!$C$9*(1+Assumptions!$C$12)^4</f>
        <v>823.7299825</v>
      </c>
      <c r="P155" s="139">
        <f>Assumptions!$C$6*Assumptions!$C$7*(1+$G155-0.05*(1-$K155))^5+Assumptions!$C$6*Assumptions!$C$8*(1+Assumptions!$C$11)^5+Assumptions!$C$16*$K155+Assumptions!$C$6*Assumptions!$C$9*(1+Assumptions!$C$12)^5</f>
        <v>852.6125929</v>
      </c>
      <c r="Q155" s="139">
        <f>($L155*(1-(Assumptions!$C$25+0.06*(1-1))-Assumptions!$C$27)-Assumptions!$C$28)-MAX(0,($L155*(1-(Assumptions!$C$25+0.06*(1-1))-Assumptions!$C$27)-Assumptions!$C$28)*Assumptions!$C$31)+Assumptions!$C$28-Assumptions!$C$29-$L155*Assumptions!$C$30</f>
        <v>92.51862888</v>
      </c>
      <c r="R155" s="139">
        <f>($M155*(1-(Assumptions!$C$25+0.06*(1-$H155))-Assumptions!$C$27)-Assumptions!$C$28)-MAX(0,($M155*(1-(Assumptions!$C$25+0.06*(1-$H155))-Assumptions!$C$27)-Assumptions!$C$28)*Assumptions!$C$31)+Assumptions!$C$28-Assumptions!$C$29-$M155*Assumptions!$C$30</f>
        <v>97.96755538</v>
      </c>
      <c r="S155" s="139">
        <f>($N155*(1-(Assumptions!$C$25+0.06*(1-$I155))-Assumptions!$C$27)-Assumptions!$C$28)-MAX(0,($N155*(1-(Assumptions!$C$25+0.06*(1-$I155))-Assumptions!$C$27)-Assumptions!$C$28)*Assumptions!$C$31)+Assumptions!$C$28-Assumptions!$C$29-$N155*Assumptions!$C$30</f>
        <v>103.6580463</v>
      </c>
      <c r="T155" s="139">
        <f>($O155*(1-(Assumptions!$C$25+0.06*(1-$J155))-Assumptions!$C$27)-Assumptions!$C$28)-MAX(0,($O155*(1-(Assumptions!$C$25+0.06*(1-$J155))-Assumptions!$C$27)-Assumptions!$C$28)*Assumptions!$C$31)+Assumptions!$C$28-Assumptions!$C$29-$O155*Assumptions!$C$30</f>
        <v>109.6019462</v>
      </c>
      <c r="U155" s="139">
        <f>($P155*(1-(Assumptions!$C$25+0.06*(1-$K155))-Assumptions!$C$27)-Assumptions!$C$28)-MAX(0,($P155*(1-(Assumptions!$C$25+0.06*(1-$K155))-Assumptions!$C$27)-Assumptions!$C$28)*Assumptions!$C$31)+Assumptions!$C$28-Assumptions!$C$29-$P155*Assumptions!$C$30</f>
        <v>115.8117075</v>
      </c>
      <c r="V155" s="143">
        <f>(($Q155/(1+$D155)^1+$R155/(1+$D155)^2+$S155/(1+$D155)^3+$T155/(1+$D155)^4+$U155/(1+$D155)^5+$U155*(1+$E155)/($D155-$E155)/(1+$D155)^5)-Assumptions!$C$37)/Assumptions!$C$40/Assumptions!$C$38</f>
        <v>3.5381955</v>
      </c>
    </row>
    <row r="156" ht="12.0" customHeight="1">
      <c r="B156" s="139">
        <v>104.0</v>
      </c>
      <c r="C156" s="140">
        <f t="shared" si="6"/>
        <v>0.6860486122</v>
      </c>
      <c r="D156" s="141">
        <f t="shared" si="7"/>
        <v>0.1017287254</v>
      </c>
      <c r="E156" s="141">
        <f t="shared" si="8"/>
        <v>0.0182606451</v>
      </c>
      <c r="F156" s="140">
        <f t="shared" si="9"/>
        <v>0.5494396242</v>
      </c>
      <c r="G156" s="141">
        <f t="shared" si="10"/>
        <v>0.06152178593</v>
      </c>
      <c r="H156" s="142">
        <f t="shared" si="11"/>
        <v>1</v>
      </c>
      <c r="I156" s="142">
        <f t="shared" si="12"/>
        <v>1</v>
      </c>
      <c r="J156" s="142">
        <f t="shared" si="13"/>
        <v>0</v>
      </c>
      <c r="K156" s="142">
        <f t="shared" si="14"/>
        <v>1</v>
      </c>
      <c r="L156" s="139">
        <f>Assumptions!$C$6*Assumptions!$C$7*(1+$G156-0.05*(1-1))^1+Assumptions!$C$6*Assumptions!$C$8*(1+Assumptions!$C$11)^1+Assumptions!$C$16*1+Assumptions!$C$6*Assumptions!$C$9*(1+Assumptions!$C$12)^1</f>
        <v>747.1762331</v>
      </c>
      <c r="M156" s="139">
        <f>Assumptions!$C$6*Assumptions!$C$7*(1+$G156-0.05*(1-$H156))^2+Assumptions!$C$6*Assumptions!$C$8*(1+Assumptions!$C$11)^2+Assumptions!$C$16*$H156+Assumptions!$C$6*Assumptions!$C$9*(1+Assumptions!$C$12)^2</f>
        <v>775.7558338</v>
      </c>
      <c r="N156" s="139">
        <f>Assumptions!$C$6*Assumptions!$C$7*(1+$G156-0.05*(1-$I156))^3+Assumptions!$C$6*Assumptions!$C$8*(1+Assumptions!$C$11)^3+Assumptions!$C$16*$I156+Assumptions!$C$6*Assumptions!$C$9*(1+Assumptions!$C$12)^3</f>
        <v>805.8197683</v>
      </c>
      <c r="O156" s="139">
        <f>Assumptions!$C$6*Assumptions!$C$7*(1+$G156-0.05*(1-$J156))^4+Assumptions!$C$6*Assumptions!$C$8*(1+Assumptions!$C$11)^4+Assumptions!$C$16*$J156+Assumptions!$C$6*Assumptions!$C$9*(1+Assumptions!$C$12)^4</f>
        <v>702.4416635</v>
      </c>
      <c r="P156" s="139">
        <f>Assumptions!$C$6*Assumptions!$C$7*(1+$G156-0.05*(1-$K156))^5+Assumptions!$C$6*Assumptions!$C$8*(1+Assumptions!$C$11)^5+Assumptions!$C$16*$K156+Assumptions!$C$6*Assumptions!$C$9*(1+Assumptions!$C$12)^5</f>
        <v>870.7491713</v>
      </c>
      <c r="Q156" s="139">
        <f>($L156*(1-(Assumptions!$C$25+0.06*(1-1))-Assumptions!$C$27)-Assumptions!$C$28)-MAX(0,($L156*(1-(Assumptions!$C$25+0.06*(1-1))-Assumptions!$C$27)-Assumptions!$C$28)*Assumptions!$C$31)+Assumptions!$C$28-Assumptions!$C$29-$L156*Assumptions!$C$30</f>
        <v>93.14289013</v>
      </c>
      <c r="R156" s="139">
        <f>($M156*(1-(Assumptions!$C$25+0.06*(1-$H156))-Assumptions!$C$27)-Assumptions!$C$28)-MAX(0,($M156*(1-(Assumptions!$C$25+0.06*(1-$H156))-Assumptions!$C$27)-Assumptions!$C$28)*Assumptions!$C$31)+Assumptions!$C$28-Assumptions!$C$29-$M156*Assumptions!$C$30</f>
        <v>99.28750426</v>
      </c>
      <c r="S156" s="139">
        <f>($N156*(1-(Assumptions!$C$25+0.06*(1-$I156))-Assumptions!$C$27)-Assumptions!$C$28)-MAX(0,($N156*(1-(Assumptions!$C$25+0.06*(1-$I156))-Assumptions!$C$27)-Assumptions!$C$28)*Assumptions!$C$31)+Assumptions!$C$28-Assumptions!$C$29-$N156*Assumptions!$C$30</f>
        <v>105.7512502</v>
      </c>
      <c r="T156" s="139">
        <f>($O156*(1-(Assumptions!$C$25+0.06*(1-$J156))-Assumptions!$C$27)-Assumptions!$C$28)-MAX(0,($O156*(1-(Assumptions!$C$25+0.06*(1-$J156))-Assumptions!$C$27)-Assumptions!$C$28)*Assumptions!$C$31)+Assumptions!$C$28-Assumptions!$C$29-$O156*Assumptions!$C$30</f>
        <v>41.56158259</v>
      </c>
      <c r="U156" s="139">
        <f>($P156*(1-(Assumptions!$C$25+0.06*(1-$K156))-Assumptions!$C$27)-Assumptions!$C$28)-MAX(0,($P156*(1-(Assumptions!$C$25+0.06*(1-$K156))-Assumptions!$C$27)-Assumptions!$C$28)*Assumptions!$C$31)+Assumptions!$C$28-Assumptions!$C$29-$P156*Assumptions!$C$30</f>
        <v>119.7110718</v>
      </c>
      <c r="V156" s="143">
        <f>(($Q156/(1+$D156)^1+$R156/(1+$D156)^2+$S156/(1+$D156)^3+$T156/(1+$D156)^4+$U156/(1+$D156)^5+$U156*(1+$E156)/($D156-$E156)/(1+$D156)^5)-Assumptions!$C$37)/Assumptions!$C$40/Assumptions!$C$38</f>
        <v>4.334188245</v>
      </c>
    </row>
    <row r="157" ht="12.0" customHeight="1">
      <c r="B157" s="139">
        <v>105.0</v>
      </c>
      <c r="C157" s="140">
        <f t="shared" si="6"/>
        <v>0.9727487825</v>
      </c>
      <c r="D157" s="141">
        <f t="shared" si="7"/>
        <v>0.1110900214</v>
      </c>
      <c r="E157" s="141">
        <f t="shared" si="8"/>
        <v>0.01200703935</v>
      </c>
      <c r="F157" s="140">
        <f t="shared" si="9"/>
        <v>0.08514737344</v>
      </c>
      <c r="G157" s="141">
        <f t="shared" si="10"/>
        <v>0.04238003523</v>
      </c>
      <c r="H157" s="142">
        <f t="shared" si="11"/>
        <v>1</v>
      </c>
      <c r="I157" s="142">
        <f t="shared" si="12"/>
        <v>1</v>
      </c>
      <c r="J157" s="142">
        <f t="shared" si="13"/>
        <v>0</v>
      </c>
      <c r="K157" s="142">
        <f t="shared" si="14"/>
        <v>0</v>
      </c>
      <c r="L157" s="139">
        <f>Assumptions!$C$6*Assumptions!$C$7*(1+$G157-0.05*(1-1))^1+Assumptions!$C$6*Assumptions!$C$8*(1+Assumptions!$C$11)^1+Assumptions!$C$16*1+Assumptions!$C$6*Assumptions!$C$9*(1+Assumptions!$C$12)^1</f>
        <v>740.7331199</v>
      </c>
      <c r="M157" s="139">
        <f>Assumptions!$C$6*Assumptions!$C$7*(1+$G157-0.05*(1-$H157))^2+Assumptions!$C$6*Assumptions!$C$8*(1+Assumptions!$C$11)^2+Assumptions!$C$16*$H157+Assumptions!$C$6*Assumptions!$C$9*(1+Assumptions!$C$12)^2</f>
        <v>762.200156</v>
      </c>
      <c r="N157" s="139">
        <f>Assumptions!$C$6*Assumptions!$C$7*(1+$G157-0.05*(1-$I157))^3+Assumptions!$C$6*Assumptions!$C$8*(1+Assumptions!$C$11)^3+Assumptions!$C$16*$I157+Assumptions!$C$6*Assumptions!$C$9*(1+Assumptions!$C$12)^3</f>
        <v>784.4293167</v>
      </c>
      <c r="O157" s="139">
        <f>Assumptions!$C$6*Assumptions!$C$7*(1+$G157-0.05*(1-$J157))^4+Assumptions!$C$6*Assumptions!$C$8*(1+Assumptions!$C$11)^4+Assumptions!$C$16*$J157+Assumptions!$C$6*Assumptions!$C$9*(1+Assumptions!$C$12)^4</f>
        <v>676.5157112</v>
      </c>
      <c r="P157" s="139">
        <f>Assumptions!$C$6*Assumptions!$C$7*(1+$G157-0.05*(1-$K157))^5+Assumptions!$C$6*Assumptions!$C$8*(1+Assumptions!$C$11)^5+Assumptions!$C$16*$K157+Assumptions!$C$6*Assumptions!$C$9*(1+Assumptions!$C$12)^5</f>
        <v>681.0292904</v>
      </c>
      <c r="Q157" s="139">
        <f>($L157*(1-(Assumptions!$C$25+0.06*(1-1))-Assumptions!$C$27)-Assumptions!$C$28)-MAX(0,($L157*(1-(Assumptions!$C$25+0.06*(1-1))-Assumptions!$C$27)-Assumptions!$C$28)*Assumptions!$C$31)+Assumptions!$C$28-Assumptions!$C$29-$L157*Assumptions!$C$30</f>
        <v>91.75762077</v>
      </c>
      <c r="R157" s="139">
        <f>($M157*(1-(Assumptions!$C$25+0.06*(1-$H157))-Assumptions!$C$27)-Assumptions!$C$28)-MAX(0,($M157*(1-(Assumptions!$C$25+0.06*(1-$H157))-Assumptions!$C$27)-Assumptions!$C$28)*Assumptions!$C$31)+Assumptions!$C$28-Assumptions!$C$29-$M157*Assumptions!$C$30</f>
        <v>96.37303354</v>
      </c>
      <c r="S157" s="139">
        <f>($N157*(1-(Assumptions!$C$25+0.06*(1-$I157))-Assumptions!$C$27)-Assumptions!$C$28)-MAX(0,($N157*(1-(Assumptions!$C$25+0.06*(1-$I157))-Assumptions!$C$27)-Assumptions!$C$28)*Assumptions!$C$31)+Assumptions!$C$28-Assumptions!$C$29-$N157*Assumptions!$C$30</f>
        <v>101.1523031</v>
      </c>
      <c r="T157" s="139">
        <f>($O157*(1-(Assumptions!$C$25+0.06*(1-$J157))-Assumptions!$C$27)-Assumptions!$C$28)-MAX(0,($O157*(1-(Assumptions!$C$25+0.06*(1-$J157))-Assumptions!$C$27)-Assumptions!$C$28)*Assumptions!$C$31)+Assumptions!$C$28-Assumptions!$C$29-$O157*Assumptions!$C$30</f>
        <v>35.59861357</v>
      </c>
      <c r="U157" s="139">
        <f>($P157*(1-(Assumptions!$C$25+0.06*(1-$K157))-Assumptions!$C$27)-Assumptions!$C$28)-MAX(0,($P157*(1-(Assumptions!$C$25+0.06*(1-$K157))-Assumptions!$C$27)-Assumptions!$C$28)*Assumptions!$C$31)+Assumptions!$C$28-Assumptions!$C$29-$P157*Assumptions!$C$30</f>
        <v>36.63673679</v>
      </c>
      <c r="V157" s="143">
        <f>(($Q157/(1+$D157)^1+$R157/(1+$D157)^2+$S157/(1+$D157)^3+$T157/(1+$D157)^4+$U157/(1+$D157)^5+$U157*(1+$E157)/($D157-$E157)/(1+$D157)^5)-Assumptions!$C$37)/Assumptions!$C$40/Assumptions!$C$38</f>
        <v>-1.493151877</v>
      </c>
    </row>
    <row r="158" ht="12.0" customHeight="1">
      <c r="B158" s="139">
        <v>106.0</v>
      </c>
      <c r="C158" s="140">
        <f t="shared" si="6"/>
        <v>0.14106575</v>
      </c>
      <c r="D158" s="141">
        <f t="shared" si="7"/>
        <v>0.09191529387</v>
      </c>
      <c r="E158" s="141">
        <f t="shared" si="8"/>
        <v>0.01287371522</v>
      </c>
      <c r="F158" s="140">
        <f t="shared" si="9"/>
        <v>0.5061927576</v>
      </c>
      <c r="G158" s="141">
        <f t="shared" si="10"/>
        <v>0.06018636157</v>
      </c>
      <c r="H158" s="142">
        <f t="shared" si="11"/>
        <v>0</v>
      </c>
      <c r="I158" s="142">
        <f t="shared" si="12"/>
        <v>1</v>
      </c>
      <c r="J158" s="142">
        <f t="shared" si="13"/>
        <v>1</v>
      </c>
      <c r="K158" s="142">
        <f t="shared" si="14"/>
        <v>1</v>
      </c>
      <c r="L158" s="139">
        <f>Assumptions!$C$6*Assumptions!$C$7*(1+$G158-0.05*(1-1))^1+Assumptions!$C$6*Assumptions!$C$8*(1+Assumptions!$C$11)^1+Assumptions!$C$16*1+Assumptions!$C$6*Assumptions!$C$9*(1+Assumptions!$C$12)^1</f>
        <v>746.7267293</v>
      </c>
      <c r="M158" s="139">
        <f>Assumptions!$C$6*Assumptions!$C$7*(1+$G158-0.05*(1-$H158))^2+Assumptions!$C$6*Assumptions!$C$8*(1+Assumptions!$C$11)^2+Assumptions!$C$16*$H158+Assumptions!$C$6*Assumptions!$C$9*(1+Assumptions!$C$12)^2</f>
        <v>679.9577449</v>
      </c>
      <c r="N158" s="139">
        <f>Assumptions!$C$6*Assumptions!$C$7*(1+$G158-0.05*(1-$I158))^3+Assumptions!$C$6*Assumptions!$C$8*(1+Assumptions!$C$11)^3+Assumptions!$C$16*$I158+Assumptions!$C$6*Assumptions!$C$9*(1+Assumptions!$C$12)^3</f>
        <v>804.3021379</v>
      </c>
      <c r="O158" s="139">
        <f>Assumptions!$C$6*Assumptions!$C$7*(1+$G158-0.05*(1-$J158))^4+Assumptions!$C$6*Assumptions!$C$8*(1+Assumptions!$C$11)^4+Assumptions!$C$16*$J158+Assumptions!$C$6*Assumptions!$C$9*(1+Assumptions!$C$12)^4</f>
        <v>835.3072305</v>
      </c>
      <c r="P158" s="139">
        <f>Assumptions!$C$6*Assumptions!$C$7*(1+$G158-0.05*(1-$K158))^5+Assumptions!$C$6*Assumptions!$C$8*(1+Assumptions!$C$11)^5+Assumptions!$C$16*$K158+Assumptions!$C$6*Assumptions!$C$9*(1+Assumptions!$C$12)^5</f>
        <v>867.9025719</v>
      </c>
      <c r="Q158" s="139">
        <f>($L158*(1-(Assumptions!$C$25+0.06*(1-1))-Assumptions!$C$27)-Assumptions!$C$28)-MAX(0,($L158*(1-(Assumptions!$C$25+0.06*(1-1))-Assumptions!$C$27)-Assumptions!$C$28)*Assumptions!$C$31)+Assumptions!$C$28-Assumptions!$C$29-$L158*Assumptions!$C$30</f>
        <v>93.0462468</v>
      </c>
      <c r="R158" s="139">
        <f>($M158*(1-(Assumptions!$C$25+0.06*(1-$H158))-Assumptions!$C$27)-Assumptions!$C$28)-MAX(0,($M158*(1-(Assumptions!$C$25+0.06*(1-$H158))-Assumptions!$C$27)-Assumptions!$C$28)*Assumptions!$C$31)+Assumptions!$C$28-Assumptions!$C$29-$M158*Assumptions!$C$30</f>
        <v>36.39028132</v>
      </c>
      <c r="S158" s="139">
        <f>($N158*(1-(Assumptions!$C$25+0.06*(1-$I158))-Assumptions!$C$27)-Assumptions!$C$28)-MAX(0,($N158*(1-(Assumptions!$C$25+0.06*(1-$I158))-Assumptions!$C$27)-Assumptions!$C$28)*Assumptions!$C$31)+Assumptions!$C$28-Assumptions!$C$29-$N158*Assumptions!$C$30</f>
        <v>105.4249597</v>
      </c>
      <c r="T158" s="139">
        <f>($O158*(1-(Assumptions!$C$25+0.06*(1-$J158))-Assumptions!$C$27)-Assumptions!$C$28)-MAX(0,($O158*(1-(Assumptions!$C$25+0.06*(1-$J158))-Assumptions!$C$27)-Assumptions!$C$28)*Assumptions!$C$31)+Assumptions!$C$28-Assumptions!$C$29-$O158*Assumptions!$C$30</f>
        <v>112.0910546</v>
      </c>
      <c r="U158" s="139">
        <f>($P158*(1-(Assumptions!$C$25+0.06*(1-$K158))-Assumptions!$C$27)-Assumptions!$C$28)-MAX(0,($P158*(1-(Assumptions!$C$25+0.06*(1-$K158))-Assumptions!$C$27)-Assumptions!$C$28)*Assumptions!$C$31)+Assumptions!$C$28-Assumptions!$C$29-$P158*Assumptions!$C$30</f>
        <v>119.099053</v>
      </c>
      <c r="V158" s="143">
        <f>(($Q158/(1+$D158)^1+$R158/(1+$D158)^2+$S158/(1+$D158)^3+$T158/(1+$D158)^4+$U158/(1+$D158)^5+$U158*(1+$E158)/($D158-$E158)/(1+$D158)^5)-Assumptions!$C$37)/Assumptions!$C$40/Assumptions!$C$38</f>
        <v>5.024549483</v>
      </c>
    </row>
    <row r="159" ht="12.0" customHeight="1">
      <c r="B159" s="139">
        <v>107.0</v>
      </c>
      <c r="C159" s="140">
        <f t="shared" si="6"/>
        <v>0.1136830048</v>
      </c>
      <c r="D159" s="141">
        <f t="shared" si="7"/>
        <v>0.09120794158</v>
      </c>
      <c r="E159" s="141">
        <f t="shared" si="8"/>
        <v>0.02636379863</v>
      </c>
      <c r="F159" s="140">
        <f t="shared" si="9"/>
        <v>0.6206445648</v>
      </c>
      <c r="G159" s="141">
        <f t="shared" si="10"/>
        <v>0.06386879675</v>
      </c>
      <c r="H159" s="142">
        <f t="shared" si="11"/>
        <v>0</v>
      </c>
      <c r="I159" s="142">
        <f t="shared" si="12"/>
        <v>1</v>
      </c>
      <c r="J159" s="142">
        <f t="shared" si="13"/>
        <v>1</v>
      </c>
      <c r="K159" s="142">
        <f t="shared" si="14"/>
        <v>1</v>
      </c>
      <c r="L159" s="139">
        <f>Assumptions!$C$6*Assumptions!$C$7*(1+$G159-0.05*(1-1))^1+Assumptions!$C$6*Assumptions!$C$8*(1+Assumptions!$C$11)^1+Assumptions!$C$16*1+Assumptions!$C$6*Assumptions!$C$9*(1+Assumptions!$C$12)^1</f>
        <v>747.966237</v>
      </c>
      <c r="M159" s="139">
        <f>Assumptions!$C$6*Assumptions!$C$7*(1+$G159-0.05*(1-$H159))^2+Assumptions!$C$6*Assumptions!$C$8*(1+Assumptions!$C$11)^2+Assumptions!$C$16*$H159+Assumptions!$C$6*Assumptions!$C$9*(1+Assumptions!$C$12)^2</f>
        <v>682.4665768</v>
      </c>
      <c r="N159" s="139">
        <f>Assumptions!$C$6*Assumptions!$C$7*(1+$G159-0.05*(1-$I159))^3+Assumptions!$C$6*Assumptions!$C$8*(1+Assumptions!$C$11)^3+Assumptions!$C$16*$I159+Assumptions!$C$6*Assumptions!$C$9*(1+Assumptions!$C$12)^3</f>
        <v>808.4962739</v>
      </c>
      <c r="O159" s="139">
        <f>Assumptions!$C$6*Assumptions!$C$7*(1+$G159-0.05*(1-$J159))^4+Assumptions!$C$6*Assumptions!$C$8*(1+Assumptions!$C$11)^4+Assumptions!$C$16*$J159+Assumptions!$C$6*Assumptions!$C$9*(1+Assumptions!$C$12)^4</f>
        <v>841.2462931</v>
      </c>
      <c r="P159" s="139">
        <f>Assumptions!$C$6*Assumptions!$C$7*(1+$G159-0.05*(1-$K159))^5+Assumptions!$C$6*Assumptions!$C$8*(1+Assumptions!$C$11)^5+Assumptions!$C$16*$K159+Assumptions!$C$6*Assumptions!$C$9*(1+Assumptions!$C$12)^5</f>
        <v>875.786906</v>
      </c>
      <c r="Q159" s="139">
        <f>($L159*(1-(Assumptions!$C$25+0.06*(1-1))-Assumptions!$C$27)-Assumptions!$C$28)-MAX(0,($L159*(1-(Assumptions!$C$25+0.06*(1-1))-Assumptions!$C$27)-Assumptions!$C$28)*Assumptions!$C$31)+Assumptions!$C$28-Assumptions!$C$29-$L159*Assumptions!$C$30</f>
        <v>93.31274095</v>
      </c>
      <c r="R159" s="139">
        <f>($M159*(1-(Assumptions!$C$25+0.06*(1-$H159))-Assumptions!$C$27)-Assumptions!$C$28)-MAX(0,($M159*(1-(Assumptions!$C$25+0.06*(1-$H159))-Assumptions!$C$27)-Assumptions!$C$28)*Assumptions!$C$31)+Assumptions!$C$28-Assumptions!$C$29-$M159*Assumptions!$C$30</f>
        <v>36.96731266</v>
      </c>
      <c r="S159" s="139">
        <f>($N159*(1-(Assumptions!$C$25+0.06*(1-$I159))-Assumptions!$C$27)-Assumptions!$C$28)-MAX(0,($N159*(1-(Assumptions!$C$25+0.06*(1-$I159))-Assumptions!$C$27)-Assumptions!$C$28)*Assumptions!$C$31)+Assumptions!$C$28-Assumptions!$C$29-$N159*Assumptions!$C$30</f>
        <v>106.3266989</v>
      </c>
      <c r="T159" s="139">
        <f>($O159*(1-(Assumptions!$C$25+0.06*(1-$J159))-Assumptions!$C$27)-Assumptions!$C$28)-MAX(0,($O159*(1-(Assumptions!$C$25+0.06*(1-$J159))-Assumptions!$C$27)-Assumptions!$C$28)*Assumptions!$C$31)+Assumptions!$C$28-Assumptions!$C$29-$O159*Assumptions!$C$30</f>
        <v>113.367953</v>
      </c>
      <c r="U159" s="139">
        <f>($P159*(1-(Assumptions!$C$25+0.06*(1-$K159))-Assumptions!$C$27)-Assumptions!$C$28)-MAX(0,($P159*(1-(Assumptions!$C$25+0.06*(1-$K159))-Assumptions!$C$27)-Assumptions!$C$28)*Assumptions!$C$31)+Assumptions!$C$28-Assumptions!$C$29-$P159*Assumptions!$C$30</f>
        <v>120.7941848</v>
      </c>
      <c r="V159" s="143">
        <f>(($Q159/(1+$D159)^1+$R159/(1+$D159)^2+$S159/(1+$D159)^3+$T159/(1+$D159)^4+$U159/(1+$D159)^5+$U159*(1+$E159)/($D159-$E159)/(1+$D159)^5)-Assumptions!$C$37)/Assumptions!$C$40/Assumptions!$C$38</f>
        <v>7.027441342</v>
      </c>
    </row>
    <row r="160" ht="12.0" customHeight="1">
      <c r="B160" s="139">
        <v>108.0</v>
      </c>
      <c r="C160" s="140">
        <f t="shared" si="6"/>
        <v>0.2942959489</v>
      </c>
      <c r="D160" s="141">
        <f t="shared" si="7"/>
        <v>0.0949883095</v>
      </c>
      <c r="E160" s="141">
        <f t="shared" si="8"/>
        <v>0.02280413725</v>
      </c>
      <c r="F160" s="140">
        <f t="shared" si="9"/>
        <v>0.8005189877</v>
      </c>
      <c r="G160" s="141">
        <f t="shared" si="10"/>
        <v>0.07105096778</v>
      </c>
      <c r="H160" s="142">
        <f t="shared" si="11"/>
        <v>0</v>
      </c>
      <c r="I160" s="142">
        <f t="shared" si="12"/>
        <v>1</v>
      </c>
      <c r="J160" s="142">
        <f t="shared" si="13"/>
        <v>1</v>
      </c>
      <c r="K160" s="142">
        <f t="shared" si="14"/>
        <v>1</v>
      </c>
      <c r="L160" s="139">
        <f>Assumptions!$C$6*Assumptions!$C$7*(1+$G160-0.05*(1-1))^1+Assumptions!$C$6*Assumptions!$C$8*(1+Assumptions!$C$11)^1+Assumptions!$C$16*1+Assumptions!$C$6*Assumptions!$C$9*(1+Assumptions!$C$12)^1</f>
        <v>750.3837558</v>
      </c>
      <c r="M160" s="139">
        <f>Assumptions!$C$6*Assumptions!$C$7*(1+$G160-0.05*(1-$H160))^2+Assumptions!$C$6*Assumptions!$C$8*(1+Assumptions!$C$11)^2+Assumptions!$C$16*$H160+Assumptions!$C$6*Assumptions!$C$9*(1+Assumptions!$C$12)^2</f>
        <v>687.3860335</v>
      </c>
      <c r="N160" s="139">
        <f>Assumptions!$C$6*Assumptions!$C$7*(1+$G160-0.05*(1-$I160))^3+Assumptions!$C$6*Assumptions!$C$8*(1+Assumptions!$C$11)^3+Assumptions!$C$16*$I160+Assumptions!$C$6*Assumptions!$C$9*(1+Assumptions!$C$12)^3</f>
        <v>816.7603797</v>
      </c>
      <c r="O160" s="139">
        <f>Assumptions!$C$6*Assumptions!$C$7*(1+$G160-0.05*(1-$J160))^4+Assumptions!$C$6*Assumptions!$C$8*(1+Assumptions!$C$11)^4+Assumptions!$C$16*$J160+Assumptions!$C$6*Assumptions!$C$9*(1+Assumptions!$C$12)^4</f>
        <v>853.0085172</v>
      </c>
      <c r="P160" s="139">
        <f>Assumptions!$C$6*Assumptions!$C$7*(1+$G160-0.05*(1-$K160))^5+Assumptions!$C$6*Assumptions!$C$8*(1+Assumptions!$C$11)^5+Assumptions!$C$16*$K160+Assumptions!$C$6*Assumptions!$C$9*(1+Assumptions!$C$12)^5</f>
        <v>891.4817115</v>
      </c>
      <c r="Q160" s="139">
        <f>($L160*(1-(Assumptions!$C$25+0.06*(1-1))-Assumptions!$C$27)-Assumptions!$C$28)-MAX(0,($L160*(1-(Assumptions!$C$25+0.06*(1-1))-Assumptions!$C$27)-Assumptions!$C$28)*Assumptions!$C$31)+Assumptions!$C$28-Assumptions!$C$29-$L160*Assumptions!$C$30</f>
        <v>93.83250749</v>
      </c>
      <c r="R160" s="139">
        <f>($M160*(1-(Assumptions!$C$25+0.06*(1-$H160))-Assumptions!$C$27)-Assumptions!$C$28)-MAX(0,($M160*(1-(Assumptions!$C$25+0.06*(1-$H160))-Assumptions!$C$27)-Assumptions!$C$28)*Assumptions!$C$31)+Assumptions!$C$28-Assumptions!$C$29-$M160*Assumptions!$C$30</f>
        <v>38.09878771</v>
      </c>
      <c r="S160" s="139">
        <f>($N160*(1-(Assumptions!$C$25+0.06*(1-$I160))-Assumptions!$C$27)-Assumptions!$C$28)-MAX(0,($N160*(1-(Assumptions!$C$25+0.06*(1-$I160))-Assumptions!$C$27)-Assumptions!$C$28)*Assumptions!$C$31)+Assumptions!$C$28-Assumptions!$C$29-$N160*Assumptions!$C$30</f>
        <v>108.1034816</v>
      </c>
      <c r="T160" s="139">
        <f>($O160*(1-(Assumptions!$C$25+0.06*(1-$J160))-Assumptions!$C$27)-Assumptions!$C$28)-MAX(0,($O160*(1-(Assumptions!$C$25+0.06*(1-$J160))-Assumptions!$C$27)-Assumptions!$C$28)*Assumptions!$C$31)+Assumptions!$C$28-Assumptions!$C$29-$O160*Assumptions!$C$30</f>
        <v>115.8968312</v>
      </c>
      <c r="U160" s="139">
        <f>($P160*(1-(Assumptions!$C$25+0.06*(1-$K160))-Assumptions!$C$27)-Assumptions!$C$28)-MAX(0,($P160*(1-(Assumptions!$C$25+0.06*(1-$K160))-Assumptions!$C$27)-Assumptions!$C$28)*Assumptions!$C$31)+Assumptions!$C$28-Assumptions!$C$29-$P160*Assumptions!$C$30</f>
        <v>124.168568</v>
      </c>
      <c r="V160" s="143">
        <f>(($Q160/(1+$D160)^1+$R160/(1+$D160)^2+$S160/(1+$D160)^3+$T160/(1+$D160)^4+$U160/(1+$D160)^5+$U160*(1+$E160)/($D160-$E160)/(1+$D160)^5)-Assumptions!$C$37)/Assumptions!$C$40/Assumptions!$C$38</f>
        <v>6.128289888</v>
      </c>
    </row>
    <row r="161" ht="12.0" customHeight="1">
      <c r="B161" s="139">
        <v>109.0</v>
      </c>
      <c r="C161" s="140">
        <f t="shared" si="6"/>
        <v>0.8092246065</v>
      </c>
      <c r="D161" s="141">
        <f t="shared" si="7"/>
        <v>0.1046547114</v>
      </c>
      <c r="E161" s="141">
        <f t="shared" si="8"/>
        <v>0.01073270584</v>
      </c>
      <c r="F161" s="140">
        <f t="shared" si="9"/>
        <v>0.4045256645</v>
      </c>
      <c r="G161" s="141">
        <f t="shared" si="10"/>
        <v>0.05698418418</v>
      </c>
      <c r="H161" s="142">
        <f t="shared" si="11"/>
        <v>1</v>
      </c>
      <c r="I161" s="142">
        <f t="shared" si="12"/>
        <v>1</v>
      </c>
      <c r="J161" s="142">
        <f t="shared" si="13"/>
        <v>0</v>
      </c>
      <c r="K161" s="142">
        <f t="shared" si="14"/>
        <v>0</v>
      </c>
      <c r="L161" s="139">
        <f>Assumptions!$C$6*Assumptions!$C$7*(1+$G161-0.05*(1-1))^1+Assumptions!$C$6*Assumptions!$C$8*(1+Assumptions!$C$11)^1+Assumptions!$C$16*1+Assumptions!$C$6*Assumptions!$C$9*(1+Assumptions!$C$12)^1</f>
        <v>745.6488764</v>
      </c>
      <c r="M161" s="139">
        <f>Assumptions!$C$6*Assumptions!$C$7*(1+$G161-0.05*(1-$H161))^2+Assumptions!$C$6*Assumptions!$C$8*(1+Assumptions!$C$11)^2+Assumptions!$C$16*$H161+Assumptions!$C$6*Assumptions!$C$9*(1+Assumptions!$C$12)^2</f>
        <v>772.5201194</v>
      </c>
      <c r="N161" s="139">
        <f>Assumptions!$C$6*Assumptions!$C$7*(1+$G161-0.05*(1-$I161))^3+Assumptions!$C$6*Assumptions!$C$8*(1+Assumptions!$C$11)^3+Assumptions!$C$16*$I161+Assumptions!$C$6*Assumptions!$C$9*(1+Assumptions!$C$12)^3</f>
        <v>800.6786003</v>
      </c>
      <c r="O161" s="139">
        <f>Assumptions!$C$6*Assumptions!$C$7*(1+$G161-0.05*(1-$J161))^4+Assumptions!$C$6*Assumptions!$C$8*(1+Assumptions!$C$11)^4+Assumptions!$C$16*$J161+Assumptions!$C$6*Assumptions!$C$9*(1+Assumptions!$C$12)^4</f>
        <v>696.1610393</v>
      </c>
      <c r="P161" s="139">
        <f>Assumptions!$C$6*Assumptions!$C$7*(1+$G161-0.05*(1-$K161))^5+Assumptions!$C$6*Assumptions!$C$8*(1+Assumptions!$C$11)^5+Assumptions!$C$16*$K161+Assumptions!$C$6*Assumptions!$C$9*(1+Assumptions!$C$12)^5</f>
        <v>705.579454</v>
      </c>
      <c r="Q161" s="139">
        <f>($L161*(1-(Assumptions!$C$25+0.06*(1-1))-Assumptions!$C$27)-Assumptions!$C$28)-MAX(0,($L161*(1-(Assumptions!$C$25+0.06*(1-1))-Assumptions!$C$27)-Assumptions!$C$28)*Assumptions!$C$31)+Assumptions!$C$28-Assumptions!$C$29-$L161*Assumptions!$C$30</f>
        <v>92.81450843</v>
      </c>
      <c r="R161" s="139">
        <f>($M161*(1-(Assumptions!$C$25+0.06*(1-$H161))-Assumptions!$C$27)-Assumptions!$C$28)-MAX(0,($M161*(1-(Assumptions!$C$25+0.06*(1-$H161))-Assumptions!$C$27)-Assumptions!$C$28)*Assumptions!$C$31)+Assumptions!$C$28-Assumptions!$C$29-$M161*Assumptions!$C$30</f>
        <v>98.59182567</v>
      </c>
      <c r="S161" s="139">
        <f>($N161*(1-(Assumptions!$C$25+0.06*(1-$I161))-Assumptions!$C$27)-Assumptions!$C$28)-MAX(0,($N161*(1-(Assumptions!$C$25+0.06*(1-$I161))-Assumptions!$C$27)-Assumptions!$C$28)*Assumptions!$C$31)+Assumptions!$C$28-Assumptions!$C$29-$N161*Assumptions!$C$30</f>
        <v>104.6458991</v>
      </c>
      <c r="T161" s="139">
        <f>($O161*(1-(Assumptions!$C$25+0.06*(1-$J161))-Assumptions!$C$27)-Assumptions!$C$28)-MAX(0,($O161*(1-(Assumptions!$C$25+0.06*(1-$J161))-Assumptions!$C$27)-Assumptions!$C$28)*Assumptions!$C$31)+Assumptions!$C$28-Assumptions!$C$29-$O161*Assumptions!$C$30</f>
        <v>40.11703905</v>
      </c>
      <c r="U161" s="139">
        <f>($P161*(1-(Assumptions!$C$25+0.06*(1-$K161))-Assumptions!$C$27)-Assumptions!$C$28)-MAX(0,($P161*(1-(Assumptions!$C$25+0.06*(1-$K161))-Assumptions!$C$27)-Assumptions!$C$28)*Assumptions!$C$31)+Assumptions!$C$28-Assumptions!$C$29-$P161*Assumptions!$C$30</f>
        <v>42.28327442</v>
      </c>
      <c r="V161" s="143">
        <f>(($Q161/(1+$D161)^1+$R161/(1+$D161)^2+$S161/(1+$D161)^3+$T161/(1+$D161)^4+$U161/(1+$D161)^5+$U161*(1+$E161)/($D161-$E161)/(1+$D161)^5)-Assumptions!$C$37)/Assumptions!$C$40/Assumptions!$C$38</f>
        <v>-0.9362385215</v>
      </c>
    </row>
    <row r="162" ht="12.0" customHeight="1">
      <c r="B162" s="139">
        <v>110.0</v>
      </c>
      <c r="C162" s="140">
        <f t="shared" si="6"/>
        <v>0.2497855394</v>
      </c>
      <c r="D162" s="141">
        <f t="shared" si="7"/>
        <v>0.09420202683</v>
      </c>
      <c r="E162" s="141">
        <f t="shared" si="8"/>
        <v>0.01958273644</v>
      </c>
      <c r="F162" s="140">
        <f t="shared" si="9"/>
        <v>0.8271083269</v>
      </c>
      <c r="G162" s="141">
        <f t="shared" si="10"/>
        <v>0.0723589963</v>
      </c>
      <c r="H162" s="142">
        <f t="shared" si="11"/>
        <v>0</v>
      </c>
      <c r="I162" s="142">
        <f t="shared" si="12"/>
        <v>1</v>
      </c>
      <c r="J162" s="142">
        <f t="shared" si="13"/>
        <v>0</v>
      </c>
      <c r="K162" s="142">
        <f t="shared" si="14"/>
        <v>0</v>
      </c>
      <c r="L162" s="139">
        <f>Assumptions!$C$6*Assumptions!$C$7*(1+$G162-0.05*(1-1))^1+Assumptions!$C$6*Assumptions!$C$8*(1+Assumptions!$C$11)^1+Assumptions!$C$16*1+Assumptions!$C$6*Assumptions!$C$9*(1+Assumptions!$C$12)^1</f>
        <v>750.8240382</v>
      </c>
      <c r="M162" s="139">
        <f>Assumptions!$C$6*Assumptions!$C$7*(1+$G162-0.05*(1-$H162))^2+Assumptions!$C$6*Assumptions!$C$8*(1+Assumptions!$C$11)^2+Assumptions!$C$16*$H162+Assumptions!$C$6*Assumptions!$C$9*(1+Assumptions!$C$12)^2</f>
        <v>688.285711</v>
      </c>
      <c r="N162" s="139">
        <f>Assumptions!$C$6*Assumptions!$C$7*(1+$G162-0.05*(1-$I162))^3+Assumptions!$C$6*Assumptions!$C$8*(1+Assumptions!$C$11)^3+Assumptions!$C$16*$I162+Assumptions!$C$6*Assumptions!$C$9*(1+Assumptions!$C$12)^3</f>
        <v>818.277441</v>
      </c>
      <c r="O162" s="139">
        <f>Assumptions!$C$6*Assumptions!$C$7*(1+$G162-0.05*(1-$J162))^4+Assumptions!$C$6*Assumptions!$C$8*(1+Assumptions!$C$11)^4+Assumptions!$C$16*$J162+Assumptions!$C$6*Assumptions!$C$9*(1+Assumptions!$C$12)^4</f>
        <v>717.7874951</v>
      </c>
      <c r="P162" s="139">
        <f>Assumptions!$C$6*Assumptions!$C$7*(1+$G162-0.05*(1-$K162))^5+Assumptions!$C$6*Assumptions!$C$8*(1+Assumptions!$C$11)^5+Assumptions!$C$16*$K162+Assumptions!$C$6*Assumptions!$C$9*(1+Assumptions!$C$12)^5</f>
        <v>733.0107162</v>
      </c>
      <c r="Q162" s="139">
        <f>($L162*(1-(Assumptions!$C$25+0.06*(1-1))-Assumptions!$C$27)-Assumptions!$C$28)-MAX(0,($L162*(1-(Assumptions!$C$25+0.06*(1-1))-Assumptions!$C$27)-Assumptions!$C$28)*Assumptions!$C$31)+Assumptions!$C$28-Assumptions!$C$29-$L162*Assumptions!$C$30</f>
        <v>93.9271682</v>
      </c>
      <c r="R162" s="139">
        <f>($M162*(1-(Assumptions!$C$25+0.06*(1-$H162))-Assumptions!$C$27)-Assumptions!$C$28)-MAX(0,($M162*(1-(Assumptions!$C$25+0.06*(1-$H162))-Assumptions!$C$27)-Assumptions!$C$28)*Assumptions!$C$31)+Assumptions!$C$28-Assumptions!$C$29-$M162*Assumptions!$C$30</f>
        <v>38.30571352</v>
      </c>
      <c r="S162" s="139">
        <f>($N162*(1-(Assumptions!$C$25+0.06*(1-$I162))-Assumptions!$C$27)-Assumptions!$C$28)-MAX(0,($N162*(1-(Assumptions!$C$25+0.06*(1-$I162))-Assumptions!$C$27)-Assumptions!$C$28)*Assumptions!$C$31)+Assumptions!$C$28-Assumptions!$C$29-$N162*Assumptions!$C$30</f>
        <v>108.4296498</v>
      </c>
      <c r="T162" s="139">
        <f>($O162*(1-(Assumptions!$C$25+0.06*(1-$J162))-Assumptions!$C$27)-Assumptions!$C$28)-MAX(0,($O162*(1-(Assumptions!$C$25+0.06*(1-$J162))-Assumptions!$C$27)-Assumptions!$C$28)*Assumptions!$C$31)+Assumptions!$C$28-Assumptions!$C$29-$O162*Assumptions!$C$30</f>
        <v>45.09112386</v>
      </c>
      <c r="U162" s="139">
        <f>($P162*(1-(Assumptions!$C$25+0.06*(1-$K162))-Assumptions!$C$27)-Assumptions!$C$28)-MAX(0,($P162*(1-(Assumptions!$C$25+0.06*(1-$K162))-Assumptions!$C$27)-Assumptions!$C$28)*Assumptions!$C$31)+Assumptions!$C$28-Assumptions!$C$29-$P162*Assumptions!$C$30</f>
        <v>48.59246471</v>
      </c>
      <c r="V162" s="143">
        <f>(($Q162/(1+$D162)^1+$R162/(1+$D162)^2+$S162/(1+$D162)^3+$T162/(1+$D162)^4+$U162/(1+$D162)^5+$U162*(1+$E162)/($D162-$E162)/(1+$D162)^5)-Assumptions!$C$37)/Assumptions!$C$40/Assumptions!$C$38</f>
        <v>-0.0418166685</v>
      </c>
    </row>
    <row r="163" ht="12.0" customHeight="1">
      <c r="B163" s="139">
        <v>111.0</v>
      </c>
      <c r="C163" s="140">
        <f t="shared" si="6"/>
        <v>0.127113658</v>
      </c>
      <c r="D163" s="141">
        <f t="shared" si="7"/>
        <v>0.09156441392</v>
      </c>
      <c r="E163" s="141">
        <f t="shared" si="8"/>
        <v>0.01129869844</v>
      </c>
      <c r="F163" s="140">
        <f t="shared" si="9"/>
        <v>0.7486374602</v>
      </c>
      <c r="G163" s="141">
        <f t="shared" si="10"/>
        <v>0.06872906745</v>
      </c>
      <c r="H163" s="142">
        <f t="shared" si="11"/>
        <v>1</v>
      </c>
      <c r="I163" s="142">
        <f t="shared" si="12"/>
        <v>1</v>
      </c>
      <c r="J163" s="142">
        <f t="shared" si="13"/>
        <v>1</v>
      </c>
      <c r="K163" s="142">
        <f t="shared" si="14"/>
        <v>1</v>
      </c>
      <c r="L163" s="139">
        <f>Assumptions!$C$6*Assumptions!$C$7*(1+$G163-0.05*(1-1))^1+Assumptions!$C$6*Assumptions!$C$8*(1+Assumptions!$C$11)^1+Assumptions!$C$16*1+Assumptions!$C$6*Assumptions!$C$9*(1+Assumptions!$C$12)^1</f>
        <v>749.6022041</v>
      </c>
      <c r="M163" s="139">
        <f>Assumptions!$C$6*Assumptions!$C$7*(1+$G163-0.05*(1-$H163))^2+Assumptions!$C$6*Assumptions!$C$8*(1+Assumptions!$C$11)^2+Assumptions!$C$16*$H163+Assumptions!$C$6*Assumptions!$C$9*(1+Assumptions!$C$12)^2</f>
        <v>780.9237605</v>
      </c>
      <c r="N163" s="139">
        <f>Assumptions!$C$6*Assumptions!$C$7*(1+$G163-0.05*(1-$I163))^3+Assumptions!$C$6*Assumptions!$C$8*(1+Assumptions!$C$11)^3+Assumptions!$C$16*$I163+Assumptions!$C$6*Assumptions!$C$9*(1+Assumptions!$C$12)^3</f>
        <v>814.076535</v>
      </c>
      <c r="O163" s="139">
        <f>Assumptions!$C$6*Assumptions!$C$7*(1+$G163-0.05*(1-$J163))^4+Assumptions!$C$6*Assumptions!$C$8*(1+Assumptions!$C$11)^4+Assumptions!$C$16*$J163+Assumptions!$C$6*Assumptions!$C$9*(1+Assumptions!$C$12)^4</f>
        <v>849.179956</v>
      </c>
      <c r="P163" s="139">
        <f>Assumptions!$C$6*Assumptions!$C$7*(1+$G163-0.05*(1-$K163))^5+Assumptions!$C$6*Assumptions!$C$8*(1+Assumptions!$C$11)^5+Assumptions!$C$16*$K163+Assumptions!$C$6*Assumptions!$C$9*(1+Assumptions!$C$12)^5</f>
        <v>886.3615312</v>
      </c>
      <c r="Q163" s="139">
        <f>($L163*(1-(Assumptions!$C$25+0.06*(1-1))-Assumptions!$C$27)-Assumptions!$C$28)-MAX(0,($L163*(1-(Assumptions!$C$25+0.06*(1-1))-Assumptions!$C$27)-Assumptions!$C$28)*Assumptions!$C$31)+Assumptions!$C$28-Assumptions!$C$29-$L163*Assumptions!$C$30</f>
        <v>93.66447388</v>
      </c>
      <c r="R163" s="139">
        <f>($M163*(1-(Assumptions!$C$25+0.06*(1-$H163))-Assumptions!$C$27)-Assumptions!$C$28)-MAX(0,($M163*(1-(Assumptions!$C$25+0.06*(1-$H163))-Assumptions!$C$27)-Assumptions!$C$28)*Assumptions!$C$31)+Assumptions!$C$28-Assumptions!$C$29-$M163*Assumptions!$C$30</f>
        <v>100.3986085</v>
      </c>
      <c r="S163" s="139">
        <f>($N163*(1-(Assumptions!$C$25+0.06*(1-$I163))-Assumptions!$C$27)-Assumptions!$C$28)-MAX(0,($N163*(1-(Assumptions!$C$25+0.06*(1-$I163))-Assumptions!$C$27)-Assumptions!$C$28)*Assumptions!$C$31)+Assumptions!$C$28-Assumptions!$C$29-$N163*Assumptions!$C$30</f>
        <v>107.526455</v>
      </c>
      <c r="T163" s="139">
        <f>($O163*(1-(Assumptions!$C$25+0.06*(1-$J163))-Assumptions!$C$27)-Assumptions!$C$28)-MAX(0,($O163*(1-(Assumptions!$C$25+0.06*(1-$J163))-Assumptions!$C$27)-Assumptions!$C$28)*Assumptions!$C$31)+Assumptions!$C$28-Assumptions!$C$29-$O163*Assumptions!$C$30</f>
        <v>115.0736905</v>
      </c>
      <c r="U163" s="139">
        <f>($P163*(1-(Assumptions!$C$25+0.06*(1-$K163))-Assumptions!$C$27)-Assumptions!$C$28)-MAX(0,($P163*(1-(Assumptions!$C$25+0.06*(1-$K163))-Assumptions!$C$27)-Assumptions!$C$28)*Assumptions!$C$31)+Assumptions!$C$28-Assumptions!$C$29-$P163*Assumptions!$C$30</f>
        <v>123.0677292</v>
      </c>
      <c r="V163" s="143">
        <f>(($Q163/(1+$D163)^1+$R163/(1+$D163)^2+$S163/(1+$D163)^3+$T163/(1+$D163)^4+$U163/(1+$D163)^5+$U163*(1+$E163)/($D163-$E163)/(1+$D163)^5)-Assumptions!$C$37)/Assumptions!$C$40/Assumptions!$C$38</f>
        <v>5.635084533</v>
      </c>
    </row>
    <row r="164" ht="12.0" customHeight="1">
      <c r="B164" s="139">
        <v>112.0</v>
      </c>
      <c r="C164" s="140">
        <f t="shared" si="6"/>
        <v>0.5973037876</v>
      </c>
      <c r="D164" s="141">
        <f t="shared" si="7"/>
        <v>0.09996961161</v>
      </c>
      <c r="E164" s="141">
        <f t="shared" si="8"/>
        <v>0.01152877001</v>
      </c>
      <c r="F164" s="140">
        <f t="shared" si="9"/>
        <v>0.4848064385</v>
      </c>
      <c r="G164" s="141">
        <f t="shared" si="10"/>
        <v>0.05954067686</v>
      </c>
      <c r="H164" s="142">
        <f t="shared" si="11"/>
        <v>0</v>
      </c>
      <c r="I164" s="142">
        <f t="shared" si="12"/>
        <v>1</v>
      </c>
      <c r="J164" s="142">
        <f t="shared" si="13"/>
        <v>0</v>
      </c>
      <c r="K164" s="142">
        <f t="shared" si="14"/>
        <v>0</v>
      </c>
      <c r="L164" s="139">
        <f>Assumptions!$C$6*Assumptions!$C$7*(1+$G164-0.05*(1-1))^1+Assumptions!$C$6*Assumptions!$C$8*(1+Assumptions!$C$11)^1+Assumptions!$C$16*1+Assumptions!$C$6*Assumptions!$C$9*(1+Assumptions!$C$12)^1</f>
        <v>746.5093918</v>
      </c>
      <c r="M164" s="139">
        <f>Assumptions!$C$6*Assumptions!$C$7*(1+$G164-0.05*(1-$H164))^2+Assumptions!$C$6*Assumptions!$C$8*(1+Assumptions!$C$11)^2+Assumptions!$C$16*$H164+Assumptions!$C$6*Assumptions!$C$9*(1+Assumptions!$C$12)^2</f>
        <v>679.5187825</v>
      </c>
      <c r="N164" s="139">
        <f>Assumptions!$C$6*Assumptions!$C$7*(1+$G164-0.05*(1-$I164))^3+Assumptions!$C$6*Assumptions!$C$8*(1+Assumptions!$C$11)^3+Assumptions!$C$16*$I164+Assumptions!$C$6*Assumptions!$C$9*(1+Assumptions!$C$12)^3</f>
        <v>803.5697254</v>
      </c>
      <c r="O164" s="139">
        <f>Assumptions!$C$6*Assumptions!$C$7*(1+$G164-0.05*(1-$J164))^4+Assumptions!$C$6*Assumptions!$C$8*(1+Assumptions!$C$11)^4+Assumptions!$C$16*$J164+Assumptions!$C$6*Assumptions!$C$9*(1+Assumptions!$C$12)^4</f>
        <v>699.689133</v>
      </c>
      <c r="P164" s="139">
        <f>Assumptions!$C$6*Assumptions!$C$7*(1+$G164-0.05*(1-$K164))^5+Assumptions!$C$6*Assumptions!$C$8*(1+Assumptions!$C$11)^5+Assumptions!$C$16*$K164+Assumptions!$C$6*Assumptions!$C$9*(1+Assumptions!$C$12)^5</f>
        <v>710.0260166</v>
      </c>
      <c r="Q164" s="139">
        <f>($L164*(1-(Assumptions!$C$25+0.06*(1-1))-Assumptions!$C$27)-Assumptions!$C$28)-MAX(0,($L164*(1-(Assumptions!$C$25+0.06*(1-1))-Assumptions!$C$27)-Assumptions!$C$28)*Assumptions!$C$31)+Assumptions!$C$28-Assumptions!$C$29-$L164*Assumptions!$C$30</f>
        <v>92.99951924</v>
      </c>
      <c r="R164" s="139">
        <f>($M164*(1-(Assumptions!$C$25+0.06*(1-$H164))-Assumptions!$C$27)-Assumptions!$C$28)-MAX(0,($M164*(1-(Assumptions!$C$25+0.06*(1-$H164))-Assumptions!$C$27)-Assumptions!$C$28)*Assumptions!$C$31)+Assumptions!$C$28-Assumptions!$C$29-$M164*Assumptions!$C$30</f>
        <v>36.28931998</v>
      </c>
      <c r="S164" s="139">
        <f>($N164*(1-(Assumptions!$C$25+0.06*(1-$I164))-Assumptions!$C$27)-Assumptions!$C$28)-MAX(0,($N164*(1-(Assumptions!$C$25+0.06*(1-$I164))-Assumptions!$C$27)-Assumptions!$C$28)*Assumptions!$C$31)+Assumptions!$C$28-Assumptions!$C$29-$N164*Assumptions!$C$30</f>
        <v>105.267491</v>
      </c>
      <c r="T164" s="139">
        <f>($O164*(1-(Assumptions!$C$25+0.06*(1-$J164))-Assumptions!$C$27)-Assumptions!$C$28)-MAX(0,($O164*(1-(Assumptions!$C$25+0.06*(1-$J164))-Assumptions!$C$27)-Assumptions!$C$28)*Assumptions!$C$31)+Assumptions!$C$28-Assumptions!$C$29-$O164*Assumptions!$C$30</f>
        <v>40.9285006</v>
      </c>
      <c r="U164" s="139">
        <f>($P164*(1-(Assumptions!$C$25+0.06*(1-$K164))-Assumptions!$C$27)-Assumptions!$C$28)-MAX(0,($P164*(1-(Assumptions!$C$25+0.06*(1-$K164))-Assumptions!$C$27)-Assumptions!$C$28)*Assumptions!$C$31)+Assumptions!$C$28-Assumptions!$C$29-$P164*Assumptions!$C$30</f>
        <v>43.30598381</v>
      </c>
      <c r="V164" s="143">
        <f>(($Q164/(1+$D164)^1+$R164/(1+$D164)^2+$S164/(1+$D164)^3+$T164/(1+$D164)^4+$U164/(1+$D164)^5+$U164*(1+$E164)/($D164-$E164)/(1+$D164)^5)-Assumptions!$C$37)/Assumptions!$C$40/Assumptions!$C$38</f>
        <v>-1.058410986</v>
      </c>
    </row>
    <row r="165" ht="12.0" customHeight="1">
      <c r="B165" s="139">
        <v>113.0</v>
      </c>
      <c r="C165" s="140">
        <f t="shared" si="6"/>
        <v>0.4259065897</v>
      </c>
      <c r="D165" s="141">
        <f t="shared" si="7"/>
        <v>0.0970537914</v>
      </c>
      <c r="E165" s="141">
        <f t="shared" si="8"/>
        <v>0.02829535385</v>
      </c>
      <c r="F165" s="140">
        <f t="shared" si="9"/>
        <v>0.4882010433</v>
      </c>
      <c r="G165" s="141">
        <f t="shared" si="10"/>
        <v>0.05964391806</v>
      </c>
      <c r="H165" s="142">
        <f t="shared" si="11"/>
        <v>1</v>
      </c>
      <c r="I165" s="142">
        <f t="shared" si="12"/>
        <v>1</v>
      </c>
      <c r="J165" s="142">
        <f t="shared" si="13"/>
        <v>1</v>
      </c>
      <c r="K165" s="142">
        <f t="shared" si="14"/>
        <v>1</v>
      </c>
      <c r="L165" s="139">
        <f>Assumptions!$C$6*Assumptions!$C$7*(1+$G165-0.05*(1-1))^1+Assumptions!$C$6*Assumptions!$C$8*(1+Assumptions!$C$11)^1+Assumptions!$C$16*1+Assumptions!$C$6*Assumptions!$C$9*(1+Assumptions!$C$12)^1</f>
        <v>746.5441428</v>
      </c>
      <c r="M165" s="139">
        <f>Assumptions!$C$6*Assumptions!$C$7*(1+$G165-0.05*(1-$H165))^2+Assumptions!$C$6*Assumptions!$C$8*(1+Assumptions!$C$11)^2+Assumptions!$C$16*$H165+Assumptions!$C$6*Assumptions!$C$9*(1+Assumptions!$C$12)^2</f>
        <v>774.4150655</v>
      </c>
      <c r="N165" s="139">
        <f>Assumptions!$C$6*Assumptions!$C$7*(1+$G165-0.05*(1-$I165))^3+Assumptions!$C$6*Assumptions!$C$8*(1+Assumptions!$C$11)^3+Assumptions!$C$16*$I165+Assumptions!$C$6*Assumptions!$C$9*(1+Assumptions!$C$12)^3</f>
        <v>803.6867739</v>
      </c>
      <c r="O165" s="139">
        <f>Assumptions!$C$6*Assumptions!$C$7*(1+$G165-0.05*(1-$J165))^4+Assumptions!$C$6*Assumptions!$C$8*(1+Assumptions!$C$11)^4+Assumptions!$C$16*$J165+Assumptions!$C$6*Assumptions!$C$9*(1+Assumptions!$C$12)^4</f>
        <v>834.4375857</v>
      </c>
      <c r="P165" s="139">
        <f>Assumptions!$C$6*Assumptions!$C$7*(1+$G165-0.05*(1-$K165))^5+Assumptions!$C$6*Assumptions!$C$8*(1+Assumptions!$C$11)^5+Assumptions!$C$16*$K165+Assumptions!$C$6*Assumptions!$C$9*(1+Assumptions!$C$12)^5</f>
        <v>866.7503847</v>
      </c>
      <c r="Q165" s="139">
        <f>($L165*(1-(Assumptions!$C$25+0.06*(1-1))-Assumptions!$C$27)-Assumptions!$C$28)-MAX(0,($L165*(1-(Assumptions!$C$25+0.06*(1-1))-Assumptions!$C$27)-Assumptions!$C$28)*Assumptions!$C$31)+Assumptions!$C$28-Assumptions!$C$29-$L165*Assumptions!$C$30</f>
        <v>93.00699071</v>
      </c>
      <c r="R165" s="139">
        <f>($M165*(1-(Assumptions!$C$25+0.06*(1-$H165))-Assumptions!$C$27)-Assumptions!$C$28)-MAX(0,($M165*(1-(Assumptions!$C$25+0.06*(1-$H165))-Assumptions!$C$27)-Assumptions!$C$28)*Assumptions!$C$31)+Assumptions!$C$28-Assumptions!$C$29-$M165*Assumptions!$C$30</f>
        <v>98.99923907</v>
      </c>
      <c r="S165" s="139">
        <f>($N165*(1-(Assumptions!$C$25+0.06*(1-$I165))-Assumptions!$C$27)-Assumptions!$C$28)-MAX(0,($N165*(1-(Assumptions!$C$25+0.06*(1-$I165))-Assumptions!$C$27)-Assumptions!$C$28)*Assumptions!$C$31)+Assumptions!$C$28-Assumptions!$C$29-$N165*Assumptions!$C$30</f>
        <v>105.2926564</v>
      </c>
      <c r="T165" s="139">
        <f>($O165*(1-(Assumptions!$C$25+0.06*(1-$J165))-Assumptions!$C$27)-Assumptions!$C$28)-MAX(0,($O165*(1-(Assumptions!$C$25+0.06*(1-$J165))-Assumptions!$C$27)-Assumptions!$C$28)*Assumptions!$C$31)+Assumptions!$C$28-Assumptions!$C$29-$O165*Assumptions!$C$30</f>
        <v>111.9040809</v>
      </c>
      <c r="U165" s="139">
        <f>($P165*(1-(Assumptions!$C$25+0.06*(1-$K165))-Assumptions!$C$27)-Assumptions!$C$28)-MAX(0,($P165*(1-(Assumptions!$C$25+0.06*(1-$K165))-Assumptions!$C$27)-Assumptions!$C$28)*Assumptions!$C$31)+Assumptions!$C$28-Assumptions!$C$29-$P165*Assumptions!$C$30</f>
        <v>118.8513327</v>
      </c>
      <c r="V165" s="143">
        <f>(($Q165/(1+$D165)^1+$R165/(1+$D165)^2+$S165/(1+$D165)^3+$T165/(1+$D165)^4+$U165/(1+$D165)^5+$U165*(1+$E165)/($D165-$E165)/(1+$D165)^5)-Assumptions!$C$37)/Assumptions!$C$40/Assumptions!$C$38</f>
        <v>6.443622463</v>
      </c>
    </row>
    <row r="166" ht="12.0" customHeight="1">
      <c r="B166" s="139">
        <v>114.0</v>
      </c>
      <c r="C166" s="140">
        <f t="shared" si="6"/>
        <v>0.5093260045</v>
      </c>
      <c r="D166" s="141">
        <f t="shared" si="7"/>
        <v>0.09840879415</v>
      </c>
      <c r="E166" s="141">
        <f t="shared" si="8"/>
        <v>0.0275692018</v>
      </c>
      <c r="F166" s="140">
        <f t="shared" si="9"/>
        <v>0.5064236006</v>
      </c>
      <c r="G166" s="141">
        <f t="shared" si="10"/>
        <v>0.06019333097</v>
      </c>
      <c r="H166" s="142">
        <f t="shared" si="11"/>
        <v>0</v>
      </c>
      <c r="I166" s="142">
        <f t="shared" si="12"/>
        <v>1</v>
      </c>
      <c r="J166" s="142">
        <f t="shared" si="13"/>
        <v>0</v>
      </c>
      <c r="K166" s="142">
        <f t="shared" si="14"/>
        <v>0</v>
      </c>
      <c r="L166" s="139">
        <f>Assumptions!$C$6*Assumptions!$C$7*(1+$G166-0.05*(1-1))^1+Assumptions!$C$6*Assumptions!$C$8*(1+Assumptions!$C$11)^1+Assumptions!$C$16*1+Assumptions!$C$6*Assumptions!$C$9*(1+Assumptions!$C$12)^1</f>
        <v>746.7290752</v>
      </c>
      <c r="M166" s="139">
        <f>Assumptions!$C$6*Assumptions!$C$7*(1+$G166-0.05*(1-$H166))^2+Assumptions!$C$6*Assumptions!$C$8*(1+Assumptions!$C$11)^2+Assumptions!$C$16*$H166+Assumptions!$C$6*Assumptions!$C$9*(1+Assumptions!$C$12)^2</f>
        <v>679.9624845</v>
      </c>
      <c r="N166" s="139">
        <f>Assumptions!$C$6*Assumptions!$C$7*(1+$G166-0.05*(1-$I166))^3+Assumptions!$C$6*Assumptions!$C$8*(1+Assumptions!$C$11)^3+Assumptions!$C$16*$I166+Assumptions!$C$6*Assumptions!$C$9*(1+Assumptions!$C$12)^3</f>
        <v>804.3100483</v>
      </c>
      <c r="O166" s="139">
        <f>Assumptions!$C$6*Assumptions!$C$7*(1+$G166-0.05*(1-$J166))^4+Assumptions!$C$6*Assumptions!$C$8*(1+Assumptions!$C$11)^4+Assumptions!$C$16*$J166+Assumptions!$C$6*Assumptions!$C$9*(1+Assumptions!$C$12)^4</f>
        <v>700.5941355</v>
      </c>
      <c r="P166" s="139">
        <f>Assumptions!$C$6*Assumptions!$C$7*(1+$G166-0.05*(1-$K166))^5+Assumptions!$C$6*Assumptions!$C$8*(1+Assumptions!$C$11)^5+Assumptions!$C$16*$K166+Assumptions!$C$6*Assumptions!$C$9*(1+Assumptions!$C$12)^5</f>
        <v>711.1684319</v>
      </c>
      <c r="Q166" s="139">
        <f>($L166*(1-(Assumptions!$C$25+0.06*(1-1))-Assumptions!$C$27)-Assumptions!$C$28)-MAX(0,($L166*(1-(Assumptions!$C$25+0.06*(1-1))-Assumptions!$C$27)-Assumptions!$C$28)*Assumptions!$C$31)+Assumptions!$C$28-Assumptions!$C$29-$L166*Assumptions!$C$30</f>
        <v>93.04675117</v>
      </c>
      <c r="R166" s="139">
        <f>($M166*(1-(Assumptions!$C$25+0.06*(1-$H166))-Assumptions!$C$27)-Assumptions!$C$28)-MAX(0,($M166*(1-(Assumptions!$C$25+0.06*(1-$H166))-Assumptions!$C$27)-Assumptions!$C$28)*Assumptions!$C$31)+Assumptions!$C$28-Assumptions!$C$29-$M166*Assumptions!$C$30</f>
        <v>36.39137143</v>
      </c>
      <c r="S166" s="139">
        <f>($N166*(1-(Assumptions!$C$25+0.06*(1-$I166))-Assumptions!$C$27)-Assumptions!$C$28)-MAX(0,($N166*(1-(Assumptions!$C$25+0.06*(1-$I166))-Assumptions!$C$27)-Assumptions!$C$28)*Assumptions!$C$31)+Assumptions!$C$28-Assumptions!$C$29-$N166*Assumptions!$C$30</f>
        <v>105.4266604</v>
      </c>
      <c r="T166" s="139">
        <f>($O166*(1-(Assumptions!$C$25+0.06*(1-$J166))-Assumptions!$C$27)-Assumptions!$C$28)-MAX(0,($O166*(1-(Assumptions!$C$25+0.06*(1-$J166))-Assumptions!$C$27)-Assumptions!$C$28)*Assumptions!$C$31)+Assumptions!$C$28-Assumptions!$C$29-$O166*Assumptions!$C$30</f>
        <v>41.13665117</v>
      </c>
      <c r="U166" s="139">
        <f>($P166*(1-(Assumptions!$C$25+0.06*(1-$K166))-Assumptions!$C$27)-Assumptions!$C$28)-MAX(0,($P166*(1-(Assumptions!$C$25+0.06*(1-$K166))-Assumptions!$C$27)-Assumptions!$C$28)*Assumptions!$C$31)+Assumptions!$C$28-Assumptions!$C$29-$P166*Assumptions!$C$30</f>
        <v>43.56873933</v>
      </c>
      <c r="V166" s="143">
        <f>(($Q166/(1+$D166)^1+$R166/(1+$D166)^2+$S166/(1+$D166)^3+$T166/(1+$D166)^4+$U166/(1+$D166)^5+$U166*(1+$E166)/($D166-$E166)/(1+$D166)^5)-Assumptions!$C$37)/Assumptions!$C$40/Assumptions!$C$38</f>
        <v>-0.3628657356</v>
      </c>
    </row>
    <row r="167" ht="12.0" customHeight="1">
      <c r="B167" s="139">
        <v>115.0</v>
      </c>
      <c r="C167" s="140">
        <f t="shared" si="6"/>
        <v>0.3990767967</v>
      </c>
      <c r="D167" s="141">
        <f t="shared" si="7"/>
        <v>0.09663922885</v>
      </c>
      <c r="E167" s="141">
        <f t="shared" si="8"/>
        <v>0.02355343205</v>
      </c>
      <c r="F167" s="140">
        <f t="shared" si="9"/>
        <v>0.2568700286</v>
      </c>
      <c r="G167" s="141">
        <f t="shared" si="10"/>
        <v>0.0515026987</v>
      </c>
      <c r="H167" s="142">
        <f t="shared" si="11"/>
        <v>1</v>
      </c>
      <c r="I167" s="142">
        <f t="shared" si="12"/>
        <v>0</v>
      </c>
      <c r="J167" s="142">
        <f t="shared" si="13"/>
        <v>0</v>
      </c>
      <c r="K167" s="142">
        <f t="shared" si="14"/>
        <v>1</v>
      </c>
      <c r="L167" s="139">
        <f>Assumptions!$C$6*Assumptions!$C$7*(1+$G167-0.05*(1-1))^1+Assumptions!$C$6*Assumptions!$C$8*(1+Assumptions!$C$11)^1+Assumptions!$C$16*1+Assumptions!$C$6*Assumptions!$C$9*(1+Assumptions!$C$12)^1</f>
        <v>743.8038084</v>
      </c>
      <c r="M167" s="139">
        <f>Assumptions!$C$6*Assumptions!$C$7*(1+$G167-0.05*(1-$H167))^2+Assumptions!$C$6*Assumptions!$C$8*(1+Assumptions!$C$11)^2+Assumptions!$C$16*$H167+Assumptions!$C$6*Assumptions!$C$9*(1+Assumptions!$C$12)^2</f>
        <v>768.6298177</v>
      </c>
      <c r="N167" s="139">
        <f>Assumptions!$C$6*Assumptions!$C$7*(1+$G167-0.05*(1-$I167))^3+Assumptions!$C$6*Assumptions!$C$8*(1+Assumptions!$C$11)^3+Assumptions!$C$16*$I167+Assumptions!$C$6*Assumptions!$C$9*(1+Assumptions!$C$12)^3</f>
        <v>681.3143737</v>
      </c>
      <c r="O167" s="139">
        <f>Assumptions!$C$6*Assumptions!$C$7*(1+$G167-0.05*(1-$J167))^4+Assumptions!$C$6*Assumptions!$C$8*(1+Assumptions!$C$11)^4+Assumptions!$C$16*$J167+Assumptions!$C$6*Assumptions!$C$9*(1+Assumptions!$C$12)^4</f>
        <v>688.6863591</v>
      </c>
      <c r="P167" s="139">
        <f>Assumptions!$C$6*Assumptions!$C$7*(1+$G167-0.05*(1-$K167))^5+Assumptions!$C$6*Assumptions!$C$8*(1+Assumptions!$C$11)^5+Assumptions!$C$16*$K167+Assumptions!$C$6*Assumptions!$C$9*(1+Assumptions!$C$12)^5</f>
        <v>849.7389834</v>
      </c>
      <c r="Q167" s="139">
        <f>($L167*(1-(Assumptions!$C$25+0.06*(1-1))-Assumptions!$C$27)-Assumptions!$C$28)-MAX(0,($L167*(1-(Assumptions!$C$25+0.06*(1-1))-Assumptions!$C$27)-Assumptions!$C$28)*Assumptions!$C$31)+Assumptions!$C$28-Assumptions!$C$29-$L167*Assumptions!$C$30</f>
        <v>92.4178188</v>
      </c>
      <c r="R167" s="139">
        <f>($M167*(1-(Assumptions!$C$25+0.06*(1-$H167))-Assumptions!$C$27)-Assumptions!$C$28)-MAX(0,($M167*(1-(Assumptions!$C$25+0.06*(1-$H167))-Assumptions!$C$27)-Assumptions!$C$28)*Assumptions!$C$31)+Assumptions!$C$28-Assumptions!$C$29-$M167*Assumptions!$C$30</f>
        <v>97.7554108</v>
      </c>
      <c r="S167" s="139">
        <f>($N167*(1-(Assumptions!$C$25+0.06*(1-$I167))-Assumptions!$C$27)-Assumptions!$C$28)-MAX(0,($N167*(1-(Assumptions!$C$25+0.06*(1-$I167))-Assumptions!$C$27)-Assumptions!$C$28)*Assumptions!$C$31)+Assumptions!$C$28-Assumptions!$C$29-$N167*Assumptions!$C$30</f>
        <v>36.70230596</v>
      </c>
      <c r="T167" s="139">
        <f>($O167*(1-(Assumptions!$C$25+0.06*(1-$J167))-Assumptions!$C$27)-Assumptions!$C$28)-MAX(0,($O167*(1-(Assumptions!$C$25+0.06*(1-$J167))-Assumptions!$C$27)-Assumptions!$C$28)*Assumptions!$C$31)+Assumptions!$C$28-Assumptions!$C$29-$O167*Assumptions!$C$30</f>
        <v>38.3978626</v>
      </c>
      <c r="U167" s="139">
        <f>($P167*(1-(Assumptions!$C$25+0.06*(1-$K167))-Assumptions!$C$27)-Assumptions!$C$28)-MAX(0,($P167*(1-(Assumptions!$C$25+0.06*(1-$K167))-Assumptions!$C$27)-Assumptions!$C$28)*Assumptions!$C$31)+Assumptions!$C$28-Assumptions!$C$29-$P167*Assumptions!$C$30</f>
        <v>115.1938814</v>
      </c>
      <c r="V167" s="143">
        <f>(($Q167/(1+$D167)^1+$R167/(1+$D167)^2+$S167/(1+$D167)^3+$T167/(1+$D167)^4+$U167/(1+$D167)^5+$U167*(1+$E167)/($D167-$E167)/(1+$D167)^5)-Assumptions!$C$37)/Assumptions!$C$40/Assumptions!$C$38</f>
        <v>4.823036928</v>
      </c>
    </row>
    <row r="168" ht="12.0" customHeight="1">
      <c r="B168" s="139">
        <v>116.0</v>
      </c>
      <c r="C168" s="140">
        <f t="shared" si="6"/>
        <v>0.5872892422</v>
      </c>
      <c r="D168" s="141">
        <f t="shared" si="7"/>
        <v>0.09978386596</v>
      </c>
      <c r="E168" s="141">
        <f t="shared" si="8"/>
        <v>0.0179736077</v>
      </c>
      <c r="F168" s="140">
        <f t="shared" si="9"/>
        <v>0.5570672032</v>
      </c>
      <c r="G168" s="141">
        <f t="shared" si="10"/>
        <v>0.06176387005</v>
      </c>
      <c r="H168" s="142">
        <f t="shared" si="11"/>
        <v>1</v>
      </c>
      <c r="I168" s="142">
        <f t="shared" si="12"/>
        <v>1</v>
      </c>
      <c r="J168" s="142">
        <f t="shared" si="13"/>
        <v>0</v>
      </c>
      <c r="K168" s="142">
        <f t="shared" si="14"/>
        <v>1</v>
      </c>
      <c r="L168" s="139">
        <f>Assumptions!$C$6*Assumptions!$C$7*(1+$G168-0.05*(1-1))^1+Assumptions!$C$6*Assumptions!$C$8*(1+Assumptions!$C$11)^1+Assumptions!$C$16*1+Assumptions!$C$6*Assumptions!$C$9*(1+Assumptions!$C$12)^1</f>
        <v>747.2577187</v>
      </c>
      <c r="M168" s="139">
        <f>Assumptions!$C$6*Assumptions!$C$7*(1+$G168-0.05*(1-$H168))^2+Assumptions!$C$6*Assumptions!$C$8*(1+Assumptions!$C$11)^2+Assumptions!$C$16*$H168+Assumptions!$C$6*Assumptions!$C$9*(1+Assumptions!$C$12)^2</f>
        <v>775.9288508</v>
      </c>
      <c r="N168" s="139">
        <f>Assumptions!$C$6*Assumptions!$C$7*(1+$G168-0.05*(1-$I168))^3+Assumptions!$C$6*Assumptions!$C$8*(1+Assumptions!$C$11)^3+Assumptions!$C$16*$I168+Assumptions!$C$6*Assumptions!$C$9*(1+Assumptions!$C$12)^3</f>
        <v>806.0952917</v>
      </c>
      <c r="O168" s="139">
        <f>Assumptions!$C$6*Assumptions!$C$7*(1+$G168-0.05*(1-$J168))^4+Assumptions!$C$6*Assumptions!$C$8*(1+Assumptions!$C$11)^4+Assumptions!$C$16*$J168+Assumptions!$C$6*Assumptions!$C$9*(1+Assumptions!$C$12)^4</f>
        <v>702.7791232</v>
      </c>
      <c r="P168" s="139">
        <f>Assumptions!$C$6*Assumptions!$C$7*(1+$G168-0.05*(1-$K168))^5+Assumptions!$C$6*Assumptions!$C$8*(1+Assumptions!$C$11)^5+Assumptions!$C$16*$K168+Assumptions!$C$6*Assumptions!$C$9*(1+Assumptions!$C$12)^5</f>
        <v>871.2667354</v>
      </c>
      <c r="Q168" s="139">
        <f>($L168*(1-(Assumptions!$C$25+0.06*(1-1))-Assumptions!$C$27)-Assumptions!$C$28)-MAX(0,($L168*(1-(Assumptions!$C$25+0.06*(1-1))-Assumptions!$C$27)-Assumptions!$C$28)*Assumptions!$C$31)+Assumptions!$C$28-Assumptions!$C$29-$L168*Assumptions!$C$30</f>
        <v>93.16040951</v>
      </c>
      <c r="R168" s="139">
        <f>($M168*(1-(Assumptions!$C$25+0.06*(1-$H168))-Assumptions!$C$27)-Assumptions!$C$28)-MAX(0,($M168*(1-(Assumptions!$C$25+0.06*(1-$H168))-Assumptions!$C$27)-Assumptions!$C$28)*Assumptions!$C$31)+Assumptions!$C$28-Assumptions!$C$29-$M168*Assumptions!$C$30</f>
        <v>99.32470292</v>
      </c>
      <c r="S168" s="139">
        <f>($N168*(1-(Assumptions!$C$25+0.06*(1-$I168))-Assumptions!$C$27)-Assumptions!$C$28)-MAX(0,($N168*(1-(Assumptions!$C$25+0.06*(1-$I168))-Assumptions!$C$27)-Assumptions!$C$28)*Assumptions!$C$31)+Assumptions!$C$28-Assumptions!$C$29-$N168*Assumptions!$C$30</f>
        <v>105.8104877</v>
      </c>
      <c r="T168" s="139">
        <f>($O168*(1-(Assumptions!$C$25+0.06*(1-$J168))-Assumptions!$C$27)-Assumptions!$C$28)-MAX(0,($O168*(1-(Assumptions!$C$25+0.06*(1-$J168))-Assumptions!$C$27)-Assumptions!$C$28)*Assumptions!$C$31)+Assumptions!$C$28-Assumptions!$C$29-$O168*Assumptions!$C$30</f>
        <v>41.63919835</v>
      </c>
      <c r="U168" s="139">
        <f>($P168*(1-(Assumptions!$C$25+0.06*(1-$K168))-Assumptions!$C$27)-Assumptions!$C$28)-MAX(0,($P168*(1-(Assumptions!$C$25+0.06*(1-$K168))-Assumptions!$C$27)-Assumptions!$C$28)*Assumptions!$C$31)+Assumptions!$C$28-Assumptions!$C$29-$P168*Assumptions!$C$30</f>
        <v>119.8223481</v>
      </c>
      <c r="V168" s="143">
        <f>(($Q168/(1+$D168)^1+$R168/(1+$D168)^2+$S168/(1+$D168)^3+$T168/(1+$D168)^4+$U168/(1+$D168)^5+$U168*(1+$E168)/($D168-$E168)/(1+$D168)^5)-Assumptions!$C$37)/Assumptions!$C$40/Assumptions!$C$38</f>
        <v>4.559751987</v>
      </c>
    </row>
    <row r="169" ht="12.0" customHeight="1">
      <c r="B169" s="139">
        <v>117.0</v>
      </c>
      <c r="C169" s="140">
        <f t="shared" si="6"/>
        <v>0.7740258914</v>
      </c>
      <c r="D169" s="141">
        <f t="shared" si="7"/>
        <v>0.1037407161</v>
      </c>
      <c r="E169" s="141">
        <f t="shared" si="8"/>
        <v>0.02507625834</v>
      </c>
      <c r="F169" s="140">
        <f t="shared" si="9"/>
        <v>0.720267303</v>
      </c>
      <c r="G169" s="141">
        <f t="shared" si="10"/>
        <v>0.0675607742</v>
      </c>
      <c r="H169" s="142">
        <f t="shared" si="11"/>
        <v>1</v>
      </c>
      <c r="I169" s="142">
        <f t="shared" si="12"/>
        <v>0</v>
      </c>
      <c r="J169" s="142">
        <f t="shared" si="13"/>
        <v>1</v>
      </c>
      <c r="K169" s="142">
        <f t="shared" si="14"/>
        <v>1</v>
      </c>
      <c r="L169" s="139">
        <f>Assumptions!$C$6*Assumptions!$C$7*(1+$G169-0.05*(1-1))^1+Assumptions!$C$6*Assumptions!$C$8*(1+Assumptions!$C$11)^1+Assumptions!$C$16*1+Assumptions!$C$6*Assumptions!$C$9*(1+Assumptions!$C$12)^1</f>
        <v>749.2089566</v>
      </c>
      <c r="M169" s="139">
        <f>Assumptions!$C$6*Assumptions!$C$7*(1+$G169-0.05*(1-$H169))^2+Assumptions!$C$6*Assumptions!$C$8*(1+Assumptions!$C$11)^2+Assumptions!$C$16*$H169+Assumptions!$C$6*Assumptions!$C$9*(1+Assumptions!$C$12)^2</f>
        <v>780.0836698</v>
      </c>
      <c r="N169" s="139">
        <f>Assumptions!$C$6*Assumptions!$C$7*(1+$G169-0.05*(1-$I169))^3+Assumptions!$C$6*Assumptions!$C$8*(1+Assumptions!$C$11)^3+Assumptions!$C$16*$I169+Assumptions!$C$6*Assumptions!$C$9*(1+Assumptions!$C$12)^3</f>
        <v>697.8407627</v>
      </c>
      <c r="O169" s="139">
        <f>Assumptions!$C$6*Assumptions!$C$7*(1+$G169-0.05*(1-$J169))^4+Assumptions!$C$6*Assumptions!$C$8*(1+Assumptions!$C$11)^4+Assumptions!$C$16*$J169+Assumptions!$C$6*Assumptions!$C$9*(1+Assumptions!$C$12)^4</f>
        <v>847.2629801</v>
      </c>
      <c r="P169" s="139">
        <f>Assumptions!$C$6*Assumptions!$C$7*(1+$G169-0.05*(1-$K169))^5+Assumptions!$C$6*Assumptions!$C$8*(1+Assumptions!$C$11)^5+Assumptions!$C$16*$K169+Assumptions!$C$6*Assumptions!$C$9*(1+Assumptions!$C$12)^5</f>
        <v>883.8020204</v>
      </c>
      <c r="Q169" s="139">
        <f>($L169*(1-(Assumptions!$C$25+0.06*(1-1))-Assumptions!$C$27)-Assumptions!$C$28)-MAX(0,($L169*(1-(Assumptions!$C$25+0.06*(1-1))-Assumptions!$C$27)-Assumptions!$C$28)*Assumptions!$C$31)+Assumptions!$C$28-Assumptions!$C$29-$L169*Assumptions!$C$30</f>
        <v>93.57992567</v>
      </c>
      <c r="R169" s="139">
        <f>($M169*(1-(Assumptions!$C$25+0.06*(1-$H169))-Assumptions!$C$27)-Assumptions!$C$28)-MAX(0,($M169*(1-(Assumptions!$C$25+0.06*(1-$H169))-Assumptions!$C$27)-Assumptions!$C$28)*Assumptions!$C$31)+Assumptions!$C$28-Assumptions!$C$29-$M169*Assumptions!$C$30</f>
        <v>100.217989</v>
      </c>
      <c r="S169" s="139">
        <f>($N169*(1-(Assumptions!$C$25+0.06*(1-$I169))-Assumptions!$C$27)-Assumptions!$C$28)-MAX(0,($N169*(1-(Assumptions!$C$25+0.06*(1-$I169))-Assumptions!$C$27)-Assumptions!$C$28)*Assumptions!$C$31)+Assumptions!$C$28-Assumptions!$C$29-$N169*Assumptions!$C$30</f>
        <v>40.50337543</v>
      </c>
      <c r="T169" s="139">
        <f>($O169*(1-(Assumptions!$C$25+0.06*(1-$J169))-Assumptions!$C$27)-Assumptions!$C$28)-MAX(0,($O169*(1-(Assumptions!$C$25+0.06*(1-$J169))-Assumptions!$C$27)-Assumptions!$C$28)*Assumptions!$C$31)+Assumptions!$C$28-Assumptions!$C$29-$O169*Assumptions!$C$30</f>
        <v>114.6615407</v>
      </c>
      <c r="U169" s="139">
        <f>($P169*(1-(Assumptions!$C$25+0.06*(1-$K169))-Assumptions!$C$27)-Assumptions!$C$28)-MAX(0,($P169*(1-(Assumptions!$C$25+0.06*(1-$K169))-Assumptions!$C$27)-Assumptions!$C$28)*Assumptions!$C$31)+Assumptions!$C$28-Assumptions!$C$29-$P169*Assumptions!$C$30</f>
        <v>122.5174344</v>
      </c>
      <c r="V169" s="143">
        <f>(($Q169/(1+$D169)^1+$R169/(1+$D169)^2+$S169/(1+$D169)^3+$T169/(1+$D169)^4+$U169/(1+$D169)^5+$U169*(1+$E169)/($D169-$E169)/(1+$D169)^5)-Assumptions!$C$37)/Assumptions!$C$40/Assumptions!$C$38</f>
        <v>4.933310462</v>
      </c>
    </row>
    <row r="170" ht="12.0" customHeight="1">
      <c r="B170" s="139">
        <v>118.0</v>
      </c>
      <c r="C170" s="140">
        <f t="shared" si="6"/>
        <v>0.6389271986</v>
      </c>
      <c r="D170" s="141">
        <f t="shared" si="7"/>
        <v>0.1007675778</v>
      </c>
      <c r="E170" s="141">
        <f t="shared" si="8"/>
        <v>0.02349149188</v>
      </c>
      <c r="F170" s="140">
        <f t="shared" si="9"/>
        <v>0.2719704489</v>
      </c>
      <c r="G170" s="141">
        <f t="shared" si="10"/>
        <v>0.05212570469</v>
      </c>
      <c r="H170" s="142">
        <f t="shared" si="11"/>
        <v>0</v>
      </c>
      <c r="I170" s="142">
        <f t="shared" si="12"/>
        <v>0</v>
      </c>
      <c r="J170" s="142">
        <f t="shared" si="13"/>
        <v>0</v>
      </c>
      <c r="K170" s="142">
        <f t="shared" si="14"/>
        <v>1</v>
      </c>
      <c r="L170" s="139">
        <f>Assumptions!$C$6*Assumptions!$C$7*(1+$G170-0.05*(1-1))^1+Assumptions!$C$6*Assumptions!$C$8*(1+Assumptions!$C$11)^1+Assumptions!$C$16*1+Assumptions!$C$6*Assumptions!$C$9*(1+Assumptions!$C$12)^1</f>
        <v>744.0135122</v>
      </c>
      <c r="M170" s="139">
        <f>Assumptions!$C$6*Assumptions!$C$7*(1+$G170-0.05*(1-$H170))^2+Assumptions!$C$6*Assumptions!$C$8*(1+Assumptions!$C$11)^2+Assumptions!$C$16*$H170+Assumptions!$C$6*Assumptions!$C$9*(1+Assumptions!$C$12)^2</f>
        <v>674.4979054</v>
      </c>
      <c r="N170" s="139">
        <f>Assumptions!$C$6*Assumptions!$C$7*(1+$G170-0.05*(1-$I170))^3+Assumptions!$C$6*Assumptions!$C$8*(1+Assumptions!$C$11)^3+Assumptions!$C$16*$I170+Assumptions!$C$6*Assumptions!$C$9*(1+Assumptions!$C$12)^3</f>
        <v>681.9457699</v>
      </c>
      <c r="O170" s="139">
        <f>Assumptions!$C$6*Assumptions!$C$7*(1+$G170-0.05*(1-$J170))^4+Assumptions!$C$6*Assumptions!$C$8*(1+Assumptions!$C$11)^4+Assumptions!$C$16*$J170+Assumptions!$C$6*Assumptions!$C$9*(1+Assumptions!$C$12)^4</f>
        <v>689.5297481</v>
      </c>
      <c r="P170" s="139">
        <f>Assumptions!$C$6*Assumptions!$C$7*(1+$G170-0.05*(1-$K170))^5+Assumptions!$C$6*Assumptions!$C$8*(1+Assumptions!$C$11)^5+Assumptions!$C$16*$K170+Assumptions!$C$6*Assumptions!$C$9*(1+Assumptions!$C$12)^5</f>
        <v>851.0222962</v>
      </c>
      <c r="Q170" s="139">
        <f>($L170*(1-(Assumptions!$C$25+0.06*(1-1))-Assumptions!$C$27)-Assumptions!$C$28)-MAX(0,($L170*(1-(Assumptions!$C$25+0.06*(1-1))-Assumptions!$C$27)-Assumptions!$C$28)*Assumptions!$C$31)+Assumptions!$C$28-Assumptions!$C$29-$L170*Assumptions!$C$30</f>
        <v>92.46290512</v>
      </c>
      <c r="R170" s="139">
        <f>($M170*(1-(Assumptions!$C$25+0.06*(1-$H170))-Assumptions!$C$27)-Assumptions!$C$28)-MAX(0,($M170*(1-(Assumptions!$C$25+0.06*(1-$H170))-Assumptions!$C$27)-Assumptions!$C$28)*Assumptions!$C$31)+Assumptions!$C$28-Assumptions!$C$29-$M170*Assumptions!$C$30</f>
        <v>35.13451823</v>
      </c>
      <c r="S170" s="139">
        <f>($N170*(1-(Assumptions!$C$25+0.06*(1-$I170))-Assumptions!$C$27)-Assumptions!$C$28)-MAX(0,($N170*(1-(Assumptions!$C$25+0.06*(1-$I170))-Assumptions!$C$27)-Assumptions!$C$28)*Assumptions!$C$31)+Assumptions!$C$28-Assumptions!$C$29-$N170*Assumptions!$C$30</f>
        <v>36.84752708</v>
      </c>
      <c r="T170" s="139">
        <f>($O170*(1-(Assumptions!$C$25+0.06*(1-$J170))-Assumptions!$C$27)-Assumptions!$C$28)-MAX(0,($O170*(1-(Assumptions!$C$25+0.06*(1-$J170))-Assumptions!$C$27)-Assumptions!$C$28)*Assumptions!$C$31)+Assumptions!$C$28-Assumptions!$C$29-$O170*Assumptions!$C$30</f>
        <v>38.59184206</v>
      </c>
      <c r="U170" s="139">
        <f>($P170*(1-(Assumptions!$C$25+0.06*(1-$K170))-Assumptions!$C$27)-Assumptions!$C$28)-MAX(0,($P170*(1-(Assumptions!$C$25+0.06*(1-$K170))-Assumptions!$C$27)-Assumptions!$C$28)*Assumptions!$C$31)+Assumptions!$C$28-Assumptions!$C$29-$P170*Assumptions!$C$30</f>
        <v>115.4697937</v>
      </c>
      <c r="V170" s="143">
        <f>(($Q170/(1+$D170)^1+$R170/(1+$D170)^2+$S170/(1+$D170)^3+$T170/(1+$D170)^4+$U170/(1+$D170)^5+$U170*(1+$E170)/($D170-$E170)/(1+$D170)^5)-Assumptions!$C$37)/Assumptions!$C$40/Assumptions!$C$38</f>
        <v>3.847007755</v>
      </c>
    </row>
    <row r="171" ht="12.0" customHeight="1">
      <c r="B171" s="139">
        <v>119.0</v>
      </c>
      <c r="C171" s="140">
        <f t="shared" si="6"/>
        <v>0.6811352909</v>
      </c>
      <c r="D171" s="141">
        <f t="shared" si="7"/>
        <v>0.1016252812</v>
      </c>
      <c r="E171" s="141">
        <f t="shared" si="8"/>
        <v>0.01091871443</v>
      </c>
      <c r="F171" s="140">
        <f t="shared" si="9"/>
        <v>0.9112123326</v>
      </c>
      <c r="G171" s="141">
        <f t="shared" si="10"/>
        <v>0.07735809345</v>
      </c>
      <c r="H171" s="142">
        <f t="shared" si="11"/>
        <v>1</v>
      </c>
      <c r="I171" s="142">
        <f t="shared" si="12"/>
        <v>0</v>
      </c>
      <c r="J171" s="142">
        <f t="shared" si="13"/>
        <v>1</v>
      </c>
      <c r="K171" s="142">
        <f t="shared" si="14"/>
        <v>0</v>
      </c>
      <c r="L171" s="139">
        <f>Assumptions!$C$6*Assumptions!$C$7*(1+$G171-0.05*(1-1))^1+Assumptions!$C$6*Assumptions!$C$8*(1+Assumptions!$C$11)^1+Assumptions!$C$16*1+Assumptions!$C$6*Assumptions!$C$9*(1+Assumptions!$C$12)^1</f>
        <v>752.5067343</v>
      </c>
      <c r="M171" s="139">
        <f>Assumptions!$C$6*Assumptions!$C$7*(1+$G171-0.05*(1-$H171))^2+Assumptions!$C$6*Assumptions!$C$8*(1+Assumptions!$C$11)^2+Assumptions!$C$16*$H171+Assumptions!$C$6*Assumptions!$C$9*(1+Assumptions!$C$12)^2</f>
        <v>787.1571353</v>
      </c>
      <c r="N171" s="139">
        <f>Assumptions!$C$6*Assumptions!$C$7*(1+$G171-0.05*(1-$I171))^3+Assumptions!$C$6*Assumptions!$C$8*(1+Assumptions!$C$11)^3+Assumptions!$C$16*$I171+Assumptions!$C$6*Assumptions!$C$9*(1+Assumptions!$C$12)^3</f>
        <v>708.1835626</v>
      </c>
      <c r="O171" s="139">
        <f>Assumptions!$C$6*Assumptions!$C$7*(1+$G171-0.05*(1-$J171))^4+Assumptions!$C$6*Assumptions!$C$8*(1+Assumptions!$C$11)^4+Assumptions!$C$16*$J171+Assumptions!$C$6*Assumptions!$C$9*(1+Assumptions!$C$12)^4</f>
        <v>863.5346845</v>
      </c>
      <c r="P171" s="139">
        <f>Assumptions!$C$6*Assumptions!$C$7*(1+$G171-0.05*(1-$K171))^5+Assumptions!$C$6*Assumptions!$C$8*(1+Assumptions!$C$11)^5+Assumptions!$C$16*$K171+Assumptions!$C$6*Assumptions!$C$9*(1+Assumptions!$C$12)^5</f>
        <v>742.2926093</v>
      </c>
      <c r="Q171" s="139">
        <f>($L171*(1-(Assumptions!$C$25+0.06*(1-1))-Assumptions!$C$27)-Assumptions!$C$28)-MAX(0,($L171*(1-(Assumptions!$C$25+0.06*(1-1))-Assumptions!$C$27)-Assumptions!$C$28)*Assumptions!$C$31)+Assumptions!$C$28-Assumptions!$C$29-$L171*Assumptions!$C$30</f>
        <v>94.28894786</v>
      </c>
      <c r="R171" s="139">
        <f>($M171*(1-(Assumptions!$C$25+0.06*(1-$H171))-Assumptions!$C$27)-Assumptions!$C$28)-MAX(0,($M171*(1-(Assumptions!$C$25+0.06*(1-$H171))-Assumptions!$C$27)-Assumptions!$C$28)*Assumptions!$C$31)+Assumptions!$C$28-Assumptions!$C$29-$M171*Assumptions!$C$30</f>
        <v>101.7387841</v>
      </c>
      <c r="S171" s="139">
        <f>($N171*(1-(Assumptions!$C$25+0.06*(1-$I171))-Assumptions!$C$27)-Assumptions!$C$28)-MAX(0,($N171*(1-(Assumptions!$C$25+0.06*(1-$I171))-Assumptions!$C$27)-Assumptions!$C$28)*Assumptions!$C$31)+Assumptions!$C$28-Assumptions!$C$29-$N171*Assumptions!$C$30</f>
        <v>42.8822194</v>
      </c>
      <c r="T171" s="139">
        <f>($O171*(1-(Assumptions!$C$25+0.06*(1-$J171))-Assumptions!$C$27)-Assumptions!$C$28)-MAX(0,($O171*(1-(Assumptions!$C$25+0.06*(1-$J171))-Assumptions!$C$27)-Assumptions!$C$28)*Assumptions!$C$31)+Assumptions!$C$28-Assumptions!$C$29-$O171*Assumptions!$C$30</f>
        <v>118.1599572</v>
      </c>
      <c r="U171" s="139">
        <f>($P171*(1-(Assumptions!$C$25+0.06*(1-$K171))-Assumptions!$C$27)-Assumptions!$C$28)-MAX(0,($P171*(1-(Assumptions!$C$25+0.06*(1-$K171))-Assumptions!$C$27)-Assumptions!$C$28)*Assumptions!$C$31)+Assumptions!$C$28-Assumptions!$C$29-$P171*Assumptions!$C$30</f>
        <v>50.72730014</v>
      </c>
      <c r="V171" s="143">
        <f>(($Q171/(1+$D171)^1+$R171/(1+$D171)^2+$S171/(1+$D171)^3+$T171/(1+$D171)^4+$U171/(1+$D171)^5+$U171*(1+$E171)/($D171-$E171)/(1+$D171)^5)-Assumptions!$C$37)/Assumptions!$C$40/Assumptions!$C$38</f>
        <v>-0.2360446537</v>
      </c>
    </row>
    <row r="172" ht="12.0" customHeight="1">
      <c r="B172" s="139">
        <v>120.0</v>
      </c>
      <c r="C172" s="140">
        <f t="shared" si="6"/>
        <v>0.206342908</v>
      </c>
      <c r="D172" s="141">
        <f t="shared" si="7"/>
        <v>0.09336362636</v>
      </c>
      <c r="E172" s="141">
        <f t="shared" si="8"/>
        <v>0.01048055927</v>
      </c>
      <c r="F172" s="140">
        <f t="shared" si="9"/>
        <v>0.392740032</v>
      </c>
      <c r="G172" s="141">
        <f t="shared" si="10"/>
        <v>0.05658819395</v>
      </c>
      <c r="H172" s="142">
        <f t="shared" si="11"/>
        <v>1</v>
      </c>
      <c r="I172" s="142">
        <f t="shared" si="12"/>
        <v>1</v>
      </c>
      <c r="J172" s="142">
        <f t="shared" si="13"/>
        <v>1</v>
      </c>
      <c r="K172" s="142">
        <f t="shared" si="14"/>
        <v>0</v>
      </c>
      <c r="L172" s="139">
        <f>Assumptions!$C$6*Assumptions!$C$7*(1+$G172-0.05*(1-1))^1+Assumptions!$C$6*Assumptions!$C$8*(1+Assumptions!$C$11)^1+Assumptions!$C$16*1+Assumptions!$C$6*Assumptions!$C$9*(1+Assumptions!$C$12)^1</f>
        <v>745.5155861</v>
      </c>
      <c r="M172" s="139">
        <f>Assumptions!$C$6*Assumptions!$C$7*(1+$G172-0.05*(1-$H172))^2+Assumptions!$C$6*Assumptions!$C$8*(1+Assumptions!$C$11)^2+Assumptions!$C$16*$H172+Assumptions!$C$6*Assumptions!$C$9*(1+Assumptions!$C$12)^2</f>
        <v>772.2384007</v>
      </c>
      <c r="N172" s="139">
        <f>Assumptions!$C$6*Assumptions!$C$7*(1+$G172-0.05*(1-$I172))^3+Assumptions!$C$6*Assumptions!$C$8*(1+Assumptions!$C$11)^3+Assumptions!$C$16*$I172+Assumptions!$C$6*Assumptions!$C$9*(1+Assumptions!$C$12)^3</f>
        <v>800.2320256</v>
      </c>
      <c r="O172" s="139">
        <f>Assumptions!$C$6*Assumptions!$C$7*(1+$G172-0.05*(1-$J172))^4+Assumptions!$C$6*Assumptions!$C$8*(1+Assumptions!$C$11)^4+Assumptions!$C$16*$J172+Assumptions!$C$6*Assumptions!$C$9*(1+Assumptions!$C$12)^4</f>
        <v>829.563546</v>
      </c>
      <c r="P172" s="139">
        <f>Assumptions!$C$6*Assumptions!$C$7*(1+$G172-0.05*(1-$K172))^5+Assumptions!$C$6*Assumptions!$C$8*(1+Assumptions!$C$11)^5+Assumptions!$C$16*$K172+Assumptions!$C$6*Assumptions!$C$9*(1+Assumptions!$C$12)^5</f>
        <v>704.8947268</v>
      </c>
      <c r="Q172" s="139">
        <f>($L172*(1-(Assumptions!$C$25+0.06*(1-1))-Assumptions!$C$27)-Assumptions!$C$28)-MAX(0,($L172*(1-(Assumptions!$C$25+0.06*(1-1))-Assumptions!$C$27)-Assumptions!$C$28)*Assumptions!$C$31)+Assumptions!$C$28-Assumptions!$C$29-$L172*Assumptions!$C$30</f>
        <v>92.78585101</v>
      </c>
      <c r="R172" s="139">
        <f>($M172*(1-(Assumptions!$C$25+0.06*(1-$H172))-Assumptions!$C$27)-Assumptions!$C$28)-MAX(0,($M172*(1-(Assumptions!$C$25+0.06*(1-$H172))-Assumptions!$C$27)-Assumptions!$C$28)*Assumptions!$C$31)+Assumptions!$C$28-Assumptions!$C$29-$M172*Assumptions!$C$30</f>
        <v>98.53125614</v>
      </c>
      <c r="S172" s="139">
        <f>($N172*(1-(Assumptions!$C$25+0.06*(1-$I172))-Assumptions!$C$27)-Assumptions!$C$28)-MAX(0,($N172*(1-(Assumptions!$C$25+0.06*(1-$I172))-Assumptions!$C$27)-Assumptions!$C$28)*Assumptions!$C$31)+Assumptions!$C$28-Assumptions!$C$29-$N172*Assumptions!$C$30</f>
        <v>104.5498855</v>
      </c>
      <c r="T172" s="139">
        <f>($O172*(1-(Assumptions!$C$25+0.06*(1-$J172))-Assumptions!$C$27)-Assumptions!$C$28)-MAX(0,($O172*(1-(Assumptions!$C$25+0.06*(1-$J172))-Assumptions!$C$27)-Assumptions!$C$28)*Assumptions!$C$31)+Assumptions!$C$28-Assumptions!$C$29-$O172*Assumptions!$C$30</f>
        <v>110.8561624</v>
      </c>
      <c r="U172" s="139">
        <f>($P172*(1-(Assumptions!$C$25+0.06*(1-$K172))-Assumptions!$C$27)-Assumptions!$C$28)-MAX(0,($P172*(1-(Assumptions!$C$25+0.06*(1-$K172))-Assumptions!$C$27)-Assumptions!$C$28)*Assumptions!$C$31)+Assumptions!$C$28-Assumptions!$C$29-$P172*Assumptions!$C$30</f>
        <v>42.12578715</v>
      </c>
      <c r="V172" s="143">
        <f>(($Q172/(1+$D172)^1+$R172/(1+$D172)^2+$S172/(1+$D172)^3+$T172/(1+$D172)^4+$U172/(1+$D172)^5+$U172*(1+$E172)/($D172-$E172)/(1+$D172)^5)-Assumptions!$C$37)/Assumptions!$C$40/Assumptions!$C$38</f>
        <v>-0.08743515123</v>
      </c>
    </row>
    <row r="173" ht="12.0" customHeight="1">
      <c r="B173" s="139">
        <v>121.0</v>
      </c>
      <c r="C173" s="140">
        <f t="shared" si="6"/>
        <v>0.5828077736</v>
      </c>
      <c r="D173" s="141">
        <f t="shared" si="7"/>
        <v>0.09970147592</v>
      </c>
      <c r="E173" s="141">
        <f t="shared" si="8"/>
        <v>0.01583930979</v>
      </c>
      <c r="F173" s="140">
        <f t="shared" si="9"/>
        <v>0.6949246693</v>
      </c>
      <c r="G173" s="141">
        <f t="shared" si="10"/>
        <v>0.06656635762</v>
      </c>
      <c r="H173" s="142">
        <f t="shared" si="11"/>
        <v>0</v>
      </c>
      <c r="I173" s="142">
        <f t="shared" si="12"/>
        <v>0</v>
      </c>
      <c r="J173" s="142">
        <f t="shared" si="13"/>
        <v>1</v>
      </c>
      <c r="K173" s="142">
        <f t="shared" si="14"/>
        <v>1</v>
      </c>
      <c r="L173" s="139">
        <f>Assumptions!$C$6*Assumptions!$C$7*(1+$G173-0.05*(1-1))^1+Assumptions!$C$6*Assumptions!$C$8*(1+Assumptions!$C$11)^1+Assumptions!$C$16*1+Assumptions!$C$6*Assumptions!$C$9*(1+Assumptions!$C$12)^1</f>
        <v>748.874236</v>
      </c>
      <c r="M173" s="139">
        <f>Assumptions!$C$6*Assumptions!$C$7*(1+$G173-0.05*(1-$H173))^2+Assumptions!$C$6*Assumptions!$C$8*(1+Assumptions!$C$11)^2+Assumptions!$C$16*$H173+Assumptions!$C$6*Assumptions!$C$9*(1+Assumptions!$C$12)^2</f>
        <v>684.3102099</v>
      </c>
      <c r="N173" s="139">
        <f>Assumptions!$C$6*Assumptions!$C$7*(1+$G173-0.05*(1-$I173))^3+Assumptions!$C$6*Assumptions!$C$8*(1+Assumptions!$C$11)^3+Assumptions!$C$16*$I173+Assumptions!$C$6*Assumptions!$C$9*(1+Assumptions!$C$12)^3</f>
        <v>696.8020392</v>
      </c>
      <c r="O173" s="139">
        <f>Assumptions!$C$6*Assumptions!$C$7*(1+$G173-0.05*(1-$J173))^4+Assumptions!$C$6*Assumptions!$C$8*(1+Assumptions!$C$11)^4+Assumptions!$C$16*$J173+Assumptions!$C$6*Assumptions!$C$9*(1+Assumptions!$C$12)^4</f>
        <v>845.6362578</v>
      </c>
      <c r="P173" s="139">
        <f>Assumptions!$C$6*Assumptions!$C$7*(1+$G173-0.05*(1-$K173))^5+Assumptions!$C$6*Assumptions!$C$8*(1+Assumptions!$C$11)^5+Assumptions!$C$16*$K173+Assumptions!$C$6*Assumptions!$C$9*(1+Assumptions!$C$12)^5</f>
        <v>881.6322498</v>
      </c>
      <c r="Q173" s="139">
        <f>($L173*(1-(Assumptions!$C$25+0.06*(1-1))-Assumptions!$C$27)-Assumptions!$C$28)-MAX(0,($L173*(1-(Assumptions!$C$25+0.06*(1-1))-Assumptions!$C$27)-Assumptions!$C$28)*Assumptions!$C$31)+Assumptions!$C$28-Assumptions!$C$29-$L173*Assumptions!$C$30</f>
        <v>93.50796073</v>
      </c>
      <c r="R173" s="139">
        <f>($M173*(1-(Assumptions!$C$25+0.06*(1-$H173))-Assumptions!$C$27)-Assumptions!$C$28)-MAX(0,($M173*(1-(Assumptions!$C$25+0.06*(1-$H173))-Assumptions!$C$27)-Assumptions!$C$28)*Assumptions!$C$31)+Assumptions!$C$28-Assumptions!$C$29-$M173*Assumptions!$C$30</f>
        <v>37.39134827</v>
      </c>
      <c r="S173" s="139">
        <f>($N173*(1-(Assumptions!$C$25+0.06*(1-$I173))-Assumptions!$C$27)-Assumptions!$C$28)-MAX(0,($N173*(1-(Assumptions!$C$25+0.06*(1-$I173))-Assumptions!$C$27)-Assumptions!$C$28)*Assumptions!$C$31)+Assumptions!$C$28-Assumptions!$C$29-$N173*Assumptions!$C$30</f>
        <v>40.26446903</v>
      </c>
      <c r="T173" s="139">
        <f>($O173*(1-(Assumptions!$C$25+0.06*(1-$J173))-Assumptions!$C$27)-Assumptions!$C$28)-MAX(0,($O173*(1-(Assumptions!$C$25+0.06*(1-$J173))-Assumptions!$C$27)-Assumptions!$C$28)*Assumptions!$C$31)+Assumptions!$C$28-Assumptions!$C$29-$O173*Assumptions!$C$30</f>
        <v>114.3117954</v>
      </c>
      <c r="U173" s="139">
        <f>($P173*(1-(Assumptions!$C$25+0.06*(1-$K173))-Assumptions!$C$27)-Assumptions!$C$28)-MAX(0,($P173*(1-(Assumptions!$C$25+0.06*(1-$K173))-Assumptions!$C$27)-Assumptions!$C$28)*Assumptions!$C$31)+Assumptions!$C$28-Assumptions!$C$29-$P173*Assumptions!$C$30</f>
        <v>122.0509337</v>
      </c>
      <c r="V173" s="143">
        <f>(($Q173/(1+$D173)^1+$R173/(1+$D173)^2+$S173/(1+$D173)^3+$T173/(1+$D173)^4+$U173/(1+$D173)^5+$U173*(1+$E173)/($D173-$E173)/(1+$D173)^5)-Assumptions!$C$37)/Assumptions!$C$40/Assumptions!$C$38</f>
        <v>4.118987532</v>
      </c>
    </row>
    <row r="174" ht="12.0" customHeight="1">
      <c r="B174" s="139">
        <v>122.0</v>
      </c>
      <c r="C174" s="140">
        <f t="shared" si="6"/>
        <v>0.06166796094</v>
      </c>
      <c r="D174" s="141">
        <f t="shared" si="7"/>
        <v>0.08957224658</v>
      </c>
      <c r="E174" s="141">
        <f t="shared" si="8"/>
        <v>0.02816864314</v>
      </c>
      <c r="F174" s="140">
        <f t="shared" si="9"/>
        <v>0.8847953318</v>
      </c>
      <c r="G174" s="141">
        <f t="shared" si="10"/>
        <v>0.07559970824</v>
      </c>
      <c r="H174" s="142">
        <f t="shared" si="11"/>
        <v>1</v>
      </c>
      <c r="I174" s="142">
        <f t="shared" si="12"/>
        <v>1</v>
      </c>
      <c r="J174" s="142">
        <f t="shared" si="13"/>
        <v>0</v>
      </c>
      <c r="K174" s="142">
        <f t="shared" si="14"/>
        <v>0</v>
      </c>
      <c r="L174" s="139">
        <f>Assumptions!$C$6*Assumptions!$C$7*(1+$G174-0.05*(1-1))^1+Assumptions!$C$6*Assumptions!$C$8*(1+Assumptions!$C$11)^1+Assumptions!$C$16*1+Assumptions!$C$6*Assumptions!$C$9*(1+Assumptions!$C$12)^1</f>
        <v>751.9148618</v>
      </c>
      <c r="M174" s="139">
        <f>Assumptions!$C$6*Assumptions!$C$7*(1+$G174-0.05*(1-$H174))^2+Assumptions!$C$6*Assumptions!$C$8*(1+Assumptions!$C$11)^2+Assumptions!$C$16*$H174+Assumptions!$C$6*Assumptions!$C$9*(1+Assumptions!$C$12)^2</f>
        <v>785.8828589</v>
      </c>
      <c r="N174" s="139">
        <f>Assumptions!$C$6*Assumptions!$C$7*(1+$G174-0.05*(1-$I174))^3+Assumptions!$C$6*Assumptions!$C$8*(1+Assumptions!$C$11)^3+Assumptions!$C$16*$I174+Assumptions!$C$6*Assumptions!$C$9*(1+Assumptions!$C$12)^3</f>
        <v>822.0520154</v>
      </c>
      <c r="O174" s="139">
        <f>Assumptions!$C$6*Assumptions!$C$7*(1+$G174-0.05*(1-$J174))^4+Assumptions!$C$6*Assumptions!$C$8*(1+Assumptions!$C$11)^4+Assumptions!$C$16*$J174+Assumptions!$C$6*Assumptions!$C$9*(1+Assumptions!$C$12)^4</f>
        <v>722.4722752</v>
      </c>
      <c r="P174" s="139">
        <f>Assumptions!$C$6*Assumptions!$C$7*(1+$G174-0.05*(1-$K174))^5+Assumptions!$C$6*Assumptions!$C$8*(1+Assumptions!$C$11)^5+Assumptions!$C$16*$K174+Assumptions!$C$6*Assumptions!$C$9*(1+Assumptions!$C$12)^5</f>
        <v>739.0071289</v>
      </c>
      <c r="Q174" s="139">
        <f>($L174*(1-(Assumptions!$C$25+0.06*(1-1))-Assumptions!$C$27)-Assumptions!$C$28)-MAX(0,($L174*(1-(Assumptions!$C$25+0.06*(1-1))-Assumptions!$C$27)-Assumptions!$C$28)*Assumptions!$C$31)+Assumptions!$C$28-Assumptions!$C$29-$L174*Assumptions!$C$30</f>
        <v>94.16169529</v>
      </c>
      <c r="R174" s="139">
        <f>($M174*(1-(Assumptions!$C$25+0.06*(1-$H174))-Assumptions!$C$27)-Assumptions!$C$28)-MAX(0,($M174*(1-(Assumptions!$C$25+0.06*(1-$H174))-Assumptions!$C$27)-Assumptions!$C$28)*Assumptions!$C$31)+Assumptions!$C$28-Assumptions!$C$29-$M174*Assumptions!$C$30</f>
        <v>101.4648147</v>
      </c>
      <c r="S174" s="139">
        <f>($N174*(1-(Assumptions!$C$25+0.06*(1-$I174))-Assumptions!$C$27)-Assumptions!$C$28)-MAX(0,($N174*(1-(Assumptions!$C$25+0.06*(1-$I174))-Assumptions!$C$27)-Assumptions!$C$28)*Assumptions!$C$31)+Assumptions!$C$28-Assumptions!$C$29-$N174*Assumptions!$C$30</f>
        <v>109.2411833</v>
      </c>
      <c r="T174" s="139">
        <f>($O174*(1-(Assumptions!$C$25+0.06*(1-$J174))-Assumptions!$C$27)-Assumptions!$C$28)-MAX(0,($O174*(1-(Assumptions!$C$25+0.06*(1-$J174))-Assumptions!$C$27)-Assumptions!$C$28)*Assumptions!$C$31)+Assumptions!$C$28-Assumptions!$C$29-$O174*Assumptions!$C$30</f>
        <v>46.16862331</v>
      </c>
      <c r="U174" s="139">
        <f>($P174*(1-(Assumptions!$C$25+0.06*(1-$K174))-Assumptions!$C$27)-Assumptions!$C$28)-MAX(0,($P174*(1-(Assumptions!$C$25+0.06*(1-$K174))-Assumptions!$C$27)-Assumptions!$C$28)*Assumptions!$C$31)+Assumptions!$C$28-Assumptions!$C$29-$P174*Assumptions!$C$30</f>
        <v>49.97163965</v>
      </c>
      <c r="V174" s="143">
        <f>(($Q174/(1+$D174)^1+$R174/(1+$D174)^2+$S174/(1+$D174)^3+$T174/(1+$D174)^4+$U174/(1+$D174)^5+$U174*(1+$E174)/($D174-$E174)/(1+$D174)^5)-Assumptions!$C$37)/Assumptions!$C$40/Assumptions!$C$38</f>
        <v>1.364438359</v>
      </c>
    </row>
    <row r="175" ht="12.0" customHeight="1">
      <c r="B175" s="139">
        <v>123.0</v>
      </c>
      <c r="C175" s="140">
        <f t="shared" si="6"/>
        <v>0.164049965</v>
      </c>
      <c r="D175" s="141">
        <f t="shared" si="7"/>
        <v>0.09245740827</v>
      </c>
      <c r="E175" s="141">
        <f t="shared" si="8"/>
        <v>0.01101372784</v>
      </c>
      <c r="F175" s="140">
        <f t="shared" si="9"/>
        <v>0.4534074869</v>
      </c>
      <c r="G175" s="141">
        <f t="shared" si="10"/>
        <v>0.05856804992</v>
      </c>
      <c r="H175" s="142">
        <f t="shared" si="11"/>
        <v>0</v>
      </c>
      <c r="I175" s="142">
        <f t="shared" si="12"/>
        <v>0</v>
      </c>
      <c r="J175" s="142">
        <f t="shared" si="13"/>
        <v>1</v>
      </c>
      <c r="K175" s="142">
        <f t="shared" si="14"/>
        <v>1</v>
      </c>
      <c r="L175" s="139">
        <f>Assumptions!$C$6*Assumptions!$C$7*(1+$G175-0.05*(1-1))^1+Assumptions!$C$6*Assumptions!$C$8*(1+Assumptions!$C$11)^1+Assumptions!$C$16*1+Assumptions!$C$6*Assumptions!$C$9*(1+Assumptions!$C$12)^1</f>
        <v>746.1820056</v>
      </c>
      <c r="M175" s="139">
        <f>Assumptions!$C$6*Assumptions!$C$7*(1+$G175-0.05*(1-$H175))^2+Assumptions!$C$6*Assumptions!$C$8*(1+Assumptions!$C$11)^2+Assumptions!$C$16*$H175+Assumptions!$C$6*Assumptions!$C$9*(1+Assumptions!$C$12)^2</f>
        <v>678.8580815</v>
      </c>
      <c r="N175" s="139">
        <f>Assumptions!$C$6*Assumptions!$C$7*(1+$G175-0.05*(1-$I175))^3+Assumptions!$C$6*Assumptions!$C$8*(1+Assumptions!$C$11)^3+Assumptions!$C$16*$I175+Assumptions!$C$6*Assumptions!$C$9*(1+Assumptions!$C$12)^3</f>
        <v>688.5210266</v>
      </c>
      <c r="O175" s="139">
        <f>Assumptions!$C$6*Assumptions!$C$7*(1+$G175-0.05*(1-$J175))^4+Assumptions!$C$6*Assumptions!$C$8*(1+Assumptions!$C$11)^4+Assumptions!$C$16*$J175+Assumptions!$C$6*Assumptions!$C$9*(1+Assumptions!$C$12)^4</f>
        <v>832.7167019</v>
      </c>
      <c r="P175" s="139">
        <f>Assumptions!$C$6*Assumptions!$C$7*(1+$G175-0.05*(1-$K175))^5+Assumptions!$C$6*Assumptions!$C$8*(1+Assumptions!$C$11)^5+Assumptions!$C$16*$K175+Assumptions!$C$6*Assumptions!$C$9*(1+Assumptions!$C$12)^5</f>
        <v>864.4721363</v>
      </c>
      <c r="Q175" s="139">
        <f>($L175*(1-(Assumptions!$C$25+0.06*(1-1))-Assumptions!$C$27)-Assumptions!$C$28)-MAX(0,($L175*(1-(Assumptions!$C$25+0.06*(1-1))-Assumptions!$C$27)-Assumptions!$C$28)*Assumptions!$C$31)+Assumptions!$C$28-Assumptions!$C$29-$L175*Assumptions!$C$30</f>
        <v>92.9291312</v>
      </c>
      <c r="R175" s="139">
        <f>($M175*(1-(Assumptions!$C$25+0.06*(1-$H175))-Assumptions!$C$27)-Assumptions!$C$28)-MAX(0,($M175*(1-(Assumptions!$C$25+0.06*(1-$H175))-Assumptions!$C$27)-Assumptions!$C$28)*Assumptions!$C$31)+Assumptions!$C$28-Assumptions!$C$29-$M175*Assumptions!$C$30</f>
        <v>36.13735875</v>
      </c>
      <c r="S175" s="139">
        <f>($N175*(1-(Assumptions!$C$25+0.06*(1-$I175))-Assumptions!$C$27)-Assumptions!$C$28)-MAX(0,($N175*(1-(Assumptions!$C$25+0.06*(1-$I175))-Assumptions!$C$27)-Assumptions!$C$28)*Assumptions!$C$31)+Assumptions!$C$28-Assumptions!$C$29-$N175*Assumptions!$C$30</f>
        <v>38.35983613</v>
      </c>
      <c r="T175" s="139">
        <f>($O175*(1-(Assumptions!$C$25+0.06*(1-$J175))-Assumptions!$C$27)-Assumptions!$C$28)-MAX(0,($O175*(1-(Assumptions!$C$25+0.06*(1-$J175))-Assumptions!$C$27)-Assumptions!$C$28)*Assumptions!$C$31)+Assumptions!$C$28-Assumptions!$C$29-$O175*Assumptions!$C$30</f>
        <v>111.5340909</v>
      </c>
      <c r="U175" s="139">
        <f>($P175*(1-(Assumptions!$C$25+0.06*(1-$K175))-Assumptions!$C$27)-Assumptions!$C$28)-MAX(0,($P175*(1-(Assumptions!$C$25+0.06*(1-$K175))-Assumptions!$C$27)-Assumptions!$C$28)*Assumptions!$C$31)+Assumptions!$C$28-Assumptions!$C$29-$P175*Assumptions!$C$30</f>
        <v>118.3615093</v>
      </c>
      <c r="V175" s="143">
        <f>(($Q175/(1+$D175)^1+$R175/(1+$D175)^2+$S175/(1+$D175)^3+$T175/(1+$D175)^4+$U175/(1+$D175)^5+$U175*(1+$E175)/($D175-$E175)/(1+$D175)^5)-Assumptions!$C$37)/Assumptions!$C$40/Assumptions!$C$38</f>
        <v>4.305345259</v>
      </c>
    </row>
    <row r="176" ht="12.0" customHeight="1">
      <c r="B176" s="139">
        <v>124.0</v>
      </c>
      <c r="C176" s="140">
        <f t="shared" si="6"/>
        <v>0.3024740447</v>
      </c>
      <c r="D176" s="141">
        <f t="shared" si="7"/>
        <v>0.0951261395</v>
      </c>
      <c r="E176" s="141">
        <f t="shared" si="8"/>
        <v>0.0166243089</v>
      </c>
      <c r="F176" s="140">
        <f t="shared" si="9"/>
        <v>0.2623119385</v>
      </c>
      <c r="G176" s="141">
        <f t="shared" si="10"/>
        <v>0.05172927724</v>
      </c>
      <c r="H176" s="142">
        <f t="shared" si="11"/>
        <v>0</v>
      </c>
      <c r="I176" s="142">
        <f t="shared" si="12"/>
        <v>1</v>
      </c>
      <c r="J176" s="142">
        <f t="shared" si="13"/>
        <v>0</v>
      </c>
      <c r="K176" s="142">
        <f t="shared" si="14"/>
        <v>1</v>
      </c>
      <c r="L176" s="139">
        <f>Assumptions!$C$6*Assumptions!$C$7*(1+$G176-0.05*(1-1))^1+Assumptions!$C$6*Assumptions!$C$8*(1+Assumptions!$C$11)^1+Assumptions!$C$16*1+Assumptions!$C$6*Assumptions!$C$9*(1+Assumptions!$C$12)^1</f>
        <v>743.8800747</v>
      </c>
      <c r="M176" s="139">
        <f>Assumptions!$C$6*Assumptions!$C$7*(1+$G176-0.05*(1-$H176))^2+Assumptions!$C$6*Assumptions!$C$8*(1+Assumptions!$C$11)^2+Assumptions!$C$16*$H176+Assumptions!$C$6*Assumptions!$C$9*(1+Assumptions!$C$12)^2</f>
        <v>674.230516</v>
      </c>
      <c r="N176" s="139">
        <f>Assumptions!$C$6*Assumptions!$C$7*(1+$G176-0.05*(1-$I176))^3+Assumptions!$C$6*Assumptions!$C$8*(1+Assumptions!$C$11)^3+Assumptions!$C$16*$I176+Assumptions!$C$6*Assumptions!$C$9*(1+Assumptions!$C$12)^3</f>
        <v>794.7796268</v>
      </c>
      <c r="O176" s="139">
        <f>Assumptions!$C$6*Assumptions!$C$7*(1+$G176-0.05*(1-$J176))^4+Assumptions!$C$6*Assumptions!$C$8*(1+Assumptions!$C$11)^4+Assumptions!$C$16*$J176+Assumptions!$C$6*Assumptions!$C$9*(1+Assumptions!$C$12)^4</f>
        <v>688.9929058</v>
      </c>
      <c r="P176" s="139">
        <f>Assumptions!$C$6*Assumptions!$C$7*(1+$G176-0.05*(1-$K176))^5+Assumptions!$C$6*Assumptions!$C$8*(1+Assumptions!$C$11)^5+Assumptions!$C$16*$K176+Assumptions!$C$6*Assumptions!$C$9*(1+Assumptions!$C$12)^5</f>
        <v>850.2053545</v>
      </c>
      <c r="Q176" s="139">
        <f>($L176*(1-(Assumptions!$C$25+0.06*(1-1))-Assumptions!$C$27)-Assumptions!$C$28)-MAX(0,($L176*(1-(Assumptions!$C$25+0.06*(1-1))-Assumptions!$C$27)-Assumptions!$C$28)*Assumptions!$C$31)+Assumptions!$C$28-Assumptions!$C$29-$L176*Assumptions!$C$30</f>
        <v>92.43421606</v>
      </c>
      <c r="R176" s="139">
        <f>($M176*(1-(Assumptions!$C$25+0.06*(1-$H176))-Assumptions!$C$27)-Assumptions!$C$28)-MAX(0,($M176*(1-(Assumptions!$C$25+0.06*(1-$H176))-Assumptions!$C$27)-Assumptions!$C$28)*Assumptions!$C$31)+Assumptions!$C$28-Assumptions!$C$29-$M176*Assumptions!$C$30</f>
        <v>35.07301868</v>
      </c>
      <c r="S176" s="139">
        <f>($N176*(1-(Assumptions!$C$25+0.06*(1-$I176))-Assumptions!$C$27)-Assumptions!$C$28)-MAX(0,($N176*(1-(Assumptions!$C$25+0.06*(1-$I176))-Assumptions!$C$27)-Assumptions!$C$28)*Assumptions!$C$31)+Assumptions!$C$28-Assumptions!$C$29-$N176*Assumptions!$C$30</f>
        <v>103.3776198</v>
      </c>
      <c r="T176" s="139">
        <f>($O176*(1-(Assumptions!$C$25+0.06*(1-$J176))-Assumptions!$C$27)-Assumptions!$C$28)-MAX(0,($O176*(1-(Assumptions!$C$25+0.06*(1-$J176))-Assumptions!$C$27)-Assumptions!$C$28)*Assumptions!$C$31)+Assumptions!$C$28-Assumptions!$C$29-$O176*Assumptions!$C$30</f>
        <v>38.46836833</v>
      </c>
      <c r="U176" s="139">
        <f>($P176*(1-(Assumptions!$C$25+0.06*(1-$K176))-Assumptions!$C$27)-Assumptions!$C$28)-MAX(0,($P176*(1-(Assumptions!$C$25+0.06*(1-$K176))-Assumptions!$C$27)-Assumptions!$C$28)*Assumptions!$C$31)+Assumptions!$C$28-Assumptions!$C$29-$P176*Assumptions!$C$30</f>
        <v>115.2941512</v>
      </c>
      <c r="V176" s="143">
        <f>(($Q176/(1+$D176)^1+$R176/(1+$D176)^2+$S176/(1+$D176)^3+$T176/(1+$D176)^4+$U176/(1+$D176)^5+$U176*(1+$E176)/($D176-$E176)/(1+$D176)^5)-Assumptions!$C$37)/Assumptions!$C$40/Assumptions!$C$38</f>
        <v>4.280567079</v>
      </c>
    </row>
    <row r="177" ht="12.0" customHeight="1">
      <c r="B177" s="139">
        <v>125.0</v>
      </c>
      <c r="C177" s="140">
        <f t="shared" si="6"/>
        <v>0.4073777439</v>
      </c>
      <c r="D177" s="141">
        <f t="shared" si="7"/>
        <v>0.09676648455</v>
      </c>
      <c r="E177" s="141">
        <f t="shared" si="8"/>
        <v>0.019250423</v>
      </c>
      <c r="F177" s="140">
        <f t="shared" si="9"/>
        <v>0.6128242369</v>
      </c>
      <c r="G177" s="141">
        <f t="shared" si="10"/>
        <v>0.06360082627</v>
      </c>
      <c r="H177" s="142">
        <f t="shared" si="11"/>
        <v>0</v>
      </c>
      <c r="I177" s="142">
        <f t="shared" si="12"/>
        <v>0</v>
      </c>
      <c r="J177" s="142">
        <f t="shared" si="13"/>
        <v>0</v>
      </c>
      <c r="K177" s="142">
        <f t="shared" si="14"/>
        <v>1</v>
      </c>
      <c r="L177" s="139">
        <f>Assumptions!$C$6*Assumptions!$C$7*(1+$G177-0.05*(1-1))^1+Assumptions!$C$6*Assumptions!$C$8*(1+Assumptions!$C$11)^1+Assumptions!$C$16*1+Assumptions!$C$6*Assumptions!$C$9*(1+Assumptions!$C$12)^1</f>
        <v>747.8760381</v>
      </c>
      <c r="M177" s="139">
        <f>Assumptions!$C$6*Assumptions!$C$7*(1+$G177-0.05*(1-$H177))^2+Assumptions!$C$6*Assumptions!$C$8*(1+Assumptions!$C$11)^2+Assumptions!$C$16*$H177+Assumptions!$C$6*Assumptions!$C$9*(1+Assumptions!$C$12)^2</f>
        <v>682.2837013</v>
      </c>
      <c r="N177" s="139">
        <f>Assumptions!$C$6*Assumptions!$C$7*(1+$G177-0.05*(1-$I177))^3+Assumptions!$C$6*Assumptions!$C$8*(1+Assumptions!$C$11)^3+Assumptions!$C$16*$I177+Assumptions!$C$6*Assumptions!$C$9*(1+Assumptions!$C$12)^3</f>
        <v>693.7164237</v>
      </c>
      <c r="O177" s="139">
        <f>Assumptions!$C$6*Assumptions!$C$7*(1+$G177-0.05*(1-$J177))^4+Assumptions!$C$6*Assumptions!$C$8*(1+Assumptions!$C$11)^4+Assumptions!$C$16*$J177+Assumptions!$C$6*Assumptions!$C$9*(1+Assumptions!$C$12)^4</f>
        <v>705.3477026</v>
      </c>
      <c r="P177" s="139">
        <f>Assumptions!$C$6*Assumptions!$C$7*(1+$G177-0.05*(1-$K177))^5+Assumptions!$C$6*Assumptions!$C$8*(1+Assumptions!$C$11)^5+Assumptions!$C$16*$K177+Assumptions!$C$6*Assumptions!$C$9*(1+Assumptions!$C$12)^5</f>
        <v>875.209469</v>
      </c>
      <c r="Q177" s="139">
        <f>($L177*(1-(Assumptions!$C$25+0.06*(1-1))-Assumptions!$C$27)-Assumptions!$C$28)-MAX(0,($L177*(1-(Assumptions!$C$25+0.06*(1-1))-Assumptions!$C$27)-Assumptions!$C$28)*Assumptions!$C$31)+Assumptions!$C$28-Assumptions!$C$29-$L177*Assumptions!$C$30</f>
        <v>93.2933482</v>
      </c>
      <c r="R177" s="139">
        <f>($M177*(1-(Assumptions!$C$25+0.06*(1-$H177))-Assumptions!$C$27)-Assumptions!$C$28)-MAX(0,($M177*(1-(Assumptions!$C$25+0.06*(1-$H177))-Assumptions!$C$27)-Assumptions!$C$28)*Assumptions!$C$31)+Assumptions!$C$28-Assumptions!$C$29-$M177*Assumptions!$C$30</f>
        <v>36.92525131</v>
      </c>
      <c r="S177" s="139">
        <f>($N177*(1-(Assumptions!$C$25+0.06*(1-$I177))-Assumptions!$C$27)-Assumptions!$C$28)-MAX(0,($N177*(1-(Assumptions!$C$25+0.06*(1-$I177))-Assumptions!$C$27)-Assumptions!$C$28)*Assumptions!$C$31)+Assumptions!$C$28-Assumptions!$C$29-$N177*Assumptions!$C$30</f>
        <v>39.55477746</v>
      </c>
      <c r="T177" s="139">
        <f>($O177*(1-(Assumptions!$C$25+0.06*(1-$J177))-Assumptions!$C$27)-Assumptions!$C$28)-MAX(0,($O177*(1-(Assumptions!$C$25+0.06*(1-$J177))-Assumptions!$C$27)-Assumptions!$C$28)*Assumptions!$C$31)+Assumptions!$C$28-Assumptions!$C$29-$O177*Assumptions!$C$30</f>
        <v>42.2299716</v>
      </c>
      <c r="U177" s="139">
        <f>($P177*(1-(Assumptions!$C$25+0.06*(1-$K177))-Assumptions!$C$27)-Assumptions!$C$28)-MAX(0,($P177*(1-(Assumptions!$C$25+0.06*(1-$K177))-Assumptions!$C$27)-Assumptions!$C$28)*Assumptions!$C$31)+Assumptions!$C$28-Assumptions!$C$29-$P177*Assumptions!$C$30</f>
        <v>120.6700358</v>
      </c>
      <c r="V177" s="143">
        <f>(($Q177/(1+$D177)^1+$R177/(1+$D177)^2+$S177/(1+$D177)^3+$T177/(1+$D177)^4+$U177/(1+$D177)^5+$U177*(1+$E177)/($D177-$E177)/(1+$D177)^5)-Assumptions!$C$37)/Assumptions!$C$40/Assumptions!$C$38</f>
        <v>4.362997398</v>
      </c>
    </row>
    <row r="178" ht="12.0" customHeight="1">
      <c r="B178" s="139">
        <v>126.0</v>
      </c>
      <c r="C178" s="140">
        <f t="shared" si="6"/>
        <v>0.261962576</v>
      </c>
      <c r="D178" s="141">
        <f t="shared" si="7"/>
        <v>0.09442365711</v>
      </c>
      <c r="E178" s="141">
        <f t="shared" si="8"/>
        <v>0.01955994326</v>
      </c>
      <c r="F178" s="140">
        <f t="shared" si="9"/>
        <v>0.08462679347</v>
      </c>
      <c r="G178" s="141">
        <f t="shared" si="10"/>
        <v>0.04234213224</v>
      </c>
      <c r="H178" s="142">
        <f t="shared" si="11"/>
        <v>1</v>
      </c>
      <c r="I178" s="142">
        <f t="shared" si="12"/>
        <v>1</v>
      </c>
      <c r="J178" s="142">
        <f t="shared" si="13"/>
        <v>1</v>
      </c>
      <c r="K178" s="142">
        <f t="shared" si="14"/>
        <v>1</v>
      </c>
      <c r="L178" s="139">
        <f>Assumptions!$C$6*Assumptions!$C$7*(1+$G178-0.05*(1-1))^1+Assumptions!$C$6*Assumptions!$C$8*(1+Assumptions!$C$11)^1+Assumptions!$C$16*1+Assumptions!$C$6*Assumptions!$C$9*(1+Assumptions!$C$12)^1</f>
        <v>740.7203617</v>
      </c>
      <c r="M178" s="139">
        <f>Assumptions!$C$6*Assumptions!$C$7*(1+$G178-0.05*(1-$H178))^2+Assumptions!$C$6*Assumptions!$C$8*(1+Assumptions!$C$11)^2+Assumptions!$C$16*$H178+Assumptions!$C$6*Assumptions!$C$9*(1+Assumptions!$C$12)^2</f>
        <v>762.1735588</v>
      </c>
      <c r="N178" s="139">
        <f>Assumptions!$C$6*Assumptions!$C$7*(1+$G178-0.05*(1-$I178))^3+Assumptions!$C$6*Assumptions!$C$8*(1+Assumptions!$C$11)^3+Assumptions!$C$16*$I178+Assumptions!$C$6*Assumptions!$C$9*(1+Assumptions!$C$12)^3</f>
        <v>784.3877309</v>
      </c>
      <c r="O178" s="139">
        <f>Assumptions!$C$6*Assumptions!$C$7*(1+$G178-0.05*(1-$J178))^4+Assumptions!$C$6*Assumptions!$C$8*(1+Assumptions!$C$11)^4+Assumptions!$C$16*$J178+Assumptions!$C$6*Assumptions!$C$9*(1+Assumptions!$C$12)^4</f>
        <v>807.3921514</v>
      </c>
      <c r="P178" s="139">
        <f>Assumptions!$C$6*Assumptions!$C$7*(1+$G178-0.05*(1-$K178))^5+Assumptions!$C$6*Assumptions!$C$8*(1+Assumptions!$C$11)^5+Assumptions!$C$16*$K178+Assumptions!$C$6*Assumptions!$C$9*(1+Assumptions!$C$12)^5</f>
        <v>831.217274</v>
      </c>
      <c r="Q178" s="139">
        <f>($L178*(1-(Assumptions!$C$25+0.06*(1-1))-Assumptions!$C$27)-Assumptions!$C$28)-MAX(0,($L178*(1-(Assumptions!$C$25+0.06*(1-1))-Assumptions!$C$27)-Assumptions!$C$28)*Assumptions!$C$31)+Assumptions!$C$28-Assumptions!$C$29-$L178*Assumptions!$C$30</f>
        <v>91.75487777</v>
      </c>
      <c r="R178" s="139">
        <f>($M178*(1-(Assumptions!$C$25+0.06*(1-$H178))-Assumptions!$C$27)-Assumptions!$C$28)-MAX(0,($M178*(1-(Assumptions!$C$25+0.06*(1-$H178))-Assumptions!$C$27)-Assumptions!$C$28)*Assumptions!$C$31)+Assumptions!$C$28-Assumptions!$C$29-$M178*Assumptions!$C$30</f>
        <v>96.36731514</v>
      </c>
      <c r="S178" s="139">
        <f>($N178*(1-(Assumptions!$C$25+0.06*(1-$I178))-Assumptions!$C$27)-Assumptions!$C$28)-MAX(0,($N178*(1-(Assumptions!$C$25+0.06*(1-$I178))-Assumptions!$C$27)-Assumptions!$C$28)*Assumptions!$C$31)+Assumptions!$C$28-Assumptions!$C$29-$N178*Assumptions!$C$30</f>
        <v>101.1433621</v>
      </c>
      <c r="T178" s="139">
        <f>($O178*(1-(Assumptions!$C$25+0.06*(1-$J178))-Assumptions!$C$27)-Assumptions!$C$28)-MAX(0,($O178*(1-(Assumptions!$C$25+0.06*(1-$J178))-Assumptions!$C$27)-Assumptions!$C$28)*Assumptions!$C$31)+Assumptions!$C$28-Assumptions!$C$29-$O178*Assumptions!$C$30</f>
        <v>106.0893125</v>
      </c>
      <c r="U178" s="139">
        <f>($P178*(1-(Assumptions!$C$25+0.06*(1-$K178))-Assumptions!$C$27)-Assumptions!$C$28)-MAX(0,($P178*(1-(Assumptions!$C$25+0.06*(1-$K178))-Assumptions!$C$27)-Assumptions!$C$28)*Assumptions!$C$31)+Assumptions!$C$28-Assumptions!$C$29-$P178*Assumptions!$C$30</f>
        <v>111.2117139</v>
      </c>
      <c r="V178" s="143">
        <f>(($Q178/(1+$D178)^1+$R178/(1+$D178)^2+$S178/(1+$D178)^3+$T178/(1+$D178)^4+$U178/(1+$D178)^5+$U178*(1+$E178)/($D178-$E178)/(1+$D178)^5)-Assumptions!$C$37)/Assumptions!$C$40/Assumptions!$C$38</f>
        <v>5.144143836</v>
      </c>
    </row>
    <row r="179" ht="12.0" customHeight="1">
      <c r="B179" s="139">
        <v>127.0</v>
      </c>
      <c r="C179" s="140">
        <f t="shared" si="6"/>
        <v>0.3941669626</v>
      </c>
      <c r="D179" s="141">
        <f t="shared" si="7"/>
        <v>0.09656437324</v>
      </c>
      <c r="E179" s="141">
        <f t="shared" si="8"/>
        <v>0.01565379278</v>
      </c>
      <c r="F179" s="140">
        <f t="shared" si="9"/>
        <v>0.4594641796</v>
      </c>
      <c r="G179" s="141">
        <f t="shared" si="10"/>
        <v>0.05875822531</v>
      </c>
      <c r="H179" s="142">
        <f t="shared" si="11"/>
        <v>0</v>
      </c>
      <c r="I179" s="142">
        <f t="shared" si="12"/>
        <v>1</v>
      </c>
      <c r="J179" s="142">
        <f t="shared" si="13"/>
        <v>1</v>
      </c>
      <c r="K179" s="142">
        <f t="shared" si="14"/>
        <v>1</v>
      </c>
      <c r="L179" s="139">
        <f>Assumptions!$C$6*Assumptions!$C$7*(1+$G179-0.05*(1-1))^1+Assumptions!$C$6*Assumptions!$C$8*(1+Assumptions!$C$11)^1+Assumptions!$C$16*1+Assumptions!$C$6*Assumptions!$C$9*(1+Assumptions!$C$12)^1</f>
        <v>746.2460186</v>
      </c>
      <c r="M179" s="139">
        <f>Assumptions!$C$6*Assumptions!$C$7*(1+$G179-0.05*(1-$H179))^2+Assumptions!$C$6*Assumptions!$C$8*(1+Assumptions!$C$11)^2+Assumptions!$C$16*$H179+Assumptions!$C$6*Assumptions!$C$9*(1+Assumptions!$C$12)^2</f>
        <v>678.9872167</v>
      </c>
      <c r="N179" s="139">
        <f>Assumptions!$C$6*Assumptions!$C$7*(1+$G179-0.05*(1-$I179))^3+Assumptions!$C$6*Assumptions!$C$8*(1+Assumptions!$C$11)^3+Assumptions!$C$16*$I179+Assumptions!$C$6*Assumptions!$C$9*(1+Assumptions!$C$12)^3</f>
        <v>802.6833711</v>
      </c>
      <c r="O179" s="139">
        <f>Assumptions!$C$6*Assumptions!$C$7*(1+$G179-0.05*(1-$J179))^4+Assumptions!$C$6*Assumptions!$C$8*(1+Assumptions!$C$11)^4+Assumptions!$C$16*$J179+Assumptions!$C$6*Assumptions!$C$9*(1+Assumptions!$C$12)^4</f>
        <v>833.0205118</v>
      </c>
      <c r="P179" s="139">
        <f>Assumptions!$C$6*Assumptions!$C$7*(1+$G179-0.05*(1-$K179))^5+Assumptions!$C$6*Assumptions!$C$8*(1+Assumptions!$C$11)^5+Assumptions!$C$16*$K179+Assumptions!$C$6*Assumptions!$C$9*(1+Assumptions!$C$12)^5</f>
        <v>864.8741766</v>
      </c>
      <c r="Q179" s="139">
        <f>($L179*(1-(Assumptions!$C$25+0.06*(1-1))-Assumptions!$C$27)-Assumptions!$C$28)-MAX(0,($L179*(1-(Assumptions!$C$25+0.06*(1-1))-Assumptions!$C$27)-Assumptions!$C$28)*Assumptions!$C$31)+Assumptions!$C$28-Assumptions!$C$29-$L179*Assumptions!$C$30</f>
        <v>92.94289401</v>
      </c>
      <c r="R179" s="139">
        <f>($M179*(1-(Assumptions!$C$25+0.06*(1-$H179))-Assumptions!$C$27)-Assumptions!$C$28)-MAX(0,($M179*(1-(Assumptions!$C$25+0.06*(1-$H179))-Assumptions!$C$27)-Assumptions!$C$28)*Assumptions!$C$31)+Assumptions!$C$28-Assumptions!$C$29-$M179*Assumptions!$C$30</f>
        <v>36.16705984</v>
      </c>
      <c r="S179" s="139">
        <f>($N179*(1-(Assumptions!$C$25+0.06*(1-$I179))-Assumptions!$C$27)-Assumptions!$C$28)-MAX(0,($N179*(1-(Assumptions!$C$25+0.06*(1-$I179))-Assumptions!$C$27)-Assumptions!$C$28)*Assumptions!$C$31)+Assumptions!$C$28-Assumptions!$C$29-$N179*Assumptions!$C$30</f>
        <v>105.0769248</v>
      </c>
      <c r="T179" s="139">
        <f>($O179*(1-(Assumptions!$C$25+0.06*(1-$J179))-Assumptions!$C$27)-Assumptions!$C$28)-MAX(0,($O179*(1-(Assumptions!$C$25+0.06*(1-$J179))-Assumptions!$C$27)-Assumptions!$C$28)*Assumptions!$C$31)+Assumptions!$C$28-Assumptions!$C$29-$O179*Assumptions!$C$30</f>
        <v>111.59941</v>
      </c>
      <c r="U179" s="139">
        <f>($P179*(1-(Assumptions!$C$25+0.06*(1-$K179))-Assumptions!$C$27)-Assumptions!$C$28)-MAX(0,($P179*(1-(Assumptions!$C$25+0.06*(1-$K179))-Assumptions!$C$27)-Assumptions!$C$28)*Assumptions!$C$31)+Assumptions!$C$28-Assumptions!$C$29-$P179*Assumptions!$C$30</f>
        <v>118.447948</v>
      </c>
      <c r="V179" s="143">
        <f>(($Q179/(1+$D179)^1+$R179/(1+$D179)^2+$S179/(1+$D179)^3+$T179/(1+$D179)^4+$U179/(1+$D179)^5+$U179*(1+$E179)/($D179-$E179)/(1+$D179)^5)-Assumptions!$C$37)/Assumptions!$C$40/Assumptions!$C$38</f>
        <v>4.623755995</v>
      </c>
    </row>
    <row r="180" ht="12.0" customHeight="1">
      <c r="B180" s="139">
        <v>128.0</v>
      </c>
      <c r="C180" s="140">
        <f t="shared" si="6"/>
        <v>0.4893965294</v>
      </c>
      <c r="D180" s="141">
        <f t="shared" si="7"/>
        <v>0.0980752091</v>
      </c>
      <c r="E180" s="141">
        <f t="shared" si="8"/>
        <v>0.0168071542</v>
      </c>
      <c r="F180" s="140">
        <f t="shared" si="9"/>
        <v>0.6348489769</v>
      </c>
      <c r="G180" s="141">
        <f t="shared" si="10"/>
        <v>0.06436268654</v>
      </c>
      <c r="H180" s="142">
        <f t="shared" si="11"/>
        <v>1</v>
      </c>
      <c r="I180" s="142">
        <f t="shared" si="12"/>
        <v>1</v>
      </c>
      <c r="J180" s="142">
        <f t="shared" si="13"/>
        <v>1</v>
      </c>
      <c r="K180" s="142">
        <f t="shared" si="14"/>
        <v>1</v>
      </c>
      <c r="L180" s="139">
        <f>Assumptions!$C$6*Assumptions!$C$7*(1+$G180-0.05*(1-1))^1+Assumptions!$C$6*Assumptions!$C$8*(1+Assumptions!$C$11)^1+Assumptions!$C$16*1+Assumptions!$C$6*Assumptions!$C$9*(1+Assumptions!$C$12)^1</f>
        <v>748.1324803</v>
      </c>
      <c r="M180" s="139">
        <f>Assumptions!$C$6*Assumptions!$C$7*(1+$G180-0.05*(1-$H180))^2+Assumptions!$C$6*Assumptions!$C$8*(1+Assumptions!$C$11)^2+Assumptions!$C$16*$H180+Assumptions!$C$6*Assumptions!$C$9*(1+Assumptions!$C$12)^2</f>
        <v>777.7887047</v>
      </c>
      <c r="N180" s="139">
        <f>Assumptions!$C$6*Assumptions!$C$7*(1+$G180-0.05*(1-$I180))^3+Assumptions!$C$6*Assumptions!$C$8*(1+Assumptions!$C$11)^3+Assumptions!$C$16*$I180+Assumptions!$C$6*Assumptions!$C$9*(1+Assumptions!$C$12)^3</f>
        <v>809.0610068</v>
      </c>
      <c r="O180" s="139">
        <f>Assumptions!$C$6*Assumptions!$C$7*(1+$G180-0.05*(1-$J180))^4+Assumptions!$C$6*Assumptions!$C$8*(1+Assumptions!$C$11)^4+Assumptions!$C$16*$J180+Assumptions!$C$6*Assumptions!$C$9*(1+Assumptions!$C$12)^4</f>
        <v>842.0475482</v>
      </c>
      <c r="P180" s="139">
        <f>Assumptions!$C$6*Assumptions!$C$7*(1+$G180-0.05*(1-$K180))^5+Assumptions!$C$6*Assumptions!$C$8*(1+Assumptions!$C$11)^5+Assumptions!$C$16*$K180+Assumptions!$C$6*Assumptions!$C$9*(1+Assumptions!$C$12)^5</f>
        <v>876.8526912</v>
      </c>
      <c r="Q180" s="139">
        <f>($L180*(1-(Assumptions!$C$25+0.06*(1-1))-Assumptions!$C$27)-Assumptions!$C$28)-MAX(0,($L180*(1-(Assumptions!$C$25+0.06*(1-1))-Assumptions!$C$27)-Assumptions!$C$28)*Assumptions!$C$31)+Assumptions!$C$28-Assumptions!$C$29-$L180*Assumptions!$C$30</f>
        <v>93.34848326</v>
      </c>
      <c r="R180" s="139">
        <f>($M180*(1-(Assumptions!$C$25+0.06*(1-$H180))-Assumptions!$C$27)-Assumptions!$C$28)-MAX(0,($M180*(1-(Assumptions!$C$25+0.06*(1-$H180))-Assumptions!$C$27)-Assumptions!$C$28)*Assumptions!$C$31)+Assumptions!$C$28-Assumptions!$C$29-$M180*Assumptions!$C$30</f>
        <v>99.72457152</v>
      </c>
      <c r="S180" s="139">
        <f>($N180*(1-(Assumptions!$C$25+0.06*(1-$I180))-Assumptions!$C$27)-Assumptions!$C$28)-MAX(0,($N180*(1-(Assumptions!$C$25+0.06*(1-$I180))-Assumptions!$C$27)-Assumptions!$C$28)*Assumptions!$C$31)+Assumptions!$C$28-Assumptions!$C$29-$N180*Assumptions!$C$30</f>
        <v>106.4481165</v>
      </c>
      <c r="T180" s="139">
        <f>($O180*(1-(Assumptions!$C$25+0.06*(1-$J180))-Assumptions!$C$27)-Assumptions!$C$28)-MAX(0,($O180*(1-(Assumptions!$C$25+0.06*(1-$J180))-Assumptions!$C$27)-Assumptions!$C$28)*Assumptions!$C$31)+Assumptions!$C$28-Assumptions!$C$29-$O180*Assumptions!$C$30</f>
        <v>113.5402229</v>
      </c>
      <c r="U180" s="139">
        <f>($P180*(1-(Assumptions!$C$25+0.06*(1-$K180))-Assumptions!$C$27)-Assumptions!$C$28)-MAX(0,($P180*(1-(Assumptions!$C$25+0.06*(1-$K180))-Assumptions!$C$27)-Assumptions!$C$28)*Assumptions!$C$31)+Assumptions!$C$28-Assumptions!$C$29-$P180*Assumptions!$C$30</f>
        <v>121.0233286</v>
      </c>
      <c r="V180" s="143">
        <f>(($Q180/(1+$D180)^1+$R180/(1+$D180)^2+$S180/(1+$D180)^3+$T180/(1+$D180)^4+$U180/(1+$D180)^5+$U180*(1+$E180)/($D180-$E180)/(1+$D180)^5)-Assumptions!$C$37)/Assumptions!$C$40/Assumptions!$C$38</f>
        <v>5.141207884</v>
      </c>
    </row>
    <row r="181" ht="12.0" customHeight="1">
      <c r="B181" s="139">
        <v>129.0</v>
      </c>
      <c r="C181" s="140">
        <f t="shared" si="6"/>
        <v>0.1461206652</v>
      </c>
      <c r="D181" s="141">
        <f t="shared" si="7"/>
        <v>0.09203810383</v>
      </c>
      <c r="E181" s="141">
        <f t="shared" si="8"/>
        <v>0.01187023523</v>
      </c>
      <c r="F181" s="140">
        <f t="shared" si="9"/>
        <v>0.3779443713</v>
      </c>
      <c r="G181" s="141">
        <f t="shared" si="10"/>
        <v>0.0560825587</v>
      </c>
      <c r="H181" s="142">
        <f t="shared" si="11"/>
        <v>1</v>
      </c>
      <c r="I181" s="142">
        <f t="shared" si="12"/>
        <v>1</v>
      </c>
      <c r="J181" s="142">
        <f t="shared" si="13"/>
        <v>0</v>
      </c>
      <c r="K181" s="142">
        <f t="shared" si="14"/>
        <v>0</v>
      </c>
      <c r="L181" s="139">
        <f>Assumptions!$C$6*Assumptions!$C$7*(1+$G181-0.05*(1-1))^1+Assumptions!$C$6*Assumptions!$C$8*(1+Assumptions!$C$11)^1+Assumptions!$C$16*1+Assumptions!$C$6*Assumptions!$C$9*(1+Assumptions!$C$12)^1</f>
        <v>745.3453893</v>
      </c>
      <c r="M181" s="139">
        <f>Assumptions!$C$6*Assumptions!$C$7*(1+$G181-0.05*(1-$H181))^2+Assumptions!$C$6*Assumptions!$C$8*(1+Assumptions!$C$11)^2+Assumptions!$C$16*$H181+Assumptions!$C$6*Assumptions!$C$9*(1+Assumptions!$C$12)^2</f>
        <v>771.8788308</v>
      </c>
      <c r="N181" s="139">
        <f>Assumptions!$C$6*Assumptions!$C$7*(1+$G181-0.05*(1-$I181))^3+Assumptions!$C$6*Assumptions!$C$8*(1+Assumptions!$C$11)^3+Assumptions!$C$16*$I181+Assumptions!$C$6*Assumptions!$C$9*(1+Assumptions!$C$12)^3</f>
        <v>799.662286</v>
      </c>
      <c r="O181" s="139">
        <f>Assumptions!$C$6*Assumptions!$C$7*(1+$G181-0.05*(1-$J181))^4+Assumptions!$C$6*Assumptions!$C$8*(1+Assumptions!$C$11)^4+Assumptions!$C$16*$J181+Assumptions!$C$6*Assumptions!$C$9*(1+Assumptions!$C$12)^4</f>
        <v>694.9231412</v>
      </c>
      <c r="P181" s="139">
        <f>Assumptions!$C$6*Assumptions!$C$7*(1+$G181-0.05*(1-$K181))^5+Assumptions!$C$6*Assumptions!$C$8*(1+Assumptions!$C$11)^5+Assumptions!$C$16*$K181+Assumptions!$C$6*Assumptions!$C$9*(1+Assumptions!$C$12)^5</f>
        <v>704.0219715</v>
      </c>
      <c r="Q181" s="139">
        <f>($L181*(1-(Assumptions!$C$25+0.06*(1-1))-Assumptions!$C$27)-Assumptions!$C$28)-MAX(0,($L181*(1-(Assumptions!$C$25+0.06*(1-1))-Assumptions!$C$27)-Assumptions!$C$28)*Assumptions!$C$31)+Assumptions!$C$28-Assumptions!$C$29-$L181*Assumptions!$C$30</f>
        <v>92.74925869</v>
      </c>
      <c r="R181" s="139">
        <f>($M181*(1-(Assumptions!$C$25+0.06*(1-$H181))-Assumptions!$C$27)-Assumptions!$C$28)-MAX(0,($M181*(1-(Assumptions!$C$25+0.06*(1-$H181))-Assumptions!$C$27)-Assumptions!$C$28)*Assumptions!$C$31)+Assumptions!$C$28-Assumptions!$C$29-$M181*Assumptions!$C$30</f>
        <v>98.45394862</v>
      </c>
      <c r="S181" s="139">
        <f>($N181*(1-(Assumptions!$C$25+0.06*(1-$I181))-Assumptions!$C$27)-Assumptions!$C$28)-MAX(0,($N181*(1-(Assumptions!$C$25+0.06*(1-$I181))-Assumptions!$C$27)-Assumptions!$C$28)*Assumptions!$C$31)+Assumptions!$C$28-Assumptions!$C$29-$N181*Assumptions!$C$30</f>
        <v>104.4273915</v>
      </c>
      <c r="T181" s="139">
        <f>($O181*(1-(Assumptions!$C$25+0.06*(1-$J181))-Assumptions!$C$27)-Assumptions!$C$28)-MAX(0,($O181*(1-(Assumptions!$C$25+0.06*(1-$J181))-Assumptions!$C$27)-Assumptions!$C$28)*Assumptions!$C$31)+Assumptions!$C$28-Assumptions!$C$29-$O181*Assumptions!$C$30</f>
        <v>39.83232248</v>
      </c>
      <c r="U181" s="139">
        <f>($P181*(1-(Assumptions!$C$25+0.06*(1-$K181))-Assumptions!$C$27)-Assumptions!$C$28)-MAX(0,($P181*(1-(Assumptions!$C$25+0.06*(1-$K181))-Assumptions!$C$27)-Assumptions!$C$28)*Assumptions!$C$31)+Assumptions!$C$28-Assumptions!$C$29-$P181*Assumptions!$C$30</f>
        <v>41.92505344</v>
      </c>
      <c r="V181" s="143">
        <f>(($Q181/(1+$D181)^1+$R181/(1+$D181)^2+$S181/(1+$D181)^3+$T181/(1+$D181)^4+$U181/(1+$D181)^5+$U181*(1+$E181)/($D181-$E181)/(1+$D181)^5)-Assumptions!$C$37)/Assumptions!$C$40/Assumptions!$C$38</f>
        <v>-0.3768637042</v>
      </c>
    </row>
    <row r="182" ht="12.0" customHeight="1">
      <c r="B182" s="139">
        <v>130.0</v>
      </c>
      <c r="C182" s="140">
        <f t="shared" si="6"/>
        <v>0.2349241332</v>
      </c>
      <c r="D182" s="141">
        <f t="shared" si="7"/>
        <v>0.09392408433</v>
      </c>
      <c r="E182" s="141">
        <f t="shared" si="8"/>
        <v>0.01705084572</v>
      </c>
      <c r="F182" s="140">
        <f t="shared" si="9"/>
        <v>0.4530151488</v>
      </c>
      <c r="G182" s="141">
        <f t="shared" si="10"/>
        <v>0.05855568714</v>
      </c>
      <c r="H182" s="142">
        <f t="shared" si="11"/>
        <v>0</v>
      </c>
      <c r="I182" s="142">
        <f t="shared" si="12"/>
        <v>1</v>
      </c>
      <c r="J182" s="142">
        <f t="shared" si="13"/>
        <v>0</v>
      </c>
      <c r="K182" s="142">
        <f t="shared" si="14"/>
        <v>1</v>
      </c>
      <c r="L182" s="139">
        <f>Assumptions!$C$6*Assumptions!$C$7*(1+$G182-0.05*(1-1))^1+Assumptions!$C$6*Assumptions!$C$8*(1+Assumptions!$C$11)^1+Assumptions!$C$16*1+Assumptions!$C$6*Assumptions!$C$9*(1+Assumptions!$C$12)^1</f>
        <v>746.1778443</v>
      </c>
      <c r="M182" s="139">
        <f>Assumptions!$C$6*Assumptions!$C$7*(1+$G182-0.05*(1-$H182))^2+Assumptions!$C$6*Assumptions!$C$8*(1+Assumptions!$C$11)^2+Assumptions!$C$16*$H182+Assumptions!$C$6*Assumptions!$C$9*(1+Assumptions!$C$12)^2</f>
        <v>678.8496876</v>
      </c>
      <c r="N182" s="139">
        <f>Assumptions!$C$6*Assumptions!$C$7*(1+$G182-0.05*(1-$I182))^3+Assumptions!$C$6*Assumptions!$C$8*(1+Assumptions!$C$11)^3+Assumptions!$C$16*$I182+Assumptions!$C$6*Assumptions!$C$9*(1+Assumptions!$C$12)^3</f>
        <v>802.454151</v>
      </c>
      <c r="O182" s="139">
        <f>Assumptions!$C$6*Assumptions!$C$7*(1+$G182-0.05*(1-$J182))^4+Assumptions!$C$6*Assumptions!$C$8*(1+Assumptions!$C$11)^4+Assumptions!$C$16*$J182+Assumptions!$C$6*Assumptions!$C$9*(1+Assumptions!$C$12)^4</f>
        <v>698.326617</v>
      </c>
      <c r="P182" s="139">
        <f>Assumptions!$C$6*Assumptions!$C$7*(1+$G182-0.05*(1-$K182))^5+Assumptions!$C$6*Assumptions!$C$8*(1+Assumptions!$C$11)^5+Assumptions!$C$16*$K182+Assumptions!$C$6*Assumptions!$C$9*(1+Assumptions!$C$12)^5</f>
        <v>864.4460107</v>
      </c>
      <c r="Q182" s="139">
        <f>($L182*(1-(Assumptions!$C$25+0.06*(1-1))-Assumptions!$C$27)-Assumptions!$C$28)-MAX(0,($L182*(1-(Assumptions!$C$25+0.06*(1-1))-Assumptions!$C$27)-Assumptions!$C$28)*Assumptions!$C$31)+Assumptions!$C$28-Assumptions!$C$29-$L182*Assumptions!$C$30</f>
        <v>92.92823652</v>
      </c>
      <c r="R182" s="139">
        <f>($M182*(1-(Assumptions!$C$25+0.06*(1-$H182))-Assumptions!$C$27)-Assumptions!$C$28)-MAX(0,($M182*(1-(Assumptions!$C$25+0.06*(1-$H182))-Assumptions!$C$27)-Assumptions!$C$28)*Assumptions!$C$31)+Assumptions!$C$28-Assumptions!$C$29-$M182*Assumptions!$C$30</f>
        <v>36.13542815</v>
      </c>
      <c r="S182" s="139">
        <f>($N182*(1-(Assumptions!$C$25+0.06*(1-$I182))-Assumptions!$C$27)-Assumptions!$C$28)-MAX(0,($N182*(1-(Assumptions!$C$25+0.06*(1-$I182))-Assumptions!$C$27)-Assumptions!$C$28)*Assumptions!$C$31)+Assumptions!$C$28-Assumptions!$C$29-$N182*Assumptions!$C$30</f>
        <v>105.0276425</v>
      </c>
      <c r="T182" s="139">
        <f>($O182*(1-(Assumptions!$C$25+0.06*(1-$J182))-Assumptions!$C$27)-Assumptions!$C$28)-MAX(0,($O182*(1-(Assumptions!$C$25+0.06*(1-$J182))-Assumptions!$C$27)-Assumptions!$C$28)*Assumptions!$C$31)+Assumptions!$C$28-Assumptions!$C$29-$O182*Assumptions!$C$30</f>
        <v>40.61512191</v>
      </c>
      <c r="U182" s="139">
        <f>($P182*(1-(Assumptions!$C$25+0.06*(1-$K182))-Assumptions!$C$27)-Assumptions!$C$28)-MAX(0,($P182*(1-(Assumptions!$C$25+0.06*(1-$K182))-Assumptions!$C$27)-Assumptions!$C$28)*Assumptions!$C$31)+Assumptions!$C$28-Assumptions!$C$29-$P182*Assumptions!$C$30</f>
        <v>118.3558923</v>
      </c>
      <c r="V182" s="143">
        <f>(($Q182/(1+$D182)^1+$R182/(1+$D182)^2+$S182/(1+$D182)^3+$T182/(1+$D182)^4+$U182/(1+$D182)^5+$U182*(1+$E182)/($D182-$E182)/(1+$D182)^5)-Assumptions!$C$37)/Assumptions!$C$40/Assumptions!$C$38</f>
        <v>4.738423293</v>
      </c>
    </row>
    <row r="183" ht="12.0" customHeight="1">
      <c r="B183" s="139">
        <v>131.0</v>
      </c>
      <c r="C183" s="140">
        <f t="shared" si="6"/>
        <v>0.01400950818</v>
      </c>
      <c r="D183" s="141">
        <f t="shared" si="7"/>
        <v>0.08717927127</v>
      </c>
      <c r="E183" s="141">
        <f t="shared" si="8"/>
        <v>0.01657151414</v>
      </c>
      <c r="F183" s="140">
        <f t="shared" si="9"/>
        <v>0.7943483185</v>
      </c>
      <c r="G183" s="141">
        <f t="shared" si="10"/>
        <v>0.07076011885</v>
      </c>
      <c r="H183" s="142">
        <f t="shared" si="11"/>
        <v>0</v>
      </c>
      <c r="I183" s="142">
        <f t="shared" si="12"/>
        <v>0</v>
      </c>
      <c r="J183" s="142">
        <f t="shared" si="13"/>
        <v>1</v>
      </c>
      <c r="K183" s="142">
        <f t="shared" si="14"/>
        <v>1</v>
      </c>
      <c r="L183" s="139">
        <f>Assumptions!$C$6*Assumptions!$C$7*(1+$G183-0.05*(1-1))^1+Assumptions!$C$6*Assumptions!$C$8*(1+Assumptions!$C$11)^1+Assumptions!$C$16*1+Assumptions!$C$6*Assumptions!$C$9*(1+Assumptions!$C$12)^1</f>
        <v>750.285856</v>
      </c>
      <c r="M183" s="139">
        <f>Assumptions!$C$6*Assumptions!$C$7*(1+$G183-0.05*(1-$H183))^2+Assumptions!$C$6*Assumptions!$C$8*(1+Assumptions!$C$11)^2+Assumptions!$C$16*$H183+Assumptions!$C$6*Assumptions!$C$9*(1+Assumptions!$C$12)^2</f>
        <v>687.1861407</v>
      </c>
      <c r="N183" s="139">
        <f>Assumptions!$C$6*Assumptions!$C$7*(1+$G183-0.05*(1-$I183))^3+Assumptions!$C$6*Assumptions!$C$8*(1+Assumptions!$C$11)^3+Assumptions!$C$16*$I183+Assumptions!$C$6*Assumptions!$C$9*(1+Assumptions!$C$12)^3</f>
        <v>701.196453</v>
      </c>
      <c r="O183" s="139">
        <f>Assumptions!$C$6*Assumptions!$C$7*(1+$G183-0.05*(1-$J183))^4+Assumptions!$C$6*Assumptions!$C$8*(1+Assumptions!$C$11)^4+Assumptions!$C$16*$J183+Assumptions!$C$6*Assumptions!$C$9*(1+Assumptions!$C$12)^4</f>
        <v>852.5275725</v>
      </c>
      <c r="P183" s="139">
        <f>Assumptions!$C$6*Assumptions!$C$7*(1+$G183-0.05*(1-$K183))^5+Assumptions!$C$6*Assumptions!$C$8*(1+Assumptions!$C$11)^5+Assumptions!$C$16*$K183+Assumptions!$C$6*Assumptions!$C$9*(1+Assumptions!$C$12)^5</f>
        <v>890.8379036</v>
      </c>
      <c r="Q183" s="139">
        <f>($L183*(1-(Assumptions!$C$25+0.06*(1-1))-Assumptions!$C$27)-Assumptions!$C$28)-MAX(0,($L183*(1-(Assumptions!$C$25+0.06*(1-1))-Assumptions!$C$27)-Assumptions!$C$28)*Assumptions!$C$31)+Assumptions!$C$28-Assumptions!$C$29-$L183*Assumptions!$C$30</f>
        <v>93.81145904</v>
      </c>
      <c r="R183" s="139">
        <f>($M183*(1-(Assumptions!$C$25+0.06*(1-$H183))-Assumptions!$C$27)-Assumptions!$C$28)-MAX(0,($M183*(1-(Assumptions!$C$25+0.06*(1-$H183))-Assumptions!$C$27)-Assumptions!$C$28)*Assumptions!$C$31)+Assumptions!$C$28-Assumptions!$C$29-$M183*Assumptions!$C$30</f>
        <v>38.05281237</v>
      </c>
      <c r="S183" s="139">
        <f>($N183*(1-(Assumptions!$C$25+0.06*(1-$I183))-Assumptions!$C$27)-Assumptions!$C$28)-MAX(0,($N183*(1-(Assumptions!$C$25+0.06*(1-$I183))-Assumptions!$C$27)-Assumptions!$C$28)*Assumptions!$C$31)+Assumptions!$C$28-Assumptions!$C$29-$N183*Assumptions!$C$30</f>
        <v>41.2751842</v>
      </c>
      <c r="T183" s="139">
        <f>($O183*(1-(Assumptions!$C$25+0.06*(1-$J183))-Assumptions!$C$27)-Assumptions!$C$28)-MAX(0,($O183*(1-(Assumptions!$C$25+0.06*(1-$J183))-Assumptions!$C$27)-Assumptions!$C$28)*Assumptions!$C$31)+Assumptions!$C$28-Assumptions!$C$29-$O183*Assumptions!$C$30</f>
        <v>115.7934281</v>
      </c>
      <c r="U183" s="139">
        <f>($P183*(1-(Assumptions!$C$25+0.06*(1-$K183))-Assumptions!$C$27)-Assumptions!$C$28)-MAX(0,($P183*(1-(Assumptions!$C$25+0.06*(1-$K183))-Assumptions!$C$27)-Assumptions!$C$28)*Assumptions!$C$31)+Assumptions!$C$28-Assumptions!$C$29-$P183*Assumptions!$C$30</f>
        <v>124.0301493</v>
      </c>
      <c r="V183" s="143">
        <f>(($Q183/(1+$D183)^1+$R183/(1+$D183)^2+$S183/(1+$D183)^3+$T183/(1+$D183)^4+$U183/(1+$D183)^5+$U183*(1+$E183)/($D183-$E183)/(1+$D183)^5)-Assumptions!$C$37)/Assumptions!$C$40/Assumptions!$C$38</f>
        <v>6.236776174</v>
      </c>
    </row>
    <row r="184" ht="12.0" customHeight="1">
      <c r="B184" s="139">
        <v>132.0</v>
      </c>
      <c r="C184" s="140">
        <f t="shared" si="6"/>
        <v>0.5111607292</v>
      </c>
      <c r="D184" s="141">
        <f t="shared" si="7"/>
        <v>0.09843984206</v>
      </c>
      <c r="E184" s="141">
        <f t="shared" si="8"/>
        <v>0.02486115708</v>
      </c>
      <c r="F184" s="140">
        <f t="shared" si="9"/>
        <v>0.6188188456</v>
      </c>
      <c r="G184" s="141">
        <f t="shared" si="10"/>
        <v>0.06380599156</v>
      </c>
      <c r="H184" s="142">
        <f t="shared" si="11"/>
        <v>1</v>
      </c>
      <c r="I184" s="142">
        <f t="shared" si="12"/>
        <v>1</v>
      </c>
      <c r="J184" s="142">
        <f t="shared" si="13"/>
        <v>1</v>
      </c>
      <c r="K184" s="142">
        <f t="shared" si="14"/>
        <v>1</v>
      </c>
      <c r="L184" s="139">
        <f>Assumptions!$C$6*Assumptions!$C$7*(1+$G184-0.05*(1-1))^1+Assumptions!$C$6*Assumptions!$C$8*(1+Assumptions!$C$11)^1+Assumptions!$C$16*1+Assumptions!$C$6*Assumptions!$C$9*(1+Assumptions!$C$12)^1</f>
        <v>747.9450968</v>
      </c>
      <c r="M184" s="139">
        <f>Assumptions!$C$6*Assumptions!$C$7*(1+$G184-0.05*(1-$H184))^2+Assumptions!$C$6*Assumptions!$C$8*(1+Assumptions!$C$11)^2+Assumptions!$C$16*$H184+Assumptions!$C$6*Assumptions!$C$9*(1+Assumptions!$C$12)^2</f>
        <v>777.389921</v>
      </c>
      <c r="N184" s="139">
        <f>Assumptions!$C$6*Assumptions!$C$7*(1+$G184-0.05*(1-$I184))^3+Assumptions!$C$6*Assumptions!$C$8*(1+Assumptions!$C$11)^3+Assumptions!$C$16*$I184+Assumptions!$C$6*Assumptions!$C$9*(1+Assumptions!$C$12)^3</f>
        <v>808.4244975</v>
      </c>
      <c r="O184" s="139">
        <f>Assumptions!$C$6*Assumptions!$C$7*(1+$G184-0.05*(1-$J184))^4+Assumptions!$C$6*Assumptions!$C$8*(1+Assumptions!$C$11)^4+Assumptions!$C$16*$J184+Assumptions!$C$6*Assumptions!$C$9*(1+Assumptions!$C$12)^4</f>
        <v>841.144482</v>
      </c>
      <c r="P184" s="139">
        <f>Assumptions!$C$6*Assumptions!$C$7*(1+$G184-0.05*(1-$K184))^5+Assumptions!$C$6*Assumptions!$C$8*(1+Assumptions!$C$11)^5+Assumptions!$C$16*$K184+Assumptions!$C$6*Assumptions!$C$9*(1+Assumptions!$C$12)^5</f>
        <v>875.6515179</v>
      </c>
      <c r="Q184" s="139">
        <f>($L184*(1-(Assumptions!$C$25+0.06*(1-1))-Assumptions!$C$27)-Assumptions!$C$28)-MAX(0,($L184*(1-(Assumptions!$C$25+0.06*(1-1))-Assumptions!$C$27)-Assumptions!$C$28)*Assumptions!$C$31)+Assumptions!$C$28-Assumptions!$C$29-$L184*Assumptions!$C$30</f>
        <v>93.3081958</v>
      </c>
      <c r="R184" s="139">
        <f>($M184*(1-(Assumptions!$C$25+0.06*(1-$H184))-Assumptions!$C$27)-Assumptions!$C$28)-MAX(0,($M184*(1-(Assumptions!$C$25+0.06*(1-$H184))-Assumptions!$C$27)-Assumptions!$C$28)*Assumptions!$C$31)+Assumptions!$C$28-Assumptions!$C$29-$M184*Assumptions!$C$30</f>
        <v>99.63883301</v>
      </c>
      <c r="S184" s="139">
        <f>($N184*(1-(Assumptions!$C$25+0.06*(1-$I184))-Assumptions!$C$27)-Assumptions!$C$28)-MAX(0,($N184*(1-(Assumptions!$C$25+0.06*(1-$I184))-Assumptions!$C$27)-Assumptions!$C$28)*Assumptions!$C$31)+Assumptions!$C$28-Assumptions!$C$29-$N184*Assumptions!$C$30</f>
        <v>106.311267</v>
      </c>
      <c r="T184" s="139">
        <f>($O184*(1-(Assumptions!$C$25+0.06*(1-$J184))-Assumptions!$C$27)-Assumptions!$C$28)-MAX(0,($O184*(1-(Assumptions!$C$25+0.06*(1-$J184))-Assumptions!$C$27)-Assumptions!$C$28)*Assumptions!$C$31)+Assumptions!$C$28-Assumptions!$C$29-$O184*Assumptions!$C$30</f>
        <v>113.3460636</v>
      </c>
      <c r="U184" s="139">
        <f>($P184*(1-(Assumptions!$C$25+0.06*(1-$K184))-Assumptions!$C$27)-Assumptions!$C$28)-MAX(0,($P184*(1-(Assumptions!$C$25+0.06*(1-$K184))-Assumptions!$C$27)-Assumptions!$C$28)*Assumptions!$C$31)+Assumptions!$C$28-Assumptions!$C$29-$P184*Assumptions!$C$30</f>
        <v>120.7650763</v>
      </c>
      <c r="V184" s="143">
        <f>(($Q184/(1+$D184)^1+$R184/(1+$D184)^2+$S184/(1+$D184)^3+$T184/(1+$D184)^4+$U184/(1+$D184)^5+$U184*(1+$E184)/($D184-$E184)/(1+$D184)^5)-Assumptions!$C$37)/Assumptions!$C$40/Assumptions!$C$38</f>
        <v>5.941268516</v>
      </c>
    </row>
    <row r="185" ht="12.0" customHeight="1">
      <c r="B185" s="139">
        <v>133.0</v>
      </c>
      <c r="C185" s="140">
        <f t="shared" si="6"/>
        <v>0.9716149064</v>
      </c>
      <c r="D185" s="141">
        <f t="shared" si="7"/>
        <v>0.1110095066</v>
      </c>
      <c r="E185" s="141">
        <f t="shared" si="8"/>
        <v>0.01663534735</v>
      </c>
      <c r="F185" s="140">
        <f t="shared" si="9"/>
        <v>0.5774026531</v>
      </c>
      <c r="G185" s="141">
        <f t="shared" si="10"/>
        <v>0.06241965873</v>
      </c>
      <c r="H185" s="142">
        <f t="shared" si="11"/>
        <v>1</v>
      </c>
      <c r="I185" s="142">
        <f t="shared" si="12"/>
        <v>0</v>
      </c>
      <c r="J185" s="142">
        <f t="shared" si="13"/>
        <v>0</v>
      </c>
      <c r="K185" s="142">
        <f t="shared" si="14"/>
        <v>1</v>
      </c>
      <c r="L185" s="139">
        <f>Assumptions!$C$6*Assumptions!$C$7*(1+$G185-0.05*(1-1))^1+Assumptions!$C$6*Assumptions!$C$8*(1+Assumptions!$C$11)^1+Assumptions!$C$16*1+Assumptions!$C$6*Assumptions!$C$9*(1+Assumptions!$C$12)^1</f>
        <v>747.4784571</v>
      </c>
      <c r="M185" s="139">
        <f>Assumptions!$C$6*Assumptions!$C$7*(1+$G185-0.05*(1-$H185))^2+Assumptions!$C$6*Assumptions!$C$8*(1+Assumptions!$C$11)^2+Assumptions!$C$16*$H185+Assumptions!$C$6*Assumptions!$C$9*(1+Assumptions!$C$12)^2</f>
        <v>776.3977398</v>
      </c>
      <c r="N185" s="139">
        <f>Assumptions!$C$6*Assumptions!$C$7*(1+$G185-0.05*(1-$I185))^3+Assumptions!$C$6*Assumptions!$C$8*(1+Assumptions!$C$11)^3+Assumptions!$C$16*$I185+Assumptions!$C$6*Assumptions!$C$9*(1+Assumptions!$C$12)^3</f>
        <v>692.492443</v>
      </c>
      <c r="O185" s="139">
        <f>Assumptions!$C$6*Assumptions!$C$7*(1+$G185-0.05*(1-$J185))^4+Assumptions!$C$6*Assumptions!$C$8*(1+Assumptions!$C$11)^4+Assumptions!$C$16*$J185+Assumptions!$C$6*Assumptions!$C$9*(1+Assumptions!$C$12)^4</f>
        <v>703.6944955</v>
      </c>
      <c r="P185" s="139">
        <f>Assumptions!$C$6*Assumptions!$C$7*(1+$G185-0.05*(1-$K185))^5+Assumptions!$C$6*Assumptions!$C$8*(1+Assumptions!$C$11)^5+Assumptions!$C$16*$K185+Assumptions!$C$6*Assumptions!$C$9*(1+Assumptions!$C$12)^5</f>
        <v>872.6711531</v>
      </c>
      <c r="Q185" s="139">
        <f>($L185*(1-(Assumptions!$C$25+0.06*(1-1))-Assumptions!$C$27)-Assumptions!$C$28)-MAX(0,($L185*(1-(Assumptions!$C$25+0.06*(1-1))-Assumptions!$C$27)-Assumptions!$C$28)*Assumptions!$C$31)+Assumptions!$C$28-Assumptions!$C$29-$L185*Assumptions!$C$30</f>
        <v>93.20786828</v>
      </c>
      <c r="R185" s="139">
        <f>($M185*(1-(Assumptions!$C$25+0.06*(1-$H185))-Assumptions!$C$27)-Assumptions!$C$28)-MAX(0,($M185*(1-(Assumptions!$C$25+0.06*(1-$H185))-Assumptions!$C$27)-Assumptions!$C$28)*Assumptions!$C$31)+Assumptions!$C$28-Assumptions!$C$29-$M185*Assumptions!$C$30</f>
        <v>99.42551406</v>
      </c>
      <c r="S185" s="139">
        <f>($N185*(1-(Assumptions!$C$25+0.06*(1-$I185))-Assumptions!$C$27)-Assumptions!$C$28)-MAX(0,($N185*(1-(Assumptions!$C$25+0.06*(1-$I185))-Assumptions!$C$27)-Assumptions!$C$28)*Assumptions!$C$31)+Assumptions!$C$28-Assumptions!$C$29-$N185*Assumptions!$C$30</f>
        <v>39.27326188</v>
      </c>
      <c r="T185" s="139">
        <f>($O185*(1-(Assumptions!$C$25+0.06*(1-$J185))-Assumptions!$C$27)-Assumptions!$C$28)-MAX(0,($O185*(1-(Assumptions!$C$25+0.06*(1-$J185))-Assumptions!$C$27)-Assumptions!$C$28)*Assumptions!$C$31)+Assumptions!$C$28-Assumptions!$C$29-$O185*Assumptions!$C$30</f>
        <v>41.84973396</v>
      </c>
      <c r="U185" s="139">
        <f>($P185*(1-(Assumptions!$C$25+0.06*(1-$K185))-Assumptions!$C$27)-Assumptions!$C$28)-MAX(0,($P185*(1-(Assumptions!$C$25+0.06*(1-$K185))-Assumptions!$C$27)-Assumptions!$C$28)*Assumptions!$C$31)+Assumptions!$C$28-Assumptions!$C$29-$P185*Assumptions!$C$30</f>
        <v>120.1242979</v>
      </c>
      <c r="V185" s="143">
        <f>(($Q185/(1+$D185)^1+$R185/(1+$D185)^2+$S185/(1+$D185)^3+$T185/(1+$D185)^4+$U185/(1+$D185)^5+$U185*(1+$E185)/($D185-$E185)/(1+$D185)^5)-Assumptions!$C$37)/Assumptions!$C$40/Assumptions!$C$38</f>
        <v>2.842776097</v>
      </c>
    </row>
    <row r="186" ht="12.0" customHeight="1">
      <c r="B186" s="139">
        <v>134.0</v>
      </c>
      <c r="C186" s="140">
        <f t="shared" si="6"/>
        <v>0.113562204</v>
      </c>
      <c r="D186" s="141">
        <f t="shared" si="7"/>
        <v>0.09120464239</v>
      </c>
      <c r="E186" s="141">
        <f t="shared" si="8"/>
        <v>0.0177098887</v>
      </c>
      <c r="F186" s="140">
        <f t="shared" si="9"/>
        <v>0.2996435891</v>
      </c>
      <c r="G186" s="141">
        <f t="shared" si="10"/>
        <v>0.05322409224</v>
      </c>
      <c r="H186" s="142">
        <f t="shared" si="11"/>
        <v>1</v>
      </c>
      <c r="I186" s="142">
        <f t="shared" si="12"/>
        <v>1</v>
      </c>
      <c r="J186" s="142">
        <f t="shared" si="13"/>
        <v>1</v>
      </c>
      <c r="K186" s="142">
        <f t="shared" si="14"/>
        <v>1</v>
      </c>
      <c r="L186" s="139">
        <f>Assumptions!$C$6*Assumptions!$C$7*(1+$G186-0.05*(1-1))^1+Assumptions!$C$6*Assumptions!$C$8*(1+Assumptions!$C$11)^1+Assumptions!$C$16*1+Assumptions!$C$6*Assumptions!$C$9*(1+Assumptions!$C$12)^1</f>
        <v>744.3832294</v>
      </c>
      <c r="M186" s="139">
        <f>Assumptions!$C$6*Assumptions!$C$7*(1+$G186-0.05*(1-$H186))^2+Assumptions!$C$6*Assumptions!$C$8*(1+Assumptions!$C$11)^2+Assumptions!$C$16*$H186+Assumptions!$C$6*Assumptions!$C$9*(1+Assumptions!$C$12)^2</f>
        <v>769.8493407</v>
      </c>
      <c r="N186" s="139">
        <f>Assumptions!$C$6*Assumptions!$C$7*(1+$G186-0.05*(1-$I186))^3+Assumptions!$C$6*Assumptions!$C$8*(1+Assumptions!$C$11)^3+Assumptions!$C$16*$I186+Assumptions!$C$6*Assumptions!$C$9*(1+Assumptions!$C$12)^3</f>
        <v>796.4516714</v>
      </c>
      <c r="O186" s="139">
        <f>Assumptions!$C$6*Assumptions!$C$7*(1+$G186-0.05*(1-$J186))^4+Assumptions!$C$6*Assumptions!$C$8*(1+Assumptions!$C$11)^4+Assumptions!$C$16*$J186+Assumptions!$C$6*Assumptions!$C$9*(1+Assumptions!$C$12)^4</f>
        <v>824.2463118</v>
      </c>
      <c r="P186" s="139">
        <f>Assumptions!$C$6*Assumptions!$C$7*(1+$G186-0.05*(1-$K186))^5+Assumptions!$C$6*Assumptions!$C$8*(1+Assumptions!$C$11)^5+Assumptions!$C$16*$K186+Assumptions!$C$6*Assumptions!$C$9*(1+Assumptions!$C$12)^5</f>
        <v>853.29225</v>
      </c>
      <c r="Q186" s="139">
        <f>($L186*(1-(Assumptions!$C$25+0.06*(1-1))-Assumptions!$C$27)-Assumptions!$C$28)-MAX(0,($L186*(1-(Assumptions!$C$25+0.06*(1-1))-Assumptions!$C$27)-Assumptions!$C$28)*Assumptions!$C$31)+Assumptions!$C$28-Assumptions!$C$29-$L186*Assumptions!$C$30</f>
        <v>92.54239433</v>
      </c>
      <c r="R186" s="139">
        <f>($M186*(1-(Assumptions!$C$25+0.06*(1-$H186))-Assumptions!$C$27)-Assumptions!$C$28)-MAX(0,($M186*(1-(Assumptions!$C$25+0.06*(1-$H186))-Assumptions!$C$27)-Assumptions!$C$28)*Assumptions!$C$31)+Assumptions!$C$28-Assumptions!$C$29-$M186*Assumptions!$C$30</f>
        <v>98.01760825</v>
      </c>
      <c r="S186" s="139">
        <f>($N186*(1-(Assumptions!$C$25+0.06*(1-$I186))-Assumptions!$C$27)-Assumptions!$C$28)-MAX(0,($N186*(1-(Assumptions!$C$25+0.06*(1-$I186))-Assumptions!$C$27)-Assumptions!$C$28)*Assumptions!$C$31)+Assumptions!$C$28-Assumptions!$C$29-$N186*Assumptions!$C$30</f>
        <v>103.7371093</v>
      </c>
      <c r="T186" s="139">
        <f>($O186*(1-(Assumptions!$C$25+0.06*(1-$J186))-Assumptions!$C$27)-Assumptions!$C$28)-MAX(0,($O186*(1-(Assumptions!$C$25+0.06*(1-$J186))-Assumptions!$C$27)-Assumptions!$C$28)*Assumptions!$C$31)+Assumptions!$C$28-Assumptions!$C$29-$O186*Assumptions!$C$30</f>
        <v>109.712957</v>
      </c>
      <c r="U186" s="139">
        <f>($P186*(1-(Assumptions!$C$25+0.06*(1-$K186))-Assumptions!$C$27)-Assumptions!$C$28)-MAX(0,($P186*(1-(Assumptions!$C$25+0.06*(1-$K186))-Assumptions!$C$27)-Assumptions!$C$28)*Assumptions!$C$31)+Assumptions!$C$28-Assumptions!$C$29-$P186*Assumptions!$C$30</f>
        <v>115.9578338</v>
      </c>
      <c r="V186" s="143">
        <f>(($Q186/(1+$D186)^1+$R186/(1+$D186)^2+$S186/(1+$D186)^3+$T186/(1+$D186)^4+$U186/(1+$D186)^5+$U186*(1+$E186)/($D186-$E186)/(1+$D186)^5)-Assumptions!$C$37)/Assumptions!$C$40/Assumptions!$C$38</f>
        <v>5.817461208</v>
      </c>
    </row>
    <row r="187" ht="12.0" customHeight="1">
      <c r="B187" s="139">
        <v>135.0</v>
      </c>
      <c r="C187" s="140">
        <f t="shared" si="6"/>
        <v>0.4318410752</v>
      </c>
      <c r="D187" s="141">
        <f t="shared" si="7"/>
        <v>0.09714678861</v>
      </c>
      <c r="E187" s="141">
        <f t="shared" si="8"/>
        <v>0.01384455055</v>
      </c>
      <c r="F187" s="140">
        <f t="shared" si="9"/>
        <v>0.8185219959</v>
      </c>
      <c r="G187" s="141">
        <f t="shared" si="10"/>
        <v>0.07192625088</v>
      </c>
      <c r="H187" s="142">
        <f t="shared" si="11"/>
        <v>0</v>
      </c>
      <c r="I187" s="142">
        <f t="shared" si="12"/>
        <v>0</v>
      </c>
      <c r="J187" s="142">
        <f t="shared" si="13"/>
        <v>1</v>
      </c>
      <c r="K187" s="142">
        <f t="shared" si="14"/>
        <v>0</v>
      </c>
      <c r="L187" s="139">
        <f>Assumptions!$C$6*Assumptions!$C$7*(1+$G187-0.05*(1-1))^1+Assumptions!$C$6*Assumptions!$C$8*(1+Assumptions!$C$11)^1+Assumptions!$C$16*1+Assumptions!$C$6*Assumptions!$C$9*(1+Assumptions!$C$12)^1</f>
        <v>750.678376</v>
      </c>
      <c r="M187" s="139">
        <f>Assumptions!$C$6*Assumptions!$C$7*(1+$G187-0.05*(1-$H187))^2+Assumptions!$C$6*Assumptions!$C$8*(1+Assumptions!$C$11)^2+Assumptions!$C$16*$H187+Assumptions!$C$6*Assumptions!$C$9*(1+Assumptions!$C$12)^2</f>
        <v>687.9879361</v>
      </c>
      <c r="N187" s="139">
        <f>Assumptions!$C$6*Assumptions!$C$7*(1+$G187-0.05*(1-$I187))^3+Assumptions!$C$6*Assumptions!$C$8*(1+Assumptions!$C$11)^3+Assumptions!$C$16*$I187+Assumptions!$C$6*Assumptions!$C$9*(1+Assumptions!$C$12)^3</f>
        <v>702.4248155</v>
      </c>
      <c r="O187" s="139">
        <f>Assumptions!$C$6*Assumptions!$C$7*(1+$G187-0.05*(1-$J187))^4+Assumptions!$C$6*Assumptions!$C$8*(1+Assumptions!$C$11)^4+Assumptions!$C$16*$J187+Assumptions!$C$6*Assumptions!$C$9*(1+Assumptions!$C$12)^4</f>
        <v>854.4582414</v>
      </c>
      <c r="P187" s="139">
        <f>Assumptions!$C$6*Assumptions!$C$7*(1+$G187-0.05*(1-$K187))^5+Assumptions!$C$6*Assumptions!$C$8*(1+Assumptions!$C$11)^5+Assumptions!$C$16*$K187+Assumptions!$C$6*Assumptions!$C$9*(1+Assumptions!$C$12)^5</f>
        <v>732.2157244</v>
      </c>
      <c r="Q187" s="139">
        <f>($L187*(1-(Assumptions!$C$25+0.06*(1-1))-Assumptions!$C$27)-Assumptions!$C$28)-MAX(0,($L187*(1-(Assumptions!$C$25+0.06*(1-1))-Assumptions!$C$27)-Assumptions!$C$28)*Assumptions!$C$31)+Assumptions!$C$28-Assumptions!$C$29-$L187*Assumptions!$C$30</f>
        <v>93.89585085</v>
      </c>
      <c r="R187" s="139">
        <f>($M187*(1-(Assumptions!$C$25+0.06*(1-$H187))-Assumptions!$C$27)-Assumptions!$C$28)-MAX(0,($M187*(1-(Assumptions!$C$25+0.06*(1-$H187))-Assumptions!$C$27)-Assumptions!$C$28)*Assumptions!$C$31)+Assumptions!$C$28-Assumptions!$C$29-$M187*Assumptions!$C$30</f>
        <v>38.2372253</v>
      </c>
      <c r="S187" s="139">
        <f>($N187*(1-(Assumptions!$C$25+0.06*(1-$I187))-Assumptions!$C$27)-Assumptions!$C$28)-MAX(0,($N187*(1-(Assumptions!$C$25+0.06*(1-$I187))-Assumptions!$C$27)-Assumptions!$C$28)*Assumptions!$C$31)+Assumptions!$C$28-Assumptions!$C$29-$N187*Assumptions!$C$30</f>
        <v>41.55770756</v>
      </c>
      <c r="T187" s="139">
        <f>($O187*(1-(Assumptions!$C$25+0.06*(1-$J187))-Assumptions!$C$27)-Assumptions!$C$28)-MAX(0,($O187*(1-(Assumptions!$C$25+0.06*(1-$J187))-Assumptions!$C$27)-Assumptions!$C$28)*Assumptions!$C$31)+Assumptions!$C$28-Assumptions!$C$29-$O187*Assumptions!$C$30</f>
        <v>116.2085219</v>
      </c>
      <c r="U187" s="139">
        <f>($P187*(1-(Assumptions!$C$25+0.06*(1-$K187))-Assumptions!$C$27)-Assumptions!$C$28)-MAX(0,($P187*(1-(Assumptions!$C$25+0.06*(1-$K187))-Assumptions!$C$27)-Assumptions!$C$28)*Assumptions!$C$31)+Assumptions!$C$28-Assumptions!$C$29-$P187*Assumptions!$C$30</f>
        <v>48.40961661</v>
      </c>
      <c r="V187" s="143">
        <f>(($Q187/(1+$D187)^1+$R187/(1+$D187)^2+$S187/(1+$D187)^3+$T187/(1+$D187)^4+$U187/(1+$D187)^5+$U187*(1+$E187)/($D187-$E187)/(1+$D187)^5)-Assumptions!$C$37)/Assumptions!$C$40/Assumptions!$C$38</f>
        <v>-0.4808676954</v>
      </c>
    </row>
    <row r="188" ht="12.0" customHeight="1">
      <c r="B188" s="139">
        <v>136.0</v>
      </c>
      <c r="C188" s="140">
        <f t="shared" si="6"/>
        <v>0.3152743862</v>
      </c>
      <c r="D188" s="141">
        <f t="shared" si="7"/>
        <v>0.09533818248</v>
      </c>
      <c r="E188" s="141">
        <f t="shared" si="8"/>
        <v>0.02180079507</v>
      </c>
      <c r="F188" s="140">
        <f t="shared" si="9"/>
        <v>0.07588048376</v>
      </c>
      <c r="G188" s="141">
        <f t="shared" si="10"/>
        <v>0.04168695301</v>
      </c>
      <c r="H188" s="142">
        <f t="shared" si="11"/>
        <v>0</v>
      </c>
      <c r="I188" s="142">
        <f t="shared" si="12"/>
        <v>1</v>
      </c>
      <c r="J188" s="142">
        <f t="shared" si="13"/>
        <v>0</v>
      </c>
      <c r="K188" s="142">
        <f t="shared" si="14"/>
        <v>0</v>
      </c>
      <c r="L188" s="139">
        <f>Assumptions!$C$6*Assumptions!$C$7*(1+$G188-0.05*(1-1))^1+Assumptions!$C$6*Assumptions!$C$8*(1+Assumptions!$C$11)^1+Assumptions!$C$16*1+Assumptions!$C$6*Assumptions!$C$9*(1+Assumptions!$C$12)^1</f>
        <v>740.4998284</v>
      </c>
      <c r="M188" s="139">
        <f>Assumptions!$C$6*Assumptions!$C$7*(1+$G188-0.05*(1-$H188))^2+Assumptions!$C$6*Assumptions!$C$8*(1+Assumptions!$C$11)^2+Assumptions!$C$16*$H188+Assumptions!$C$6*Assumptions!$C$9*(1+Assumptions!$C$12)^2</f>
        <v>667.4922781</v>
      </c>
      <c r="N188" s="139">
        <f>Assumptions!$C$6*Assumptions!$C$7*(1+$G188-0.05*(1-$I188))^3+Assumptions!$C$6*Assumptions!$C$8*(1+Assumptions!$C$11)^3+Assumptions!$C$16*$I188+Assumptions!$C$6*Assumptions!$C$9*(1+Assumptions!$C$12)^3</f>
        <v>783.6693694</v>
      </c>
      <c r="O188" s="139">
        <f>Assumptions!$C$6*Assumptions!$C$7*(1+$G188-0.05*(1-$J188))^4+Assumptions!$C$6*Assumptions!$C$8*(1+Assumptions!$C$11)^4+Assumptions!$C$16*$J188+Assumptions!$C$6*Assumptions!$C$9*(1+Assumptions!$C$12)^4</f>
        <v>675.6046702</v>
      </c>
      <c r="P188" s="139">
        <f>Assumptions!$C$6*Assumptions!$C$7*(1+$G188-0.05*(1-$K188))^5+Assumptions!$C$6*Assumptions!$C$8*(1+Assumptions!$C$11)^5+Assumptions!$C$16*$K188+Assumptions!$C$6*Assumptions!$C$9*(1+Assumptions!$C$12)^5</f>
        <v>679.8995613</v>
      </c>
      <c r="Q188" s="139">
        <f>($L188*(1-(Assumptions!$C$25+0.06*(1-1))-Assumptions!$C$27)-Assumptions!$C$28)-MAX(0,($L188*(1-(Assumptions!$C$25+0.06*(1-1))-Assumptions!$C$27)-Assumptions!$C$28)*Assumptions!$C$31)+Assumptions!$C$28-Assumptions!$C$29-$L188*Assumptions!$C$30</f>
        <v>91.7074631</v>
      </c>
      <c r="R188" s="139">
        <f>($M188*(1-(Assumptions!$C$25+0.06*(1-$H188))-Assumptions!$C$27)-Assumptions!$C$28)-MAX(0,($M188*(1-(Assumptions!$C$25+0.06*(1-$H188))-Assumptions!$C$27)-Assumptions!$C$28)*Assumptions!$C$31)+Assumptions!$C$28-Assumptions!$C$29-$M188*Assumptions!$C$30</f>
        <v>33.52322396</v>
      </c>
      <c r="S188" s="139">
        <f>($N188*(1-(Assumptions!$C$25+0.06*(1-$I188))-Assumptions!$C$27)-Assumptions!$C$28)-MAX(0,($N188*(1-(Assumptions!$C$25+0.06*(1-$I188))-Assumptions!$C$27)-Assumptions!$C$28)*Assumptions!$C$31)+Assumptions!$C$28-Assumptions!$C$29-$N188*Assumptions!$C$30</f>
        <v>100.9889144</v>
      </c>
      <c r="T188" s="139">
        <f>($O188*(1-(Assumptions!$C$25+0.06*(1-$J188))-Assumptions!$C$27)-Assumptions!$C$28)-MAX(0,($O188*(1-(Assumptions!$C$25+0.06*(1-$J188))-Assumptions!$C$27)-Assumptions!$C$28)*Assumptions!$C$31)+Assumptions!$C$28-Assumptions!$C$29-$O188*Assumptions!$C$30</f>
        <v>35.38907414</v>
      </c>
      <c r="U188" s="139">
        <f>($P188*(1-(Assumptions!$C$25+0.06*(1-$K188))-Assumptions!$C$27)-Assumptions!$C$28)-MAX(0,($P188*(1-(Assumptions!$C$25+0.06*(1-$K188))-Assumptions!$C$27)-Assumptions!$C$28)*Assumptions!$C$31)+Assumptions!$C$28-Assumptions!$C$29-$P188*Assumptions!$C$30</f>
        <v>36.3768991</v>
      </c>
      <c r="V188" s="143">
        <f>(($Q188/(1+$D188)^1+$R188/(1+$D188)^2+$S188/(1+$D188)^3+$T188/(1+$D188)^4+$U188/(1+$D188)^5+$U188*(1+$E188)/($D188-$E188)/(1+$D188)^5)-Assumptions!$C$37)/Assumptions!$C$40/Assumptions!$C$38</f>
        <v>-1.053098581</v>
      </c>
    </row>
    <row r="189" ht="12.0" customHeight="1">
      <c r="B189" s="139">
        <v>137.0</v>
      </c>
      <c r="C189" s="140">
        <f t="shared" si="6"/>
        <v>0.3858656607</v>
      </c>
      <c r="D189" s="141">
        <f t="shared" si="7"/>
        <v>0.09643849779</v>
      </c>
      <c r="E189" s="141">
        <f t="shared" si="8"/>
        <v>0.01742539756</v>
      </c>
      <c r="F189" s="140">
        <f t="shared" si="9"/>
        <v>0.9182085072</v>
      </c>
      <c r="G189" s="141">
        <f t="shared" si="10"/>
        <v>0.07786638195</v>
      </c>
      <c r="H189" s="142">
        <f t="shared" si="11"/>
        <v>1</v>
      </c>
      <c r="I189" s="142">
        <f t="shared" si="12"/>
        <v>1</v>
      </c>
      <c r="J189" s="142">
        <f t="shared" si="13"/>
        <v>0</v>
      </c>
      <c r="K189" s="142">
        <f t="shared" si="14"/>
        <v>1</v>
      </c>
      <c r="L189" s="139">
        <f>Assumptions!$C$6*Assumptions!$C$7*(1+$G189-0.05*(1-1))^1+Assumptions!$C$6*Assumptions!$C$8*(1+Assumptions!$C$11)^1+Assumptions!$C$16*1+Assumptions!$C$6*Assumptions!$C$9*(1+Assumptions!$C$12)^1</f>
        <v>752.6778242</v>
      </c>
      <c r="M189" s="139">
        <f>Assumptions!$C$6*Assumptions!$C$7*(1+$G189-0.05*(1-$H189))^2+Assumptions!$C$6*Assumptions!$C$8*(1+Assumptions!$C$11)^2+Assumptions!$C$16*$H189+Assumptions!$C$6*Assumptions!$C$9*(1+Assumptions!$C$12)^2</f>
        <v>787.5258725</v>
      </c>
      <c r="N189" s="139">
        <f>Assumptions!$C$6*Assumptions!$C$7*(1+$G189-0.05*(1-$I189))^3+Assumptions!$C$6*Assumptions!$C$8*(1+Assumptions!$C$11)^3+Assumptions!$C$16*$I189+Assumptions!$C$6*Assumptions!$C$9*(1+Assumptions!$C$12)^3</f>
        <v>824.7056469</v>
      </c>
      <c r="O189" s="139">
        <f>Assumptions!$C$6*Assumptions!$C$7*(1+$G189-0.05*(1-$J189))^4+Assumptions!$C$6*Assumptions!$C$8*(1+Assumptions!$C$11)^4+Assumptions!$C$16*$J189+Assumptions!$C$6*Assumptions!$C$9*(1+Assumptions!$C$12)^4</f>
        <v>725.7754858</v>
      </c>
      <c r="P189" s="139">
        <f>Assumptions!$C$6*Assumptions!$C$7*(1+$G189-0.05*(1-$K189))^5+Assumptions!$C$6*Assumptions!$C$8*(1+Assumptions!$C$11)^5+Assumptions!$C$16*$K189+Assumptions!$C$6*Assumptions!$C$9*(1+Assumptions!$C$12)^5</f>
        <v>906.7694756</v>
      </c>
      <c r="Q189" s="139">
        <f>($L189*(1-(Assumptions!$C$25+0.06*(1-1))-Assumptions!$C$27)-Assumptions!$C$28)-MAX(0,($L189*(1-(Assumptions!$C$25+0.06*(1-1))-Assumptions!$C$27)-Assumptions!$C$28)*Assumptions!$C$31)+Assumptions!$C$28-Assumptions!$C$29-$L189*Assumptions!$C$30</f>
        <v>94.3257322</v>
      </c>
      <c r="R189" s="139">
        <f>($M189*(1-(Assumptions!$C$25+0.06*(1-$H189))-Assumptions!$C$27)-Assumptions!$C$28)-MAX(0,($M189*(1-(Assumptions!$C$25+0.06*(1-$H189))-Assumptions!$C$27)-Assumptions!$C$28)*Assumptions!$C$31)+Assumptions!$C$28-Assumptions!$C$29-$M189*Assumptions!$C$30</f>
        <v>101.8180626</v>
      </c>
      <c r="S189" s="139">
        <f>($N189*(1-(Assumptions!$C$25+0.06*(1-$I189))-Assumptions!$C$27)-Assumptions!$C$28)-MAX(0,($N189*(1-(Assumptions!$C$25+0.06*(1-$I189))-Assumptions!$C$27)-Assumptions!$C$28)*Assumptions!$C$31)+Assumptions!$C$28-Assumptions!$C$29-$N189*Assumptions!$C$30</f>
        <v>109.8117141</v>
      </c>
      <c r="T189" s="139">
        <f>($O189*(1-(Assumptions!$C$25+0.06*(1-$J189))-Assumptions!$C$27)-Assumptions!$C$28)-MAX(0,($O189*(1-(Assumptions!$C$25+0.06*(1-$J189))-Assumptions!$C$27)-Assumptions!$C$28)*Assumptions!$C$31)+Assumptions!$C$28-Assumptions!$C$29-$O189*Assumptions!$C$30</f>
        <v>46.92836173</v>
      </c>
      <c r="U189" s="139">
        <f>($P189*(1-(Assumptions!$C$25+0.06*(1-$K189))-Assumptions!$C$27)-Assumptions!$C$28)-MAX(0,($P189*(1-(Assumptions!$C$25+0.06*(1-$K189))-Assumptions!$C$27)-Assumptions!$C$28)*Assumptions!$C$31)+Assumptions!$C$28-Assumptions!$C$29-$P189*Assumptions!$C$30</f>
        <v>127.4554372</v>
      </c>
      <c r="V189" s="143">
        <f>(($Q189/(1+$D189)^1+$R189/(1+$D189)^2+$S189/(1+$D189)^3+$T189/(1+$D189)^4+$U189/(1+$D189)^5+$U189*(1+$E189)/($D189-$E189)/(1+$D189)^5)-Assumptions!$C$37)/Assumptions!$C$40/Assumptions!$C$38</f>
        <v>5.548258366</v>
      </c>
    </row>
    <row r="190" ht="12.0" customHeight="1">
      <c r="B190" s="139">
        <v>138.0</v>
      </c>
      <c r="C190" s="140">
        <f t="shared" si="6"/>
        <v>0.05294731708</v>
      </c>
      <c r="D190" s="141">
        <f t="shared" si="7"/>
        <v>0.0892366426</v>
      </c>
      <c r="E190" s="141">
        <f t="shared" si="8"/>
        <v>0.01129455762</v>
      </c>
      <c r="F190" s="140">
        <f t="shared" si="9"/>
        <v>0.29547386</v>
      </c>
      <c r="G190" s="141">
        <f t="shared" si="10"/>
        <v>0.05306193721</v>
      </c>
      <c r="H190" s="142">
        <f t="shared" si="11"/>
        <v>1</v>
      </c>
      <c r="I190" s="142">
        <f t="shared" si="12"/>
        <v>1</v>
      </c>
      <c r="J190" s="142">
        <f t="shared" si="13"/>
        <v>1</v>
      </c>
      <c r="K190" s="142">
        <f t="shared" si="14"/>
        <v>1</v>
      </c>
      <c r="L190" s="139">
        <f>Assumptions!$C$6*Assumptions!$C$7*(1+$G190-0.05*(1-1))^1+Assumptions!$C$6*Assumptions!$C$8*(1+Assumptions!$C$11)^1+Assumptions!$C$16*1+Assumptions!$C$6*Assumptions!$C$9*(1+Assumptions!$C$12)^1</f>
        <v>744.3286481</v>
      </c>
      <c r="M190" s="139">
        <f>Assumptions!$C$6*Assumptions!$C$7*(1+$G190-0.05*(1-$H190))^2+Assumptions!$C$6*Assumptions!$C$8*(1+Assumptions!$C$11)^2+Assumptions!$C$16*$H190+Assumptions!$C$6*Assumptions!$C$9*(1+Assumptions!$C$12)^2</f>
        <v>769.7343767</v>
      </c>
      <c r="N190" s="139">
        <f>Assumptions!$C$6*Assumptions!$C$7*(1+$G190-0.05*(1-$I190))^3+Assumptions!$C$6*Assumptions!$C$8*(1+Assumptions!$C$11)^3+Assumptions!$C$16*$I190+Assumptions!$C$6*Assumptions!$C$9*(1+Assumptions!$C$12)^3</f>
        <v>796.270061</v>
      </c>
      <c r="O190" s="139">
        <f>Assumptions!$C$6*Assumptions!$C$7*(1+$G190-0.05*(1-$J190))^4+Assumptions!$C$6*Assumptions!$C$8*(1+Assumptions!$C$11)^4+Assumptions!$C$16*$J190+Assumptions!$C$6*Assumptions!$C$9*(1+Assumptions!$C$12)^4</f>
        <v>823.9912963</v>
      </c>
      <c r="P190" s="139">
        <f>Assumptions!$C$6*Assumptions!$C$7*(1+$G190-0.05*(1-$K190))^5+Assumptions!$C$6*Assumptions!$C$8*(1+Assumptions!$C$11)^5+Assumptions!$C$16*$K190+Assumptions!$C$6*Assumptions!$C$9*(1+Assumptions!$C$12)^5</f>
        <v>852.9565403</v>
      </c>
      <c r="Q190" s="139">
        <f>($L190*(1-(Assumptions!$C$25+0.06*(1-1))-Assumptions!$C$27)-Assumptions!$C$28)-MAX(0,($L190*(1-(Assumptions!$C$25+0.06*(1-1))-Assumptions!$C$27)-Assumptions!$C$28)*Assumptions!$C$31)+Assumptions!$C$28-Assumptions!$C$29-$L190*Assumptions!$C$30</f>
        <v>92.53065933</v>
      </c>
      <c r="R190" s="139">
        <f>($M190*(1-(Assumptions!$C$25+0.06*(1-$H190))-Assumptions!$C$27)-Assumptions!$C$28)-MAX(0,($M190*(1-(Assumptions!$C$25+0.06*(1-$H190))-Assumptions!$C$27)-Assumptions!$C$28)*Assumptions!$C$31)+Assumptions!$C$28-Assumptions!$C$29-$M190*Assumptions!$C$30</f>
        <v>97.99289099</v>
      </c>
      <c r="S190" s="139">
        <f>($N190*(1-(Assumptions!$C$25+0.06*(1-$I190))-Assumptions!$C$27)-Assumptions!$C$28)-MAX(0,($N190*(1-(Assumptions!$C$25+0.06*(1-$I190))-Assumptions!$C$27)-Assumptions!$C$28)*Assumptions!$C$31)+Assumptions!$C$28-Assumptions!$C$29-$N190*Assumptions!$C$30</f>
        <v>103.6980631</v>
      </c>
      <c r="T190" s="139">
        <f>($O190*(1-(Assumptions!$C$25+0.06*(1-$J190))-Assumptions!$C$27)-Assumptions!$C$28)-MAX(0,($O190*(1-(Assumptions!$C$25+0.06*(1-$J190))-Assumptions!$C$27)-Assumptions!$C$28)*Assumptions!$C$31)+Assumptions!$C$28-Assumptions!$C$29-$O190*Assumptions!$C$30</f>
        <v>109.6581287</v>
      </c>
      <c r="U190" s="139">
        <f>($P190*(1-(Assumptions!$C$25+0.06*(1-$K190))-Assumptions!$C$27)-Assumptions!$C$28)-MAX(0,($P190*(1-(Assumptions!$C$25+0.06*(1-$K190))-Assumptions!$C$27)-Assumptions!$C$28)*Assumptions!$C$31)+Assumptions!$C$28-Assumptions!$C$29-$P190*Assumptions!$C$30</f>
        <v>115.8856562</v>
      </c>
      <c r="V190" s="143">
        <f>(($Q190/(1+$D190)^1+$R190/(1+$D190)^2+$S190/(1+$D190)^3+$T190/(1+$D190)^4+$U190/(1+$D190)^5+$U190*(1+$E190)/($D190-$E190)/(1+$D190)^5)-Assumptions!$C$37)/Assumptions!$C$40/Assumptions!$C$38</f>
        <v>5.386640294</v>
      </c>
    </row>
    <row r="191" ht="12.0" customHeight="1">
      <c r="B191" s="139">
        <v>139.0</v>
      </c>
      <c r="C191" s="140">
        <f t="shared" si="6"/>
        <v>0.3071929816</v>
      </c>
      <c r="D191" s="141">
        <f t="shared" si="7"/>
        <v>0.09520482341</v>
      </c>
      <c r="E191" s="141">
        <f t="shared" si="8"/>
        <v>0.01027768391</v>
      </c>
      <c r="F191" s="140">
        <f t="shared" si="9"/>
        <v>0.9091043781</v>
      </c>
      <c r="G191" s="141">
        <f t="shared" si="10"/>
        <v>0.07720890468</v>
      </c>
      <c r="H191" s="142">
        <f t="shared" si="11"/>
        <v>1</v>
      </c>
      <c r="I191" s="142">
        <f t="shared" si="12"/>
        <v>1</v>
      </c>
      <c r="J191" s="142">
        <f t="shared" si="13"/>
        <v>0</v>
      </c>
      <c r="K191" s="142">
        <f t="shared" si="14"/>
        <v>0</v>
      </c>
      <c r="L191" s="139">
        <f>Assumptions!$C$6*Assumptions!$C$7*(1+$G191-0.05*(1-1))^1+Assumptions!$C$6*Assumptions!$C$8*(1+Assumptions!$C$11)^1+Assumptions!$C$16*1+Assumptions!$C$6*Assumptions!$C$9*(1+Assumptions!$C$12)^1</f>
        <v>752.4565173</v>
      </c>
      <c r="M191" s="139">
        <f>Assumptions!$C$6*Assumptions!$C$7*(1+$G191-0.05*(1-$H191))^2+Assumptions!$C$6*Assumptions!$C$8*(1+Assumptions!$C$11)^2+Assumptions!$C$16*$H191+Assumptions!$C$6*Assumptions!$C$9*(1+Assumptions!$C$12)^2</f>
        <v>787.0489396</v>
      </c>
      <c r="N191" s="139">
        <f>Assumptions!$C$6*Assumptions!$C$7*(1+$G191-0.05*(1-$I191))^3+Assumptions!$C$6*Assumptions!$C$8*(1+Assumptions!$C$11)^3+Assumptions!$C$16*$I191+Assumptions!$C$6*Assumptions!$C$9*(1+Assumptions!$C$12)^3</f>
        <v>823.9347772</v>
      </c>
      <c r="O191" s="139">
        <f>Assumptions!$C$6*Assumptions!$C$7*(1+$G191-0.05*(1-$J191))^4+Assumptions!$C$6*Assumptions!$C$8*(1+Assumptions!$C$11)^4+Assumptions!$C$16*$J191+Assumptions!$C$6*Assumptions!$C$9*(1+Assumptions!$C$12)^4</f>
        <v>724.8150947</v>
      </c>
      <c r="P191" s="139">
        <f>Assumptions!$C$6*Assumptions!$C$7*(1+$G191-0.05*(1-$K191))^5+Assumptions!$C$6*Assumptions!$C$8*(1+Assumptions!$C$11)^5+Assumptions!$C$16*$K191+Assumptions!$C$6*Assumptions!$C$9*(1+Assumptions!$C$12)^5</f>
        <v>742.0129808</v>
      </c>
      <c r="Q191" s="139">
        <f>($L191*(1-(Assumptions!$C$25+0.06*(1-1))-Assumptions!$C$27)-Assumptions!$C$28)-MAX(0,($L191*(1-(Assumptions!$C$25+0.06*(1-1))-Assumptions!$C$27)-Assumptions!$C$28)*Assumptions!$C$31)+Assumptions!$C$28-Assumptions!$C$29-$L191*Assumptions!$C$30</f>
        <v>94.27815122</v>
      </c>
      <c r="R191" s="139">
        <f>($M191*(1-(Assumptions!$C$25+0.06*(1-$H191))-Assumptions!$C$27)-Assumptions!$C$28)-MAX(0,($M191*(1-(Assumptions!$C$25+0.06*(1-$H191))-Assumptions!$C$27)-Assumptions!$C$28)*Assumptions!$C$31)+Assumptions!$C$28-Assumptions!$C$29-$M191*Assumptions!$C$30</f>
        <v>101.715522</v>
      </c>
      <c r="S191" s="139">
        <f>($N191*(1-(Assumptions!$C$25+0.06*(1-$I191))-Assumptions!$C$27)-Assumptions!$C$28)-MAX(0,($N191*(1-(Assumptions!$C$25+0.06*(1-$I191))-Assumptions!$C$27)-Assumptions!$C$28)*Assumptions!$C$31)+Assumptions!$C$28-Assumptions!$C$29-$N191*Assumptions!$C$30</f>
        <v>109.6459771</v>
      </c>
      <c r="T191" s="139">
        <f>($O191*(1-(Assumptions!$C$25+0.06*(1-$J191))-Assumptions!$C$27)-Assumptions!$C$28)-MAX(0,($O191*(1-(Assumptions!$C$25+0.06*(1-$J191))-Assumptions!$C$27)-Assumptions!$C$28)*Assumptions!$C$31)+Assumptions!$C$28-Assumptions!$C$29-$O191*Assumptions!$C$30</f>
        <v>46.70747179</v>
      </c>
      <c r="U191" s="139">
        <f>($P191*(1-(Assumptions!$C$25+0.06*(1-$K191))-Assumptions!$C$27)-Assumptions!$C$28)-MAX(0,($P191*(1-(Assumptions!$C$25+0.06*(1-$K191))-Assumptions!$C$27)-Assumptions!$C$28)*Assumptions!$C$31)+Assumptions!$C$28-Assumptions!$C$29-$P191*Assumptions!$C$30</f>
        <v>50.66298558</v>
      </c>
      <c r="V191" s="143">
        <f>(($Q191/(1+$D191)^1+$R191/(1+$D191)^2+$S191/(1+$D191)^3+$T191/(1+$D191)^4+$U191/(1+$D191)^5+$U191*(1+$E191)/($D191-$E191)/(1+$D191)^5)-Assumptions!$C$37)/Assumptions!$C$40/Assumptions!$C$38</f>
        <v>0.07604593128</v>
      </c>
    </row>
    <row r="192" ht="12.0" customHeight="1">
      <c r="B192" s="139">
        <v>140.0</v>
      </c>
      <c r="C192" s="140">
        <f t="shared" si="6"/>
        <v>0.6717461723</v>
      </c>
      <c r="D192" s="141">
        <f t="shared" si="7"/>
        <v>0.1014297974</v>
      </c>
      <c r="E192" s="141">
        <f t="shared" si="8"/>
        <v>0.01779508449</v>
      </c>
      <c r="F192" s="140">
        <f t="shared" si="9"/>
        <v>0.2021047366</v>
      </c>
      <c r="G192" s="141">
        <f t="shared" si="10"/>
        <v>0.0490732411</v>
      </c>
      <c r="H192" s="142">
        <f t="shared" si="11"/>
        <v>0</v>
      </c>
      <c r="I192" s="142">
        <f t="shared" si="12"/>
        <v>1</v>
      </c>
      <c r="J192" s="142">
        <f t="shared" si="13"/>
        <v>0</v>
      </c>
      <c r="K192" s="142">
        <f t="shared" si="14"/>
        <v>1</v>
      </c>
      <c r="L192" s="139">
        <f>Assumptions!$C$6*Assumptions!$C$7*(1+$G192-0.05*(1-1))^1+Assumptions!$C$6*Assumptions!$C$8*(1+Assumptions!$C$11)^1+Assumptions!$C$16*1+Assumptions!$C$6*Assumptions!$C$9*(1+Assumptions!$C$12)^1</f>
        <v>742.986053</v>
      </c>
      <c r="M192" s="139">
        <f>Assumptions!$C$6*Assumptions!$C$7*(1+$G192-0.05*(1-$H192))^2+Assumptions!$C$6*Assumptions!$C$8*(1+Assumptions!$C$11)^2+Assumptions!$C$16*$H192+Assumptions!$C$6*Assumptions!$C$9*(1+Assumptions!$C$12)^2</f>
        <v>672.441755</v>
      </c>
      <c r="N192" s="139">
        <f>Assumptions!$C$6*Assumptions!$C$7*(1+$G192-0.05*(1-$I192))^3+Assumptions!$C$6*Assumptions!$C$8*(1+Assumptions!$C$11)^3+Assumptions!$C$16*$I192+Assumptions!$C$6*Assumptions!$C$9*(1+Assumptions!$C$12)^3</f>
        <v>791.8203877</v>
      </c>
      <c r="O192" s="139">
        <f>Assumptions!$C$6*Assumptions!$C$7*(1+$G192-0.05*(1-$J192))^4+Assumptions!$C$6*Assumptions!$C$8*(1+Assumptions!$C$11)^4+Assumptions!$C$16*$J192+Assumptions!$C$6*Assumptions!$C$9*(1+Assumptions!$C$12)^4</f>
        <v>685.4125059</v>
      </c>
      <c r="P192" s="139">
        <f>Assumptions!$C$6*Assumptions!$C$7*(1+$G192-0.05*(1-$K192))^5+Assumptions!$C$6*Assumptions!$C$8*(1+Assumptions!$C$11)^5+Assumptions!$C$16*$K192+Assumptions!$C$6*Assumptions!$C$9*(1+Assumptions!$C$12)^5</f>
        <v>844.7635815</v>
      </c>
      <c r="Q192" s="139">
        <f>($L192*(1-(Assumptions!$C$25+0.06*(1-1))-Assumptions!$C$27)-Assumptions!$C$28)-MAX(0,($L192*(1-(Assumptions!$C$25+0.06*(1-1))-Assumptions!$C$27)-Assumptions!$C$28)*Assumptions!$C$31)+Assumptions!$C$28-Assumptions!$C$29-$L192*Assumptions!$C$30</f>
        <v>92.24200138</v>
      </c>
      <c r="R192" s="139">
        <f>($M192*(1-(Assumptions!$C$25+0.06*(1-$H192))-Assumptions!$C$27)-Assumptions!$C$28)-MAX(0,($M192*(1-(Assumptions!$C$25+0.06*(1-$H192))-Assumptions!$C$27)-Assumptions!$C$28)*Assumptions!$C$31)+Assumptions!$C$28-Assumptions!$C$29-$M192*Assumptions!$C$30</f>
        <v>34.66160365</v>
      </c>
      <c r="S192" s="139">
        <f>($N192*(1-(Assumptions!$C$25+0.06*(1-$I192))-Assumptions!$C$27)-Assumptions!$C$28)-MAX(0,($N192*(1-(Assumptions!$C$25+0.06*(1-$I192))-Assumptions!$C$27)-Assumptions!$C$28)*Assumptions!$C$31)+Assumptions!$C$28-Assumptions!$C$29-$N192*Assumptions!$C$30</f>
        <v>102.7413834</v>
      </c>
      <c r="T192" s="139">
        <f>($O192*(1-(Assumptions!$C$25+0.06*(1-$J192))-Assumptions!$C$27)-Assumptions!$C$28)-MAX(0,($O192*(1-(Assumptions!$C$25+0.06*(1-$J192))-Assumptions!$C$27)-Assumptions!$C$28)*Assumptions!$C$31)+Assumptions!$C$28-Assumptions!$C$29-$O192*Assumptions!$C$30</f>
        <v>37.64487635</v>
      </c>
      <c r="U192" s="139">
        <f>($P192*(1-(Assumptions!$C$25+0.06*(1-$K192))-Assumptions!$C$27)-Assumptions!$C$28)-MAX(0,($P192*(1-(Assumptions!$C$25+0.06*(1-$K192))-Assumptions!$C$27)-Assumptions!$C$28)*Assumptions!$C$31)+Assumptions!$C$28-Assumptions!$C$29-$P192*Assumptions!$C$30</f>
        <v>114.12417</v>
      </c>
      <c r="V192" s="143">
        <f>(($Q192/(1+$D192)^1+$R192/(1+$D192)^2+$S192/(1+$D192)^3+$T192/(1+$D192)^4+$U192/(1+$D192)^5+$U192*(1+$E192)/($D192-$E192)/(1+$D192)^5)-Assumptions!$C$37)/Assumptions!$C$40/Assumptions!$C$38</f>
        <v>3.513876609</v>
      </c>
    </row>
    <row r="193" ht="12.0" customHeight="1">
      <c r="B193" s="139">
        <v>141.0</v>
      </c>
      <c r="C193" s="140">
        <f t="shared" si="6"/>
        <v>0.158412734</v>
      </c>
      <c r="D193" s="141">
        <f t="shared" si="7"/>
        <v>0.09232815917</v>
      </c>
      <c r="E193" s="141">
        <f t="shared" si="8"/>
        <v>0.01852029303</v>
      </c>
      <c r="F193" s="140">
        <f t="shared" si="9"/>
        <v>0.3678130374</v>
      </c>
      <c r="G193" s="141">
        <f t="shared" si="10"/>
        <v>0.055730594</v>
      </c>
      <c r="H193" s="142">
        <f t="shared" si="11"/>
        <v>0</v>
      </c>
      <c r="I193" s="142">
        <f t="shared" si="12"/>
        <v>0</v>
      </c>
      <c r="J193" s="142">
        <f t="shared" si="13"/>
        <v>1</v>
      </c>
      <c r="K193" s="142">
        <f t="shared" si="14"/>
        <v>1</v>
      </c>
      <c r="L193" s="139">
        <f>Assumptions!$C$6*Assumptions!$C$7*(1+$G193-0.05*(1-1))^1+Assumptions!$C$6*Assumptions!$C$8*(1+Assumptions!$C$11)^1+Assumptions!$C$16*1+Assumptions!$C$6*Assumptions!$C$9*(1+Assumptions!$C$12)^1</f>
        <v>745.2269179</v>
      </c>
      <c r="M193" s="139">
        <f>Assumptions!$C$6*Assumptions!$C$7*(1+$G193-0.05*(1-$H193))^2+Assumptions!$C$6*Assumptions!$C$8*(1+Assumptions!$C$11)^2+Assumptions!$C$16*$H193+Assumptions!$C$6*Assumptions!$C$9*(1+Assumptions!$C$12)^2</f>
        <v>676.9342497</v>
      </c>
      <c r="N193" s="139">
        <f>Assumptions!$C$6*Assumptions!$C$7*(1+$G193-0.05*(1-$I193))^3+Assumptions!$C$6*Assumptions!$C$8*(1+Assumptions!$C$11)^3+Assumptions!$C$16*$I193+Assumptions!$C$6*Assumptions!$C$9*(1+Assumptions!$C$12)^3</f>
        <v>685.6146459</v>
      </c>
      <c r="O193" s="139">
        <f>Assumptions!$C$6*Assumptions!$C$7*(1+$G193-0.05*(1-$J193))^4+Assumptions!$C$6*Assumptions!$C$8*(1+Assumptions!$C$11)^4+Assumptions!$C$16*$J193+Assumptions!$C$6*Assumptions!$C$9*(1+Assumptions!$C$12)^4</f>
        <v>828.2032064</v>
      </c>
      <c r="P193" s="139">
        <f>Assumptions!$C$6*Assumptions!$C$7*(1+$G193-0.05*(1-$K193))^5+Assumptions!$C$6*Assumptions!$C$8*(1+Assumptions!$C$11)^5+Assumptions!$C$16*$K193+Assumptions!$C$6*Assumptions!$C$9*(1+Assumptions!$C$12)^5</f>
        <v>858.5078271</v>
      </c>
      <c r="Q193" s="139">
        <f>($L193*(1-(Assumptions!$C$25+0.06*(1-1))-Assumptions!$C$27)-Assumptions!$C$28)-MAX(0,($L193*(1-(Assumptions!$C$25+0.06*(1-1))-Assumptions!$C$27)-Assumptions!$C$28)*Assumptions!$C$31)+Assumptions!$C$28-Assumptions!$C$29-$L193*Assumptions!$C$30</f>
        <v>92.72378736</v>
      </c>
      <c r="R193" s="139">
        <f>($M193*(1-(Assumptions!$C$25+0.06*(1-$H193))-Assumptions!$C$27)-Assumptions!$C$28)-MAX(0,($M193*(1-(Assumptions!$C$25+0.06*(1-$H193))-Assumptions!$C$27)-Assumptions!$C$28)*Assumptions!$C$31)+Assumptions!$C$28-Assumptions!$C$29-$M193*Assumptions!$C$30</f>
        <v>35.69487744</v>
      </c>
      <c r="S193" s="139">
        <f>($N193*(1-(Assumptions!$C$25+0.06*(1-$I193))-Assumptions!$C$27)-Assumptions!$C$28)-MAX(0,($N193*(1-(Assumptions!$C$25+0.06*(1-$I193))-Assumptions!$C$27)-Assumptions!$C$28)*Assumptions!$C$31)+Assumptions!$C$28-Assumptions!$C$29-$N193*Assumptions!$C$30</f>
        <v>37.69136856</v>
      </c>
      <c r="T193" s="139">
        <f>($O193*(1-(Assumptions!$C$25+0.06*(1-$J193))-Assumptions!$C$27)-Assumptions!$C$28)-MAX(0,($O193*(1-(Assumptions!$C$25+0.06*(1-$J193))-Assumptions!$C$27)-Assumptions!$C$28)*Assumptions!$C$31)+Assumptions!$C$28-Assumptions!$C$29-$O193*Assumptions!$C$30</f>
        <v>110.5636894</v>
      </c>
      <c r="U193" s="139">
        <f>($P193*(1-(Assumptions!$C$25+0.06*(1-$K193))-Assumptions!$C$27)-Assumptions!$C$28)-MAX(0,($P193*(1-(Assumptions!$C$25+0.06*(1-$K193))-Assumptions!$C$27)-Assumptions!$C$28)*Assumptions!$C$31)+Assumptions!$C$28-Assumptions!$C$29-$P193*Assumptions!$C$30</f>
        <v>117.0791828</v>
      </c>
      <c r="V193" s="143">
        <f>(($Q193/(1+$D193)^1+$R193/(1+$D193)^2+$S193/(1+$D193)^3+$T193/(1+$D193)^4+$U193/(1+$D193)^5+$U193*(1+$E193)/($D193-$E193)/(1+$D193)^5)-Assumptions!$C$37)/Assumptions!$C$40/Assumptions!$C$38</f>
        <v>5.024855824</v>
      </c>
    </row>
    <row r="194" ht="12.0" customHeight="1">
      <c r="B194" s="139">
        <v>142.0</v>
      </c>
      <c r="C194" s="140">
        <f t="shared" si="6"/>
        <v>0.974887923</v>
      </c>
      <c r="D194" s="141">
        <f t="shared" si="7"/>
        <v>0.1112466182</v>
      </c>
      <c r="E194" s="141">
        <f t="shared" si="8"/>
        <v>0.02752233841</v>
      </c>
      <c r="F194" s="140">
        <f t="shared" si="9"/>
        <v>0.7258045312</v>
      </c>
      <c r="G194" s="141">
        <f t="shared" si="10"/>
        <v>0.06778397327</v>
      </c>
      <c r="H194" s="142">
        <f t="shared" si="11"/>
        <v>1</v>
      </c>
      <c r="I194" s="142">
        <f t="shared" si="12"/>
        <v>1</v>
      </c>
      <c r="J194" s="142">
        <f t="shared" si="13"/>
        <v>1</v>
      </c>
      <c r="K194" s="142">
        <f t="shared" si="14"/>
        <v>0</v>
      </c>
      <c r="L194" s="139">
        <f>Assumptions!$C$6*Assumptions!$C$7*(1+$G194-0.05*(1-1))^1+Assumptions!$C$6*Assumptions!$C$8*(1+Assumptions!$C$11)^1+Assumptions!$C$16*1+Assumptions!$C$6*Assumptions!$C$9*(1+Assumptions!$C$12)^1</f>
        <v>749.2840854</v>
      </c>
      <c r="M194" s="139">
        <f>Assumptions!$C$6*Assumptions!$C$7*(1+$G194-0.05*(1-$H194))^2+Assumptions!$C$6*Assumptions!$C$8*(1+Assumptions!$C$11)^2+Assumptions!$C$16*$H194+Assumptions!$C$6*Assumptions!$C$9*(1+Assumptions!$C$12)^2</f>
        <v>780.2440957</v>
      </c>
      <c r="N194" s="139">
        <f>Assumptions!$C$6*Assumptions!$C$7*(1+$G194-0.05*(1-$I194))^3+Assumptions!$C$6*Assumptions!$C$8*(1+Assumptions!$C$11)^3+Assumptions!$C$16*$I194+Assumptions!$C$6*Assumptions!$C$9*(1+Assumptions!$C$12)^3</f>
        <v>812.9874505</v>
      </c>
      <c r="O194" s="139">
        <f>Assumptions!$C$6*Assumptions!$C$7*(1+$G194-0.05*(1-$J194))^4+Assumptions!$C$6*Assumptions!$C$8*(1+Assumptions!$C$11)^4+Assumptions!$C$16*$J194+Assumptions!$C$6*Assumptions!$C$9*(1+Assumptions!$C$12)^4</f>
        <v>847.6287269</v>
      </c>
      <c r="P194" s="139">
        <f>Assumptions!$C$6*Assumptions!$C$7*(1+$G194-0.05*(1-$K194))^5+Assumptions!$C$6*Assumptions!$C$8*(1+Assumptions!$C$11)^5+Assumptions!$C$16*$K194+Assumptions!$C$6*Assumptions!$C$9*(1+Assumptions!$C$12)^5</f>
        <v>724.6738237</v>
      </c>
      <c r="Q194" s="139">
        <f>($L194*(1-(Assumptions!$C$25+0.06*(1-1))-Assumptions!$C$27)-Assumptions!$C$28)-MAX(0,($L194*(1-(Assumptions!$C$25+0.06*(1-1))-Assumptions!$C$27)-Assumptions!$C$28)*Assumptions!$C$31)+Assumptions!$C$28-Assumptions!$C$29-$L194*Assumptions!$C$30</f>
        <v>93.59607836</v>
      </c>
      <c r="R194" s="139">
        <f>($M194*(1-(Assumptions!$C$25+0.06*(1-$H194))-Assumptions!$C$27)-Assumptions!$C$28)-MAX(0,($M194*(1-(Assumptions!$C$25+0.06*(1-$H194))-Assumptions!$C$27)-Assumptions!$C$28)*Assumptions!$C$31)+Assumptions!$C$28-Assumptions!$C$29-$M194*Assumptions!$C$30</f>
        <v>100.2524806</v>
      </c>
      <c r="S194" s="139">
        <f>($N194*(1-(Assumptions!$C$25+0.06*(1-$I194))-Assumptions!$C$27)-Assumptions!$C$28)-MAX(0,($N194*(1-(Assumptions!$C$25+0.06*(1-$I194))-Assumptions!$C$27)-Assumptions!$C$28)*Assumptions!$C$31)+Assumptions!$C$28-Assumptions!$C$29-$N194*Assumptions!$C$30</f>
        <v>107.2923019</v>
      </c>
      <c r="T194" s="139">
        <f>($O194*(1-(Assumptions!$C$25+0.06*(1-$J194))-Assumptions!$C$27)-Assumptions!$C$28)-MAX(0,($O194*(1-(Assumptions!$C$25+0.06*(1-$J194))-Assumptions!$C$27)-Assumptions!$C$28)*Assumptions!$C$31)+Assumptions!$C$28-Assumptions!$C$29-$O194*Assumptions!$C$30</f>
        <v>114.7401763</v>
      </c>
      <c r="U194" s="139">
        <f>($P194*(1-(Assumptions!$C$25+0.06*(1-$K194))-Assumptions!$C$27)-Assumptions!$C$28)-MAX(0,($P194*(1-(Assumptions!$C$25+0.06*(1-$K194))-Assumptions!$C$27)-Assumptions!$C$28)*Assumptions!$C$31)+Assumptions!$C$28-Assumptions!$C$29-$P194*Assumptions!$C$30</f>
        <v>46.67497945</v>
      </c>
      <c r="V194" s="143">
        <f>(($Q194/(1+$D194)^1+$R194/(1+$D194)^2+$S194/(1+$D194)^3+$T194/(1+$D194)^4+$U194/(1+$D194)^5+$U194*(1+$E194)/($D194-$E194)/(1+$D194)^5)-Assumptions!$C$37)/Assumptions!$C$40/Assumptions!$C$38</f>
        <v>-0.0567361009</v>
      </c>
    </row>
    <row r="195" ht="12.0" customHeight="1">
      <c r="B195" s="139">
        <v>143.0</v>
      </c>
      <c r="C195" s="140">
        <f t="shared" si="6"/>
        <v>0.3028271221</v>
      </c>
      <c r="D195" s="141">
        <f t="shared" si="7"/>
        <v>0.09513204789</v>
      </c>
      <c r="E195" s="141">
        <f t="shared" si="8"/>
        <v>0.01250640942</v>
      </c>
      <c r="F195" s="140">
        <f t="shared" si="9"/>
        <v>0.04690569032</v>
      </c>
      <c r="G195" s="141">
        <f t="shared" si="10"/>
        <v>0.03918859307</v>
      </c>
      <c r="H195" s="142">
        <f t="shared" si="11"/>
        <v>0</v>
      </c>
      <c r="I195" s="142">
        <f t="shared" si="12"/>
        <v>0</v>
      </c>
      <c r="J195" s="142">
        <f t="shared" si="13"/>
        <v>1</v>
      </c>
      <c r="K195" s="142">
        <f t="shared" si="14"/>
        <v>1</v>
      </c>
      <c r="L195" s="139">
        <f>Assumptions!$C$6*Assumptions!$C$7*(1+$G195-0.05*(1-1))^1+Assumptions!$C$6*Assumptions!$C$8*(1+Assumptions!$C$11)^1+Assumptions!$C$16*1+Assumptions!$C$6*Assumptions!$C$9*(1+Assumptions!$C$12)^1</f>
        <v>739.6588804</v>
      </c>
      <c r="M195" s="139">
        <f>Assumptions!$C$6*Assumptions!$C$7*(1+$G195-0.05*(1-$H195))^2+Assumptions!$C$6*Assumptions!$C$8*(1+Assumptions!$C$11)^2+Assumptions!$C$16*$H195+Assumptions!$C$6*Assumptions!$C$9*(1+Assumptions!$C$12)^2</f>
        <v>665.8264649</v>
      </c>
      <c r="N195" s="139">
        <f>Assumptions!$C$6*Assumptions!$C$7*(1+$G195-0.05*(1-$I195))^3+Assumptions!$C$6*Assumptions!$C$8*(1+Assumptions!$C$11)^3+Assumptions!$C$16*$I195+Assumptions!$C$6*Assumptions!$C$9*(1+Assumptions!$C$12)^3</f>
        <v>668.9949151</v>
      </c>
      <c r="O195" s="139">
        <f>Assumptions!$C$6*Assumptions!$C$7*(1+$G195-0.05*(1-$J195))^4+Assumptions!$C$6*Assumptions!$C$8*(1+Assumptions!$C$11)^4+Assumptions!$C$16*$J195+Assumptions!$C$6*Assumptions!$C$9*(1+Assumptions!$C$12)^4</f>
        <v>802.6054998</v>
      </c>
      <c r="P195" s="139">
        <f>Assumptions!$C$6*Assumptions!$C$7*(1+$G195-0.05*(1-$K195))^5+Assumptions!$C$6*Assumptions!$C$8*(1+Assumptions!$C$11)^5+Assumptions!$C$16*$K195+Assumptions!$C$6*Assumptions!$C$9*(1+Assumptions!$C$12)^5</f>
        <v>824.9900332</v>
      </c>
      <c r="Q195" s="139">
        <f>($L195*(1-(Assumptions!$C$25+0.06*(1-1))-Assumptions!$C$27)-Assumptions!$C$28)-MAX(0,($L195*(1-(Assumptions!$C$25+0.06*(1-1))-Assumptions!$C$27)-Assumptions!$C$28)*Assumptions!$C$31)+Assumptions!$C$28-Assumptions!$C$29-$L195*Assumptions!$C$30</f>
        <v>91.52665929</v>
      </c>
      <c r="R195" s="139">
        <f>($M195*(1-(Assumptions!$C$25+0.06*(1-$H195))-Assumptions!$C$27)-Assumptions!$C$28)-MAX(0,($M195*(1-(Assumptions!$C$25+0.06*(1-$H195))-Assumptions!$C$27)-Assumptions!$C$28)*Assumptions!$C$31)+Assumptions!$C$28-Assumptions!$C$29-$M195*Assumptions!$C$30</f>
        <v>33.14008692</v>
      </c>
      <c r="S195" s="139">
        <f>($N195*(1-(Assumptions!$C$25+0.06*(1-$I195))-Assumptions!$C$27)-Assumptions!$C$28)-MAX(0,($N195*(1-(Assumptions!$C$25+0.06*(1-$I195))-Assumptions!$C$27)-Assumptions!$C$28)*Assumptions!$C$31)+Assumptions!$C$28-Assumptions!$C$29-$N195*Assumptions!$C$30</f>
        <v>33.86883048</v>
      </c>
      <c r="T195" s="139">
        <f>($O195*(1-(Assumptions!$C$25+0.06*(1-$J195))-Assumptions!$C$27)-Assumptions!$C$28)-MAX(0,($O195*(1-(Assumptions!$C$25+0.06*(1-$J195))-Assumptions!$C$27)-Assumptions!$C$28)*Assumptions!$C$31)+Assumptions!$C$28-Assumptions!$C$29-$O195*Assumptions!$C$30</f>
        <v>105.0601824</v>
      </c>
      <c r="U195" s="139">
        <f>($P195*(1-(Assumptions!$C$25+0.06*(1-$K195))-Assumptions!$C$27)-Assumptions!$C$28)-MAX(0,($P195*(1-(Assumptions!$C$25+0.06*(1-$K195))-Assumptions!$C$27)-Assumptions!$C$28)*Assumptions!$C$31)+Assumptions!$C$28-Assumptions!$C$29-$P195*Assumptions!$C$30</f>
        <v>109.8728571</v>
      </c>
      <c r="V195" s="143">
        <f>(($Q195/(1+$D195)^1+$R195/(1+$D195)^2+$S195/(1+$D195)^3+$T195/(1+$D195)^4+$U195/(1+$D195)^5+$U195*(1+$E195)/($D195-$E195)/(1+$D195)^5)-Assumptions!$C$37)/Assumptions!$C$40/Assumptions!$C$38</f>
        <v>3.455932204</v>
      </c>
    </row>
    <row r="196" ht="12.0" customHeight="1">
      <c r="B196" s="139">
        <v>144.0</v>
      </c>
      <c r="C196" s="140">
        <f t="shared" si="6"/>
        <v>0.8405232005</v>
      </c>
      <c r="D196" s="141">
        <f t="shared" si="7"/>
        <v>0.1055413275</v>
      </c>
      <c r="E196" s="141">
        <f t="shared" si="8"/>
        <v>0.02697892502</v>
      </c>
      <c r="F196" s="140">
        <f t="shared" si="9"/>
        <v>0.66112926</v>
      </c>
      <c r="G196" s="141">
        <f t="shared" si="10"/>
        <v>0.06530248328</v>
      </c>
      <c r="H196" s="142">
        <f t="shared" si="11"/>
        <v>1</v>
      </c>
      <c r="I196" s="142">
        <f t="shared" si="12"/>
        <v>1</v>
      </c>
      <c r="J196" s="142">
        <f t="shared" si="13"/>
        <v>1</v>
      </c>
      <c r="K196" s="142">
        <f t="shared" si="14"/>
        <v>1</v>
      </c>
      <c r="L196" s="139">
        <f>Assumptions!$C$6*Assumptions!$C$7*(1+$G196-0.05*(1-1))^1+Assumptions!$C$6*Assumptions!$C$8*(1+Assumptions!$C$11)^1+Assumptions!$C$16*1+Assumptions!$C$6*Assumptions!$C$9*(1+Assumptions!$C$12)^1</f>
        <v>748.4488159</v>
      </c>
      <c r="M196" s="139">
        <f>Assumptions!$C$6*Assumptions!$C$7*(1+$G196-0.05*(1-$H196))^2+Assumptions!$C$6*Assumptions!$C$8*(1+Assumptions!$C$11)^2+Assumptions!$C$16*$H196+Assumptions!$C$6*Assumptions!$C$9*(1+Assumptions!$C$12)^2</f>
        <v>778.4623936</v>
      </c>
      <c r="N196" s="139">
        <f>Assumptions!$C$6*Assumptions!$C$7*(1+$G196-0.05*(1-$I196))^3+Assumptions!$C$6*Assumptions!$C$8*(1+Assumptions!$C$11)^3+Assumptions!$C$16*$I196+Assumptions!$C$6*Assumptions!$C$9*(1+Assumptions!$C$12)^3</f>
        <v>810.1370557</v>
      </c>
      <c r="O196" s="139">
        <f>Assumptions!$C$6*Assumptions!$C$7*(1+$G196-0.05*(1-$J196))^4+Assumptions!$C$6*Assumptions!$C$8*(1+Assumptions!$C$11)^4+Assumptions!$C$16*$J196+Assumptions!$C$6*Assumptions!$C$9*(1+Assumptions!$C$12)^4</f>
        <v>843.5752976</v>
      </c>
      <c r="P196" s="139">
        <f>Assumptions!$C$6*Assumptions!$C$7*(1+$G196-0.05*(1-$K196))^5+Assumptions!$C$6*Assumptions!$C$8*(1+Assumptions!$C$11)^5+Assumptions!$C$16*$K196+Assumptions!$C$6*Assumptions!$C$9*(1+Assumptions!$C$12)^5</f>
        <v>878.8861883</v>
      </c>
      <c r="Q196" s="139">
        <f>($L196*(1-(Assumptions!$C$25+0.06*(1-1))-Assumptions!$C$27)-Assumptions!$C$28)-MAX(0,($L196*(1-(Assumptions!$C$25+0.06*(1-1))-Assumptions!$C$27)-Assumptions!$C$28)*Assumptions!$C$31)+Assumptions!$C$28-Assumptions!$C$29-$L196*Assumptions!$C$30</f>
        <v>93.41649541</v>
      </c>
      <c r="R196" s="139">
        <f>($M196*(1-(Assumptions!$C$25+0.06*(1-$H196))-Assumptions!$C$27)-Assumptions!$C$28)-MAX(0,($M196*(1-(Assumptions!$C$25+0.06*(1-$H196))-Assumptions!$C$27)-Assumptions!$C$28)*Assumptions!$C$31)+Assumptions!$C$28-Assumptions!$C$29-$M196*Assumptions!$C$30</f>
        <v>99.86941463</v>
      </c>
      <c r="S196" s="139">
        <f>($N196*(1-(Assumptions!$C$25+0.06*(1-$I196))-Assumptions!$C$27)-Assumptions!$C$28)-MAX(0,($N196*(1-(Assumptions!$C$25+0.06*(1-$I196))-Assumptions!$C$27)-Assumptions!$C$28)*Assumptions!$C$31)+Assumptions!$C$28-Assumptions!$C$29-$N196*Assumptions!$C$30</f>
        <v>106.679467</v>
      </c>
      <c r="T196" s="139">
        <f>($O196*(1-(Assumptions!$C$25+0.06*(1-$J196))-Assumptions!$C$27)-Assumptions!$C$28)-MAX(0,($O196*(1-(Assumptions!$C$25+0.06*(1-$J196))-Assumptions!$C$27)-Assumptions!$C$28)*Assumptions!$C$31)+Assumptions!$C$28-Assumptions!$C$29-$O196*Assumptions!$C$30</f>
        <v>113.868689</v>
      </c>
      <c r="U196" s="139">
        <f>($P196*(1-(Assumptions!$C$25+0.06*(1-$K196))-Assumptions!$C$27)-Assumptions!$C$28)-MAX(0,($P196*(1-(Assumptions!$C$25+0.06*(1-$K196))-Assumptions!$C$27)-Assumptions!$C$28)*Assumptions!$C$31)+Assumptions!$C$28-Assumptions!$C$29-$P196*Assumptions!$C$30</f>
        <v>121.4605305</v>
      </c>
      <c r="V196" s="143">
        <f>(($Q196/(1+$D196)^1+$R196/(1+$D196)^2+$S196/(1+$D196)^3+$T196/(1+$D196)^4+$U196/(1+$D196)^5+$U196*(1+$E196)/($D196-$E196)/(1+$D196)^5)-Assumptions!$C$37)/Assumptions!$C$40/Assumptions!$C$38</f>
        <v>5.186822012</v>
      </c>
    </row>
    <row r="197" ht="12.0" customHeight="1">
      <c r="B197" s="139">
        <v>145.0</v>
      </c>
      <c r="C197" s="140">
        <f t="shared" si="6"/>
        <v>0.2349896832</v>
      </c>
      <c r="D197" s="141">
        <f t="shared" si="7"/>
        <v>0.09392532927</v>
      </c>
      <c r="E197" s="141">
        <f t="shared" si="8"/>
        <v>0.02058395068</v>
      </c>
      <c r="F197" s="140">
        <f t="shared" si="9"/>
        <v>0.199414699</v>
      </c>
      <c r="G197" s="141">
        <f t="shared" si="10"/>
        <v>0.04894588236</v>
      </c>
      <c r="H197" s="142">
        <f t="shared" si="11"/>
        <v>0</v>
      </c>
      <c r="I197" s="142">
        <f t="shared" si="12"/>
        <v>0</v>
      </c>
      <c r="J197" s="142">
        <f t="shared" si="13"/>
        <v>0</v>
      </c>
      <c r="K197" s="142">
        <f t="shared" si="14"/>
        <v>1</v>
      </c>
      <c r="L197" s="139">
        <f>Assumptions!$C$6*Assumptions!$C$7*(1+$G197-0.05*(1-1))^1+Assumptions!$C$6*Assumptions!$C$8*(1+Assumptions!$C$11)^1+Assumptions!$C$16*1+Assumptions!$C$6*Assumptions!$C$9*(1+Assumptions!$C$12)^1</f>
        <v>742.943184</v>
      </c>
      <c r="M197" s="139">
        <f>Assumptions!$C$6*Assumptions!$C$7*(1+$G197-0.05*(1-$H197))^2+Assumptions!$C$6*Assumptions!$C$8*(1+Assumptions!$C$11)^2+Assumptions!$C$16*$H197+Assumptions!$C$6*Assumptions!$C$9*(1+Assumptions!$C$12)^2</f>
        <v>672.356102</v>
      </c>
      <c r="N197" s="139">
        <f>Assumptions!$C$6*Assumptions!$C$7*(1+$G197-0.05*(1-$I197))^3+Assumptions!$C$6*Assumptions!$C$8*(1+Assumptions!$C$11)^3+Assumptions!$C$16*$I197+Assumptions!$C$6*Assumptions!$C$9*(1+Assumptions!$C$12)^3</f>
        <v>678.7313409</v>
      </c>
      <c r="O197" s="139">
        <f>Assumptions!$C$6*Assumptions!$C$7*(1+$G197-0.05*(1-$J197))^4+Assumptions!$C$6*Assumptions!$C$8*(1+Assumptions!$C$11)^4+Assumptions!$C$16*$J197+Assumptions!$C$6*Assumptions!$C$9*(1+Assumptions!$C$12)^4</f>
        <v>685.2415391</v>
      </c>
      <c r="P197" s="139">
        <f>Assumptions!$C$6*Assumptions!$C$7*(1+$G197-0.05*(1-$K197))^5+Assumptions!$C$6*Assumptions!$C$8*(1+Assumptions!$C$11)^5+Assumptions!$C$16*$K197+Assumptions!$C$6*Assumptions!$C$9*(1+Assumptions!$C$12)^5</f>
        <v>844.5040258</v>
      </c>
      <c r="Q197" s="139">
        <f>($L197*(1-(Assumptions!$C$25+0.06*(1-1))-Assumptions!$C$27)-Assumptions!$C$28)-MAX(0,($L197*(1-(Assumptions!$C$25+0.06*(1-1))-Assumptions!$C$27)-Assumptions!$C$28)*Assumptions!$C$31)+Assumptions!$C$28-Assumptions!$C$29-$L197*Assumptions!$C$30</f>
        <v>92.23278456</v>
      </c>
      <c r="R197" s="139">
        <f>($M197*(1-(Assumptions!$C$25+0.06*(1-$H197))-Assumptions!$C$27)-Assumptions!$C$28)-MAX(0,($M197*(1-(Assumptions!$C$25+0.06*(1-$H197))-Assumptions!$C$27)-Assumptions!$C$28)*Assumptions!$C$31)+Assumptions!$C$28-Assumptions!$C$29-$M197*Assumptions!$C$30</f>
        <v>34.64190346</v>
      </c>
      <c r="S197" s="139">
        <f>($N197*(1-(Assumptions!$C$25+0.06*(1-$I197))-Assumptions!$C$27)-Assumptions!$C$28)-MAX(0,($N197*(1-(Assumptions!$C$25+0.06*(1-$I197))-Assumptions!$C$27)-Assumptions!$C$28)*Assumptions!$C$31)+Assumptions!$C$28-Assumptions!$C$29-$N197*Assumptions!$C$30</f>
        <v>36.1082084</v>
      </c>
      <c r="T197" s="139">
        <f>($O197*(1-(Assumptions!$C$25+0.06*(1-$J197))-Assumptions!$C$27)-Assumptions!$C$28)-MAX(0,($O197*(1-(Assumptions!$C$25+0.06*(1-$J197))-Assumptions!$C$27)-Assumptions!$C$28)*Assumptions!$C$31)+Assumptions!$C$28-Assumptions!$C$29-$O197*Assumptions!$C$30</f>
        <v>37.60555399</v>
      </c>
      <c r="U197" s="139">
        <f>($P197*(1-(Assumptions!$C$25+0.06*(1-$K197))-Assumptions!$C$27)-Assumptions!$C$28)-MAX(0,($P197*(1-(Assumptions!$C$25+0.06*(1-$K197))-Assumptions!$C$27)-Assumptions!$C$28)*Assumptions!$C$31)+Assumptions!$C$28-Assumptions!$C$29-$P197*Assumptions!$C$30</f>
        <v>114.0683655</v>
      </c>
      <c r="V197" s="143">
        <f>(($Q197/(1+$D197)^1+$R197/(1+$D197)^2+$S197/(1+$D197)^3+$T197/(1+$D197)^4+$U197/(1+$D197)^5+$U197*(1+$E197)/($D197-$E197)/(1+$D197)^5)-Assumptions!$C$37)/Assumptions!$C$40/Assumptions!$C$38</f>
        <v>4.381884362</v>
      </c>
    </row>
    <row r="198" ht="12.0" customHeight="1">
      <c r="B198" s="139">
        <v>146.0</v>
      </c>
      <c r="C198" s="140">
        <f t="shared" si="6"/>
        <v>0.8323305595</v>
      </c>
      <c r="D198" s="141">
        <f t="shared" si="7"/>
        <v>0.1053014147</v>
      </c>
      <c r="E198" s="141">
        <f t="shared" si="8"/>
        <v>0.02648647314</v>
      </c>
      <c r="F198" s="140">
        <f t="shared" si="9"/>
        <v>0.9169822931</v>
      </c>
      <c r="G198" s="141">
        <f t="shared" si="10"/>
        <v>0.077775767</v>
      </c>
      <c r="H198" s="142">
        <f t="shared" si="11"/>
        <v>1</v>
      </c>
      <c r="I198" s="142">
        <f t="shared" si="12"/>
        <v>0</v>
      </c>
      <c r="J198" s="142">
        <f t="shared" si="13"/>
        <v>0</v>
      </c>
      <c r="K198" s="142">
        <f t="shared" si="14"/>
        <v>1</v>
      </c>
      <c r="L198" s="139">
        <f>Assumptions!$C$6*Assumptions!$C$7*(1+$G198-0.05*(1-1))^1+Assumptions!$C$6*Assumptions!$C$8*(1+Assumptions!$C$11)^1+Assumptions!$C$16*1+Assumptions!$C$6*Assumptions!$C$9*(1+Assumptions!$C$12)^1</f>
        <v>752.6473232</v>
      </c>
      <c r="M198" s="139">
        <f>Assumptions!$C$6*Assumptions!$C$7*(1+$G198-0.05*(1-$H198))^2+Assumptions!$C$6*Assumptions!$C$8*(1+Assumptions!$C$11)^2+Assumptions!$C$16*$H198+Assumptions!$C$6*Assumptions!$C$9*(1+Assumptions!$C$12)^2</f>
        <v>787.4601233</v>
      </c>
      <c r="N198" s="139">
        <f>Assumptions!$C$6*Assumptions!$C$7*(1+$G198-0.05*(1-$I198))^3+Assumptions!$C$6*Assumptions!$C$8*(1+Assumptions!$C$11)^3+Assumptions!$C$16*$I198+Assumptions!$C$6*Assumptions!$C$9*(1+Assumptions!$C$12)^3</f>
        <v>708.6289035</v>
      </c>
      <c r="O198" s="139">
        <f>Assumptions!$C$6*Assumptions!$C$7*(1+$G198-0.05*(1-$J198))^4+Assumptions!$C$6*Assumptions!$C$8*(1+Assumptions!$C$11)^4+Assumptions!$C$16*$J198+Assumptions!$C$6*Assumptions!$C$9*(1+Assumptions!$C$12)^4</f>
        <v>725.6430131</v>
      </c>
      <c r="P198" s="139">
        <f>Assumptions!$C$6*Assumptions!$C$7*(1+$G198-0.05*(1-$K198))^5+Assumptions!$C$6*Assumptions!$C$8*(1+Assumptions!$C$11)^5+Assumptions!$C$16*$K198+Assumptions!$C$6*Assumptions!$C$9*(1+Assumptions!$C$12)^5</f>
        <v>906.5636636</v>
      </c>
      <c r="Q198" s="139">
        <f>($L198*(1-(Assumptions!$C$25+0.06*(1-1))-Assumptions!$C$27)-Assumptions!$C$28)-MAX(0,($L198*(1-(Assumptions!$C$25+0.06*(1-1))-Assumptions!$C$27)-Assumptions!$C$28)*Assumptions!$C$31)+Assumptions!$C$28-Assumptions!$C$29-$L198*Assumptions!$C$30</f>
        <v>94.31917448</v>
      </c>
      <c r="R198" s="139">
        <f>($M198*(1-(Assumptions!$C$25+0.06*(1-$H198))-Assumptions!$C$27)-Assumptions!$C$28)-MAX(0,($M198*(1-(Assumptions!$C$25+0.06*(1-$H198))-Assumptions!$C$27)-Assumptions!$C$28)*Assumptions!$C$31)+Assumptions!$C$28-Assumptions!$C$29-$M198*Assumptions!$C$30</f>
        <v>101.8039265</v>
      </c>
      <c r="S198" s="139">
        <f>($N198*(1-(Assumptions!$C$25+0.06*(1-$I198))-Assumptions!$C$27)-Assumptions!$C$28)-MAX(0,($N198*(1-(Assumptions!$C$25+0.06*(1-$I198))-Assumptions!$C$27)-Assumptions!$C$28)*Assumptions!$C$31)+Assumptions!$C$28-Assumptions!$C$29-$N198*Assumptions!$C$30</f>
        <v>42.98464781</v>
      </c>
      <c r="T198" s="139">
        <f>($O198*(1-(Assumptions!$C$25+0.06*(1-$J198))-Assumptions!$C$27)-Assumptions!$C$28)-MAX(0,($O198*(1-(Assumptions!$C$25+0.06*(1-$J198))-Assumptions!$C$27)-Assumptions!$C$28)*Assumptions!$C$31)+Assumptions!$C$28-Assumptions!$C$29-$O198*Assumptions!$C$30</f>
        <v>46.89789301</v>
      </c>
      <c r="U198" s="139">
        <f>($P198*(1-(Assumptions!$C$25+0.06*(1-$K198))-Assumptions!$C$27)-Assumptions!$C$28)-MAX(0,($P198*(1-(Assumptions!$C$25+0.06*(1-$K198))-Assumptions!$C$27)-Assumptions!$C$28)*Assumptions!$C$31)+Assumptions!$C$28-Assumptions!$C$29-$P198*Assumptions!$C$30</f>
        <v>127.4111877</v>
      </c>
      <c r="V198" s="143">
        <f>(($Q198/(1+$D198)^1+$R198/(1+$D198)^2+$S198/(1+$D198)^3+$T198/(1+$D198)^4+$U198/(1+$D198)^5+$U198*(1+$E198)/($D198-$E198)/(1+$D198)^5)-Assumptions!$C$37)/Assumptions!$C$40/Assumptions!$C$38</f>
        <v>4.864498792</v>
      </c>
    </row>
    <row r="199" ht="12.0" customHeight="1">
      <c r="B199" s="139">
        <v>147.0</v>
      </c>
      <c r="C199" s="140">
        <f t="shared" si="6"/>
        <v>0.898329358</v>
      </c>
      <c r="D199" s="141">
        <f t="shared" si="7"/>
        <v>0.1074477003</v>
      </c>
      <c r="E199" s="141">
        <f t="shared" si="8"/>
        <v>0.01273378104</v>
      </c>
      <c r="F199" s="140">
        <f t="shared" si="9"/>
        <v>0.1903121642</v>
      </c>
      <c r="G199" s="141">
        <f t="shared" si="10"/>
        <v>0.04850842769</v>
      </c>
      <c r="H199" s="142">
        <f t="shared" si="11"/>
        <v>1</v>
      </c>
      <c r="I199" s="142">
        <f t="shared" si="12"/>
        <v>0</v>
      </c>
      <c r="J199" s="142">
        <f t="shared" si="13"/>
        <v>0</v>
      </c>
      <c r="K199" s="142">
        <f t="shared" si="14"/>
        <v>0</v>
      </c>
      <c r="L199" s="139">
        <f>Assumptions!$C$6*Assumptions!$C$7*(1+$G199-0.05*(1-1))^1+Assumptions!$C$6*Assumptions!$C$8*(1+Assumptions!$C$11)^1+Assumptions!$C$16*1+Assumptions!$C$6*Assumptions!$C$9*(1+Assumptions!$C$12)^1</f>
        <v>742.7959368</v>
      </c>
      <c r="M199" s="139">
        <f>Assumptions!$C$6*Assumptions!$C$7*(1+$G199-0.05*(1-$H199))^2+Assumptions!$C$6*Assumptions!$C$8*(1+Assumptions!$C$11)^2+Assumptions!$C$16*$H199+Assumptions!$C$6*Assumptions!$C$9*(1+Assumptions!$C$12)^2</f>
        <v>766.5132761</v>
      </c>
      <c r="N199" s="139">
        <f>Assumptions!$C$6*Assumptions!$C$7*(1+$G199-0.05*(1-$I199))^3+Assumptions!$C$6*Assumptions!$C$8*(1+Assumptions!$C$11)^3+Assumptions!$C$16*$I199+Assumptions!$C$6*Assumptions!$C$9*(1+Assumptions!$C$12)^3</f>
        <v>678.290723</v>
      </c>
      <c r="O199" s="139">
        <f>Assumptions!$C$6*Assumptions!$C$7*(1+$G199-0.05*(1-$J199))^4+Assumptions!$C$6*Assumptions!$C$8*(1+Assumptions!$C$11)^4+Assumptions!$C$16*$J199+Assumptions!$C$6*Assumptions!$C$9*(1+Assumptions!$C$12)^4</f>
        <v>684.6547963</v>
      </c>
      <c r="P199" s="139">
        <f>Assumptions!$C$6*Assumptions!$C$7*(1+$G199-0.05*(1-$K199))^5+Assumptions!$C$6*Assumptions!$C$8*(1+Assumptions!$C$11)^5+Assumptions!$C$16*$K199+Assumptions!$C$6*Assumptions!$C$9*(1+Assumptions!$C$12)^5</f>
        <v>691.156893</v>
      </c>
      <c r="Q199" s="139">
        <f>($L199*(1-(Assumptions!$C$25+0.06*(1-1))-Assumptions!$C$27)-Assumptions!$C$28)-MAX(0,($L199*(1-(Assumptions!$C$25+0.06*(1-1))-Assumptions!$C$27)-Assumptions!$C$28)*Assumptions!$C$31)+Assumptions!$C$28-Assumptions!$C$29-$L199*Assumptions!$C$30</f>
        <v>92.2011264</v>
      </c>
      <c r="R199" s="139">
        <f>($M199*(1-(Assumptions!$C$25+0.06*(1-$H199))-Assumptions!$C$27)-Assumptions!$C$28)-MAX(0,($M199*(1-(Assumptions!$C$25+0.06*(1-$H199))-Assumptions!$C$27)-Assumptions!$C$28)*Assumptions!$C$31)+Assumptions!$C$28-Assumptions!$C$29-$M199*Assumptions!$C$30</f>
        <v>97.30035435</v>
      </c>
      <c r="S199" s="139">
        <f>($N199*(1-(Assumptions!$C$25+0.06*(1-$I199))-Assumptions!$C$27)-Assumptions!$C$28)-MAX(0,($N199*(1-(Assumptions!$C$25+0.06*(1-$I199))-Assumptions!$C$27)-Assumptions!$C$28)*Assumptions!$C$31)+Assumptions!$C$28-Assumptions!$C$29-$N199*Assumptions!$C$30</f>
        <v>36.00686628</v>
      </c>
      <c r="T199" s="139">
        <f>($O199*(1-(Assumptions!$C$25+0.06*(1-$J199))-Assumptions!$C$27)-Assumptions!$C$28)-MAX(0,($O199*(1-(Assumptions!$C$25+0.06*(1-$J199))-Assumptions!$C$27)-Assumptions!$C$28)*Assumptions!$C$31)+Assumptions!$C$28-Assumptions!$C$29-$O199*Assumptions!$C$30</f>
        <v>37.47060315</v>
      </c>
      <c r="U199" s="139">
        <f>($P199*(1-(Assumptions!$C$25+0.06*(1-$K199))-Assumptions!$C$27)-Assumptions!$C$28)-MAX(0,($P199*(1-(Assumptions!$C$25+0.06*(1-$K199))-Assumptions!$C$27)-Assumptions!$C$28)*Assumptions!$C$31)+Assumptions!$C$28-Assumptions!$C$29-$P199*Assumptions!$C$30</f>
        <v>38.9660854</v>
      </c>
      <c r="V199" s="143">
        <f>(($Q199/(1+$D199)^1+$R199/(1+$D199)^2+$S199/(1+$D199)^3+$T199/(1+$D199)^4+$U199/(1+$D199)^5+$U199*(1+$E199)/($D199-$E199)/(1+$D199)^5)-Assumptions!$C$37)/Assumptions!$C$40/Assumptions!$C$38</f>
        <v>-1.593357676</v>
      </c>
    </row>
    <row r="200" ht="12.0" customHeight="1">
      <c r="B200" s="139">
        <v>148.0</v>
      </c>
      <c r="C200" s="140">
        <f t="shared" si="6"/>
        <v>0.4860837885</v>
      </c>
      <c r="D200" s="141">
        <f t="shared" si="7"/>
        <v>0.09802039474</v>
      </c>
      <c r="E200" s="141">
        <f t="shared" si="8"/>
        <v>0.02989919913</v>
      </c>
      <c r="F200" s="140">
        <f t="shared" si="9"/>
        <v>0.67503983</v>
      </c>
      <c r="G200" s="141">
        <f t="shared" si="10"/>
        <v>0.06581470889</v>
      </c>
      <c r="H200" s="142">
        <f t="shared" si="11"/>
        <v>1</v>
      </c>
      <c r="I200" s="142">
        <f t="shared" si="12"/>
        <v>0</v>
      </c>
      <c r="J200" s="142">
        <f t="shared" si="13"/>
        <v>1</v>
      </c>
      <c r="K200" s="142">
        <f t="shared" si="14"/>
        <v>1</v>
      </c>
      <c r="L200" s="139">
        <f>Assumptions!$C$6*Assumptions!$C$7*(1+$G200-0.05*(1-1))^1+Assumptions!$C$6*Assumptions!$C$8*(1+Assumptions!$C$11)^1+Assumptions!$C$16*1+Assumptions!$C$6*Assumptions!$C$9*(1+Assumptions!$C$12)^1</f>
        <v>748.621231</v>
      </c>
      <c r="M200" s="139">
        <f>Assumptions!$C$6*Assumptions!$C$7*(1+$G200-0.05*(1-$H200))^2+Assumptions!$C$6*Assumptions!$C$8*(1+Assumptions!$C$11)^2+Assumptions!$C$16*$H200+Assumptions!$C$6*Assumptions!$C$9*(1+Assumptions!$C$12)^2</f>
        <v>778.8298305</v>
      </c>
      <c r="N200" s="139">
        <f>Assumptions!$C$6*Assumptions!$C$7*(1+$G200-0.05*(1-$I200))^3+Assumptions!$C$6*Assumptions!$C$8*(1+Assumptions!$C$11)^3+Assumptions!$C$16*$I200+Assumptions!$C$6*Assumptions!$C$9*(1+Assumptions!$C$12)^3</f>
        <v>696.0182477</v>
      </c>
      <c r="O200" s="139">
        <f>Assumptions!$C$6*Assumptions!$C$7*(1+$G200-0.05*(1-$J200))^4+Assumptions!$C$6*Assumptions!$C$8*(1+Assumptions!$C$11)^4+Assumptions!$C$16*$J200+Assumptions!$C$6*Assumptions!$C$9*(1+Assumptions!$C$12)^4</f>
        <v>844.4096844</v>
      </c>
      <c r="P200" s="139">
        <f>Assumptions!$C$6*Assumptions!$C$7*(1+$G200-0.05*(1-$K200))^5+Assumptions!$C$6*Assumptions!$C$8*(1+Assumptions!$C$11)^5+Assumptions!$C$16*$K200+Assumptions!$C$6*Assumptions!$C$9*(1+Assumptions!$C$12)^5</f>
        <v>879.9975484</v>
      </c>
      <c r="Q200" s="139">
        <f>($L200*(1-(Assumptions!$C$25+0.06*(1-1))-Assumptions!$C$27)-Assumptions!$C$28)-MAX(0,($L200*(1-(Assumptions!$C$25+0.06*(1-1))-Assumptions!$C$27)-Assumptions!$C$28)*Assumptions!$C$31)+Assumptions!$C$28-Assumptions!$C$29-$L200*Assumptions!$C$30</f>
        <v>93.45356467</v>
      </c>
      <c r="R200" s="139">
        <f>($M200*(1-(Assumptions!$C$25+0.06*(1-$H200))-Assumptions!$C$27)-Assumptions!$C$28)-MAX(0,($M200*(1-(Assumptions!$C$25+0.06*(1-$H200))-Assumptions!$C$27)-Assumptions!$C$28)*Assumptions!$C$31)+Assumptions!$C$28-Assumptions!$C$29-$M200*Assumptions!$C$30</f>
        <v>99.94841355</v>
      </c>
      <c r="S200" s="139">
        <f>($N200*(1-(Assumptions!$C$25+0.06*(1-$I200))-Assumptions!$C$27)-Assumptions!$C$28)-MAX(0,($N200*(1-(Assumptions!$C$25+0.06*(1-$I200))-Assumptions!$C$27)-Assumptions!$C$28)*Assumptions!$C$31)+Assumptions!$C$28-Assumptions!$C$29-$N200*Assumptions!$C$30</f>
        <v>40.08419696</v>
      </c>
      <c r="T200" s="139">
        <f>($O200*(1-(Assumptions!$C$25+0.06*(1-$J200))-Assumptions!$C$27)-Assumptions!$C$28)-MAX(0,($O200*(1-(Assumptions!$C$25+0.06*(1-$J200))-Assumptions!$C$27)-Assumptions!$C$28)*Assumptions!$C$31)+Assumptions!$C$28-Assumptions!$C$29-$O200*Assumptions!$C$30</f>
        <v>114.0480821</v>
      </c>
      <c r="U200" s="139">
        <f>($P200*(1-(Assumptions!$C$25+0.06*(1-$K200))-Assumptions!$C$27)-Assumptions!$C$28)-MAX(0,($P200*(1-(Assumptions!$C$25+0.06*(1-$K200))-Assumptions!$C$27)-Assumptions!$C$28)*Assumptions!$C$31)+Assumptions!$C$28-Assumptions!$C$29-$P200*Assumptions!$C$30</f>
        <v>121.6994729</v>
      </c>
      <c r="V200" s="143">
        <f>(($Q200/(1+$D200)^1+$R200/(1+$D200)^2+$S200/(1+$D200)^3+$T200/(1+$D200)^4+$U200/(1+$D200)^5+$U200*(1+$E200)/($D200-$E200)/(1+$D200)^5)-Assumptions!$C$37)/Assumptions!$C$40/Assumptions!$C$38</f>
        <v>6.353100664</v>
      </c>
    </row>
    <row r="201" ht="12.0" customHeight="1">
      <c r="B201" s="139">
        <v>149.0</v>
      </c>
      <c r="C201" s="140">
        <f t="shared" si="6"/>
        <v>0.3147632275</v>
      </c>
      <c r="D201" s="141">
        <f t="shared" si="7"/>
        <v>0.09532979836</v>
      </c>
      <c r="E201" s="141">
        <f t="shared" si="8"/>
        <v>0.02326792738</v>
      </c>
      <c r="F201" s="140">
        <f t="shared" si="9"/>
        <v>0.3783300027</v>
      </c>
      <c r="G201" s="141">
        <f t="shared" si="10"/>
        <v>0.05609586183</v>
      </c>
      <c r="H201" s="142">
        <f t="shared" si="11"/>
        <v>1</v>
      </c>
      <c r="I201" s="142">
        <f t="shared" si="12"/>
        <v>1</v>
      </c>
      <c r="J201" s="142">
        <f t="shared" si="13"/>
        <v>1</v>
      </c>
      <c r="K201" s="142">
        <f t="shared" si="14"/>
        <v>0</v>
      </c>
      <c r="L201" s="139">
        <f>Assumptions!$C$6*Assumptions!$C$7*(1+$G201-0.05*(1-1))^1+Assumptions!$C$6*Assumptions!$C$8*(1+Assumptions!$C$11)^1+Assumptions!$C$16*1+Assumptions!$C$6*Assumptions!$C$9*(1+Assumptions!$C$12)^1</f>
        <v>745.3498671</v>
      </c>
      <c r="M201" s="139">
        <f>Assumptions!$C$6*Assumptions!$C$7*(1+$G201-0.05*(1-$H201))^2+Assumptions!$C$6*Assumptions!$C$8*(1+Assumptions!$C$11)^2+Assumptions!$C$16*$H201+Assumptions!$C$6*Assumptions!$C$9*(1+Assumptions!$C$12)^2</f>
        <v>771.8882888</v>
      </c>
      <c r="N201" s="139">
        <f>Assumptions!$C$6*Assumptions!$C$7*(1+$G201-0.05*(1-$I201))^3+Assumptions!$C$6*Assumptions!$C$8*(1+Assumptions!$C$11)^3+Assumptions!$C$16*$I201+Assumptions!$C$6*Assumptions!$C$9*(1+Assumptions!$C$12)^3</f>
        <v>799.6772687</v>
      </c>
      <c r="O201" s="139">
        <f>Assumptions!$C$6*Assumptions!$C$7*(1+$G201-0.05*(1-$J201))^4+Assumptions!$C$6*Assumptions!$C$8*(1+Assumptions!$C$11)^4+Assumptions!$C$16*$J201+Assumptions!$C$6*Assumptions!$C$9*(1+Assumptions!$C$12)^4</f>
        <v>828.7821953</v>
      </c>
      <c r="P201" s="139">
        <f>Assumptions!$C$6*Assumptions!$C$7*(1+$G201-0.05*(1-$K201))^5+Assumptions!$C$6*Assumptions!$C$8*(1+Assumptions!$C$11)^5+Assumptions!$C$16*$K201+Assumptions!$C$6*Assumptions!$C$9*(1+Assumptions!$C$12)^5</f>
        <v>704.044911</v>
      </c>
      <c r="Q201" s="139">
        <f>($L201*(1-(Assumptions!$C$25+0.06*(1-1))-Assumptions!$C$27)-Assumptions!$C$28)-MAX(0,($L201*(1-(Assumptions!$C$25+0.06*(1-1))-Assumptions!$C$27)-Assumptions!$C$28)*Assumptions!$C$31)+Assumptions!$C$28-Assumptions!$C$29-$L201*Assumptions!$C$30</f>
        <v>92.75022142</v>
      </c>
      <c r="R201" s="139">
        <f>($M201*(1-(Assumptions!$C$25+0.06*(1-$H201))-Assumptions!$C$27)-Assumptions!$C$28)-MAX(0,($M201*(1-(Assumptions!$C$25+0.06*(1-$H201))-Assumptions!$C$27)-Assumptions!$C$28)*Assumptions!$C$31)+Assumptions!$C$28-Assumptions!$C$29-$M201*Assumptions!$C$30</f>
        <v>98.45598209</v>
      </c>
      <c r="S201" s="139">
        <f>($N201*(1-(Assumptions!$C$25+0.06*(1-$I201))-Assumptions!$C$27)-Assumptions!$C$28)-MAX(0,($N201*(1-(Assumptions!$C$25+0.06*(1-$I201))-Assumptions!$C$27)-Assumptions!$C$28)*Assumptions!$C$31)+Assumptions!$C$28-Assumptions!$C$29-$N201*Assumptions!$C$30</f>
        <v>104.4306128</v>
      </c>
      <c r="T201" s="139">
        <f>($O201*(1-(Assumptions!$C$25+0.06*(1-$J201))-Assumptions!$C$27)-Assumptions!$C$28)-MAX(0,($O201*(1-(Assumptions!$C$25+0.06*(1-$J201))-Assumptions!$C$27)-Assumptions!$C$28)*Assumptions!$C$31)+Assumptions!$C$28-Assumptions!$C$29-$O201*Assumptions!$C$30</f>
        <v>110.688172</v>
      </c>
      <c r="U201" s="139">
        <f>($P201*(1-(Assumptions!$C$25+0.06*(1-$K201))-Assumptions!$C$27)-Assumptions!$C$28)-MAX(0,($P201*(1-(Assumptions!$C$25+0.06*(1-$K201))-Assumptions!$C$27)-Assumptions!$C$28)*Assumptions!$C$31)+Assumptions!$C$28-Assumptions!$C$29-$P201*Assumptions!$C$30</f>
        <v>41.93032953</v>
      </c>
      <c r="V201" s="143">
        <f>(($Q201/(1+$D201)^1+$R201/(1+$D201)^2+$S201/(1+$D201)^3+$T201/(1+$D201)^4+$U201/(1+$D201)^5+$U201*(1+$E201)/($D201-$E201)/(1+$D201)^5)-Assumptions!$C$37)/Assumptions!$C$40/Assumptions!$C$38</f>
        <v>0.2782325332</v>
      </c>
    </row>
    <row r="202" ht="12.0" customHeight="1">
      <c r="B202" s="139">
        <v>150.0</v>
      </c>
      <c r="C202" s="140">
        <f t="shared" si="6"/>
        <v>0.6396069902</v>
      </c>
      <c r="D202" s="141">
        <f t="shared" si="7"/>
        <v>0.1007809818</v>
      </c>
      <c r="E202" s="141">
        <f t="shared" si="8"/>
        <v>0.01108421387</v>
      </c>
      <c r="F202" s="140">
        <f t="shared" si="9"/>
        <v>0.6024228598</v>
      </c>
      <c r="G202" s="141">
        <f t="shared" si="10"/>
        <v>0.06324857289</v>
      </c>
      <c r="H202" s="142">
        <f t="shared" si="11"/>
        <v>1</v>
      </c>
      <c r="I202" s="142">
        <f t="shared" si="12"/>
        <v>0</v>
      </c>
      <c r="J202" s="142">
        <f t="shared" si="13"/>
        <v>0</v>
      </c>
      <c r="K202" s="142">
        <f t="shared" si="14"/>
        <v>1</v>
      </c>
      <c r="L202" s="139">
        <f>Assumptions!$C$6*Assumptions!$C$7*(1+$G202-0.05*(1-1))^1+Assumptions!$C$6*Assumptions!$C$8*(1+Assumptions!$C$11)^1+Assumptions!$C$16*1+Assumptions!$C$6*Assumptions!$C$9*(1+Assumptions!$C$12)^1</f>
        <v>747.7574696</v>
      </c>
      <c r="M202" s="139">
        <f>Assumptions!$C$6*Assumptions!$C$7*(1+$G202-0.05*(1-$H202))^2+Assumptions!$C$6*Assumptions!$C$8*(1+Assumptions!$C$11)^2+Assumptions!$C$16*$H202+Assumptions!$C$6*Assumptions!$C$9*(1+Assumptions!$C$12)^2</f>
        <v>776.9908278</v>
      </c>
      <c r="N202" s="139">
        <f>Assumptions!$C$6*Assumptions!$C$7*(1+$G202-0.05*(1-$I202))^3+Assumptions!$C$6*Assumptions!$C$8*(1+Assumptions!$C$11)^3+Assumptions!$C$16*$I202+Assumptions!$C$6*Assumptions!$C$9*(1+Assumptions!$C$12)^3</f>
        <v>693.3511037</v>
      </c>
      <c r="O202" s="139">
        <f>Assumptions!$C$6*Assumptions!$C$7*(1+$G202-0.05*(1-$J202))^4+Assumptions!$C$6*Assumptions!$C$8*(1+Assumptions!$C$11)^4+Assumptions!$C$16*$J202+Assumptions!$C$6*Assumptions!$C$9*(1+Assumptions!$C$12)^4</f>
        <v>704.8540701</v>
      </c>
      <c r="P202" s="139">
        <f>Assumptions!$C$6*Assumptions!$C$7*(1+$G202-0.05*(1-$K202))^5+Assumptions!$C$6*Assumptions!$C$8*(1+Assumptions!$C$11)^5+Assumptions!$C$16*$K202+Assumptions!$C$6*Assumptions!$C$9*(1+Assumptions!$C$12)^5</f>
        <v>874.4512996</v>
      </c>
      <c r="Q202" s="139">
        <f>($L202*(1-(Assumptions!$C$25+0.06*(1-1))-Assumptions!$C$27)-Assumptions!$C$28)-MAX(0,($L202*(1-(Assumptions!$C$25+0.06*(1-1))-Assumptions!$C$27)-Assumptions!$C$28)*Assumptions!$C$31)+Assumptions!$C$28-Assumptions!$C$29-$L202*Assumptions!$C$30</f>
        <v>93.26785597</v>
      </c>
      <c r="R202" s="139">
        <f>($M202*(1-(Assumptions!$C$25+0.06*(1-$H202))-Assumptions!$C$27)-Assumptions!$C$28)-MAX(0,($M202*(1-(Assumptions!$C$25+0.06*(1-$H202))-Assumptions!$C$27)-Assumptions!$C$28)*Assumptions!$C$31)+Assumptions!$C$28-Assumptions!$C$29-$M202*Assumptions!$C$30</f>
        <v>99.55302799</v>
      </c>
      <c r="S202" s="139">
        <f>($N202*(1-(Assumptions!$C$25+0.06*(1-$I202))-Assumptions!$C$27)-Assumptions!$C$28)-MAX(0,($N202*(1-(Assumptions!$C$25+0.06*(1-$I202))-Assumptions!$C$27)-Assumptions!$C$28)*Assumptions!$C$31)+Assumptions!$C$28-Assumptions!$C$29-$N202*Assumptions!$C$30</f>
        <v>39.47075385</v>
      </c>
      <c r="T202" s="139">
        <f>($O202*(1-(Assumptions!$C$25+0.06*(1-$J202))-Assumptions!$C$27)-Assumptions!$C$28)-MAX(0,($O202*(1-(Assumptions!$C$25+0.06*(1-$J202))-Assumptions!$C$27)-Assumptions!$C$28)*Assumptions!$C$31)+Assumptions!$C$28-Assumptions!$C$29-$O202*Assumptions!$C$30</f>
        <v>42.11643612</v>
      </c>
      <c r="U202" s="139">
        <f>($P202*(1-(Assumptions!$C$25+0.06*(1-$K202))-Assumptions!$C$27)-Assumptions!$C$28)-MAX(0,($P202*(1-(Assumptions!$C$25+0.06*(1-$K202))-Assumptions!$C$27)-Assumptions!$C$28)*Assumptions!$C$31)+Assumptions!$C$28-Assumptions!$C$29-$P202*Assumptions!$C$30</f>
        <v>120.5070294</v>
      </c>
      <c r="V202" s="143">
        <f>(($Q202/(1+$D202)^1+$R202/(1+$D202)^2+$S202/(1+$D202)^3+$T202/(1+$D202)^4+$U202/(1+$D202)^5+$U202*(1+$E202)/($D202-$E202)/(1+$D202)^5)-Assumptions!$C$37)/Assumptions!$C$40/Assumptions!$C$38</f>
        <v>3.499973167</v>
      </c>
    </row>
    <row r="203" ht="12.0" customHeight="1">
      <c r="B203" s="139">
        <v>151.0</v>
      </c>
      <c r="C203" s="140">
        <f t="shared" si="6"/>
        <v>0.1865076421</v>
      </c>
      <c r="D203" s="141">
        <f t="shared" si="7"/>
        <v>0.09295148355</v>
      </c>
      <c r="E203" s="141">
        <f t="shared" si="8"/>
        <v>0.01378179189</v>
      </c>
      <c r="F203" s="140">
        <f t="shared" si="9"/>
        <v>0.9079763119</v>
      </c>
      <c r="G203" s="141">
        <f t="shared" si="10"/>
        <v>0.07712977706</v>
      </c>
      <c r="H203" s="142">
        <f t="shared" si="11"/>
        <v>0</v>
      </c>
      <c r="I203" s="142">
        <f t="shared" si="12"/>
        <v>0</v>
      </c>
      <c r="J203" s="142">
        <f t="shared" si="13"/>
        <v>1</v>
      </c>
      <c r="K203" s="142">
        <f t="shared" si="14"/>
        <v>1</v>
      </c>
      <c r="L203" s="139">
        <f>Assumptions!$C$6*Assumptions!$C$7*(1+$G203-0.05*(1-1))^1+Assumptions!$C$6*Assumptions!$C$8*(1+Assumptions!$C$11)^1+Assumptions!$C$16*1+Assumptions!$C$6*Assumptions!$C$9*(1+Assumptions!$C$12)^1</f>
        <v>752.429883</v>
      </c>
      <c r="M203" s="139">
        <f>Assumptions!$C$6*Assumptions!$C$7*(1+$G203-0.05*(1-$H203))^2+Assumptions!$C$6*Assumptions!$C$8*(1+Assumptions!$C$11)^2+Assumptions!$C$16*$H203+Assumptions!$C$6*Assumptions!$C$9*(1+Assumptions!$C$12)^2</f>
        <v>691.5768719</v>
      </c>
      <c r="N203" s="139">
        <f>Assumptions!$C$6*Assumptions!$C$7*(1+$G203-0.05*(1-$I203))^3+Assumptions!$C$6*Assumptions!$C$8*(1+Assumptions!$C$11)^3+Assumptions!$C$16*$I203+Assumptions!$C$6*Assumptions!$C$9*(1+Assumptions!$C$12)^3</f>
        <v>707.9402752</v>
      </c>
      <c r="O203" s="139">
        <f>Assumptions!$C$6*Assumptions!$C$7*(1+$G203-0.05*(1-$J203))^4+Assumptions!$C$6*Assumptions!$C$8*(1+Assumptions!$C$11)^4+Assumptions!$C$16*$J203+Assumptions!$C$6*Assumptions!$C$9*(1+Assumptions!$C$12)^4</f>
        <v>863.1503996</v>
      </c>
      <c r="P203" s="139">
        <f>Assumptions!$C$6*Assumptions!$C$7*(1+$G203-0.05*(1-$K203))^5+Assumptions!$C$6*Assumptions!$C$8*(1+Assumptions!$C$11)^5+Assumptions!$C$16*$K203+Assumptions!$C$6*Assumptions!$C$9*(1+Assumptions!$C$12)^5</f>
        <v>905.0984433</v>
      </c>
      <c r="Q203" s="139">
        <f>($L203*(1-(Assumptions!$C$25+0.06*(1-1))-Assumptions!$C$27)-Assumptions!$C$28)-MAX(0,($L203*(1-(Assumptions!$C$25+0.06*(1-1))-Assumptions!$C$27)-Assumptions!$C$28)*Assumptions!$C$31)+Assumptions!$C$28-Assumptions!$C$29-$L203*Assumptions!$C$30</f>
        <v>94.27242484</v>
      </c>
      <c r="R203" s="139">
        <f>($M203*(1-(Assumptions!$C$25+0.06*(1-$H203))-Assumptions!$C$27)-Assumptions!$C$28)-MAX(0,($M203*(1-(Assumptions!$C$25+0.06*(1-$H203))-Assumptions!$C$27)-Assumptions!$C$28)*Assumptions!$C$31)+Assumptions!$C$28-Assumptions!$C$29-$M203*Assumptions!$C$30</f>
        <v>39.06268053</v>
      </c>
      <c r="S203" s="139">
        <f>($N203*(1-(Assumptions!$C$25+0.06*(1-$I203))-Assumptions!$C$27)-Assumptions!$C$28)-MAX(0,($N203*(1-(Assumptions!$C$25+0.06*(1-$I203))-Assumptions!$C$27)-Assumptions!$C$28)*Assumptions!$C$31)+Assumptions!$C$28-Assumptions!$C$29-$N203*Assumptions!$C$30</f>
        <v>42.8262633</v>
      </c>
      <c r="T203" s="139">
        <f>($O203*(1-(Assumptions!$C$25+0.06*(1-$J203))-Assumptions!$C$27)-Assumptions!$C$28)-MAX(0,($O203*(1-(Assumptions!$C$25+0.06*(1-$J203))-Assumptions!$C$27)-Assumptions!$C$28)*Assumptions!$C$31)+Assumptions!$C$28-Assumptions!$C$29-$O203*Assumptions!$C$30</f>
        <v>118.0773359</v>
      </c>
      <c r="U203" s="139">
        <f>($P203*(1-(Assumptions!$C$25+0.06*(1-$K203))-Assumptions!$C$27)-Assumptions!$C$28)-MAX(0,($P203*(1-(Assumptions!$C$25+0.06*(1-$K203))-Assumptions!$C$27)-Assumptions!$C$28)*Assumptions!$C$31)+Assumptions!$C$28-Assumptions!$C$29-$P203*Assumptions!$C$30</f>
        <v>127.0961653</v>
      </c>
      <c r="V203" s="143">
        <f>(($Q203/(1+$D203)^1+$R203/(1+$D203)^2+$S203/(1+$D203)^3+$T203/(1+$D203)^4+$U203/(1+$D203)^5+$U203*(1+$E203)/($D203-$E203)/(1+$D203)^5)-Assumptions!$C$37)/Assumptions!$C$40/Assumptions!$C$38</f>
        <v>5.211897973</v>
      </c>
    </row>
    <row r="204" ht="12.0" customHeight="1">
      <c r="B204" s="139">
        <v>152.0</v>
      </c>
      <c r="C204" s="140">
        <f t="shared" si="6"/>
        <v>0.7654854708</v>
      </c>
      <c r="D204" s="141">
        <f t="shared" si="7"/>
        <v>0.1035299237</v>
      </c>
      <c r="E204" s="141">
        <f t="shared" si="8"/>
        <v>0.02919193766</v>
      </c>
      <c r="F204" s="140">
        <f t="shared" si="9"/>
        <v>0.8313096288</v>
      </c>
      <c r="G204" s="141">
        <f t="shared" si="10"/>
        <v>0.07257465443</v>
      </c>
      <c r="H204" s="142">
        <f t="shared" si="11"/>
        <v>0</v>
      </c>
      <c r="I204" s="142">
        <f t="shared" si="12"/>
        <v>0</v>
      </c>
      <c r="J204" s="142">
        <f t="shared" si="13"/>
        <v>1</v>
      </c>
      <c r="K204" s="142">
        <f t="shared" si="14"/>
        <v>0</v>
      </c>
      <c r="L204" s="139">
        <f>Assumptions!$C$6*Assumptions!$C$7*(1+$G204-0.05*(1-1))^1+Assumptions!$C$6*Assumptions!$C$8*(1+Assumptions!$C$11)^1+Assumptions!$C$16*1+Assumptions!$C$6*Assumptions!$C$9*(1+Assumptions!$C$12)^1</f>
        <v>750.8966287</v>
      </c>
      <c r="M204" s="139">
        <f>Assumptions!$C$6*Assumptions!$C$7*(1+$G204-0.05*(1-$H204))^2+Assumptions!$C$6*Assumptions!$C$8*(1+Assumptions!$C$11)^2+Assumptions!$C$16*$H204+Assumptions!$C$6*Assumptions!$C$9*(1+Assumptions!$C$12)^2</f>
        <v>688.4341538</v>
      </c>
      <c r="N204" s="139">
        <f>Assumptions!$C$6*Assumptions!$C$7*(1+$G204-0.05*(1-$I204))^3+Assumptions!$C$6*Assumptions!$C$8*(1+Assumptions!$C$11)^3+Assumptions!$C$16*$I204+Assumptions!$C$6*Assumptions!$C$9*(1+Assumptions!$C$12)^3</f>
        <v>703.1090349</v>
      </c>
      <c r="O204" s="139">
        <f>Assumptions!$C$6*Assumptions!$C$7*(1+$G204-0.05*(1-$J204))^4+Assumptions!$C$6*Assumptions!$C$8*(1+Assumptions!$C$11)^4+Assumptions!$C$16*$J204+Assumptions!$C$6*Assumptions!$C$9*(1+Assumptions!$C$12)^4</f>
        <v>855.5344792</v>
      </c>
      <c r="P204" s="139">
        <f>Assumptions!$C$6*Assumptions!$C$7*(1+$G204-0.05*(1-$K204))^5+Assumptions!$C$6*Assumptions!$C$8*(1+Assumptions!$C$11)^5+Assumptions!$C$16*$K204+Assumptions!$C$6*Assumptions!$C$9*(1+Assumptions!$C$12)^5</f>
        <v>733.4074021</v>
      </c>
      <c r="Q204" s="139">
        <f>($L204*(1-(Assumptions!$C$25+0.06*(1-1))-Assumptions!$C$27)-Assumptions!$C$28)-MAX(0,($L204*(1-(Assumptions!$C$25+0.06*(1-1))-Assumptions!$C$27)-Assumptions!$C$28)*Assumptions!$C$31)+Assumptions!$C$28-Assumptions!$C$29-$L204*Assumptions!$C$30</f>
        <v>93.94277517</v>
      </c>
      <c r="R204" s="139">
        <f>($M204*(1-(Assumptions!$C$25+0.06*(1-$H204))-Assumptions!$C$27)-Assumptions!$C$28)-MAX(0,($M204*(1-(Assumptions!$C$25+0.06*(1-$H204))-Assumptions!$C$27)-Assumptions!$C$28)*Assumptions!$C$31)+Assumptions!$C$28-Assumptions!$C$29-$M204*Assumptions!$C$30</f>
        <v>38.33985537</v>
      </c>
      <c r="S204" s="139">
        <f>($N204*(1-(Assumptions!$C$25+0.06*(1-$I204))-Assumptions!$C$27)-Assumptions!$C$28)-MAX(0,($N204*(1-(Assumptions!$C$25+0.06*(1-$I204))-Assumptions!$C$27)-Assumptions!$C$28)*Assumptions!$C$31)+Assumptions!$C$28-Assumptions!$C$29-$N204*Assumptions!$C$30</f>
        <v>41.71507802</v>
      </c>
      <c r="T204" s="139">
        <f>($O204*(1-(Assumptions!$C$25+0.06*(1-$J204))-Assumptions!$C$27)-Assumptions!$C$28)-MAX(0,($O204*(1-(Assumptions!$C$25+0.06*(1-$J204))-Assumptions!$C$27)-Assumptions!$C$28)*Assumptions!$C$31)+Assumptions!$C$28-Assumptions!$C$29-$O204*Assumptions!$C$30</f>
        <v>116.439913</v>
      </c>
      <c r="U204" s="139">
        <f>($P204*(1-(Assumptions!$C$25+0.06*(1-$K204))-Assumptions!$C$27)-Assumptions!$C$28)-MAX(0,($P204*(1-(Assumptions!$C$25+0.06*(1-$K204))-Assumptions!$C$27)-Assumptions!$C$28)*Assumptions!$C$31)+Assumptions!$C$28-Assumptions!$C$29-$P204*Assumptions!$C$30</f>
        <v>48.68370249</v>
      </c>
      <c r="V204" s="143">
        <f>(($Q204/(1+$D204)^1+$R204/(1+$D204)^2+$S204/(1+$D204)^3+$T204/(1+$D204)^4+$U204/(1+$D204)^5+$U204*(1+$E204)/($D204-$E204)/(1+$D204)^5)-Assumptions!$C$37)/Assumptions!$C$40/Assumptions!$C$38</f>
        <v>-0.1866796873</v>
      </c>
    </row>
    <row r="205" ht="12.0" customHeight="1">
      <c r="B205" s="139">
        <v>153.0</v>
      </c>
      <c r="C205" s="140">
        <f t="shared" si="6"/>
        <v>0.6857826832</v>
      </c>
      <c r="D205" s="141">
        <f t="shared" si="7"/>
        <v>0.101723106</v>
      </c>
      <c r="E205" s="141">
        <f t="shared" si="8"/>
        <v>0.02861035951</v>
      </c>
      <c r="F205" s="140">
        <f t="shared" si="9"/>
        <v>0.2423414662</v>
      </c>
      <c r="G205" s="141">
        <f t="shared" si="10"/>
        <v>0.05088575206</v>
      </c>
      <c r="H205" s="142">
        <f t="shared" si="11"/>
        <v>1</v>
      </c>
      <c r="I205" s="142">
        <f t="shared" si="12"/>
        <v>1</v>
      </c>
      <c r="J205" s="142">
        <f t="shared" si="13"/>
        <v>1</v>
      </c>
      <c r="K205" s="142">
        <f t="shared" si="14"/>
        <v>0</v>
      </c>
      <c r="L205" s="139">
        <f>Assumptions!$C$6*Assumptions!$C$7*(1+$G205-0.05*(1-1))^1+Assumptions!$C$6*Assumptions!$C$8*(1+Assumptions!$C$11)^1+Assumptions!$C$16*1+Assumptions!$C$6*Assumptions!$C$9*(1+Assumptions!$C$12)^1</f>
        <v>743.5961441</v>
      </c>
      <c r="M205" s="139">
        <f>Assumptions!$C$6*Assumptions!$C$7*(1+$G205-0.05*(1-$H205))^2+Assumptions!$C$6*Assumptions!$C$8*(1+Assumptions!$C$11)^2+Assumptions!$C$16*$H205+Assumptions!$C$6*Assumptions!$C$9*(1+Assumptions!$C$12)^2</f>
        <v>768.1932268</v>
      </c>
      <c r="N205" s="139">
        <f>Assumptions!$C$6*Assumptions!$C$7*(1+$G205-0.05*(1-$I205))^3+Assumptions!$C$6*Assumptions!$C$8*(1+Assumptions!$C$11)^3+Assumptions!$C$16*$I205+Assumptions!$C$6*Assumptions!$C$9*(1+Assumptions!$C$12)^3</f>
        <v>793.838186</v>
      </c>
      <c r="O205" s="139">
        <f>Assumptions!$C$6*Assumptions!$C$7*(1+$G205-0.05*(1-$J205))^4+Assumptions!$C$6*Assumptions!$C$8*(1+Assumptions!$C$11)^4+Assumptions!$C$16*$J205+Assumptions!$C$6*Assumptions!$C$9*(1+Assumptions!$C$12)^4</f>
        <v>820.5802686</v>
      </c>
      <c r="P205" s="139">
        <f>Assumptions!$C$6*Assumptions!$C$7*(1+$G205-0.05*(1-$K205))^5+Assumptions!$C$6*Assumptions!$C$8*(1+Assumptions!$C$11)^5+Assumptions!$C$16*$K205+Assumptions!$C$6*Assumptions!$C$9*(1+Assumptions!$C$12)^5</f>
        <v>695.1530956</v>
      </c>
      <c r="Q205" s="139">
        <f>($L205*(1-(Assumptions!$C$25+0.06*(1-1))-Assumptions!$C$27)-Assumptions!$C$28)-MAX(0,($L205*(1-(Assumptions!$C$25+0.06*(1-1))-Assumptions!$C$27)-Assumptions!$C$28)*Assumptions!$C$31)+Assumptions!$C$28-Assumptions!$C$29-$L205*Assumptions!$C$30</f>
        <v>92.37317099</v>
      </c>
      <c r="R205" s="139">
        <f>($M205*(1-(Assumptions!$C$25+0.06*(1-$H205))-Assumptions!$C$27)-Assumptions!$C$28)-MAX(0,($M205*(1-(Assumptions!$C$25+0.06*(1-$H205))-Assumptions!$C$27)-Assumptions!$C$28)*Assumptions!$C$31)+Assumptions!$C$28-Assumptions!$C$29-$M205*Assumptions!$C$30</f>
        <v>97.66154376</v>
      </c>
      <c r="S205" s="139">
        <f>($N205*(1-(Assumptions!$C$25+0.06*(1-$I205))-Assumptions!$C$27)-Assumptions!$C$28)-MAX(0,($N205*(1-(Assumptions!$C$25+0.06*(1-$I205))-Assumptions!$C$27)-Assumptions!$C$28)*Assumptions!$C$31)+Assumptions!$C$28-Assumptions!$C$29-$N205*Assumptions!$C$30</f>
        <v>103.17521</v>
      </c>
      <c r="T205" s="139">
        <f>($O205*(1-(Assumptions!$C$25+0.06*(1-$J205))-Assumptions!$C$27)-Assumptions!$C$28)-MAX(0,($O205*(1-(Assumptions!$C$25+0.06*(1-$J205))-Assumptions!$C$27)-Assumptions!$C$28)*Assumptions!$C$31)+Assumptions!$C$28-Assumptions!$C$29-$O205*Assumptions!$C$30</f>
        <v>108.9247578</v>
      </c>
      <c r="U205" s="139">
        <f>($P205*(1-(Assumptions!$C$25+0.06*(1-$K205))-Assumptions!$C$27)-Assumptions!$C$28)-MAX(0,($P205*(1-(Assumptions!$C$25+0.06*(1-$K205))-Assumptions!$C$27)-Assumptions!$C$28)*Assumptions!$C$31)+Assumptions!$C$28-Assumptions!$C$29-$P205*Assumptions!$C$30</f>
        <v>39.88521199</v>
      </c>
      <c r="V205" s="143">
        <f>(($Q205/(1+$D205)^1+$R205/(1+$D205)^2+$S205/(1+$D205)^3+$T205/(1+$D205)^4+$U205/(1+$D205)^5+$U205*(1+$E205)/($D205-$E205)/(1+$D205)^5)-Assumptions!$C$37)/Assumptions!$C$40/Assumptions!$C$38</f>
        <v>-0.04706117076</v>
      </c>
    </row>
    <row r="206" ht="12.0" customHeight="1">
      <c r="B206" s="139">
        <v>154.0</v>
      </c>
      <c r="C206" s="140">
        <f t="shared" si="6"/>
        <v>0.6328170328</v>
      </c>
      <c r="D206" s="141">
        <f t="shared" si="7"/>
        <v>0.1006476607</v>
      </c>
      <c r="E206" s="141">
        <f t="shared" si="8"/>
        <v>0.01893865965</v>
      </c>
      <c r="F206" s="140">
        <f t="shared" si="9"/>
        <v>0.7367602964</v>
      </c>
      <c r="G206" s="141">
        <f t="shared" si="10"/>
        <v>0.06823232979</v>
      </c>
      <c r="H206" s="142">
        <f t="shared" si="11"/>
        <v>1</v>
      </c>
      <c r="I206" s="142">
        <f t="shared" si="12"/>
        <v>0</v>
      </c>
      <c r="J206" s="142">
        <f t="shared" si="13"/>
        <v>1</v>
      </c>
      <c r="K206" s="142">
        <f t="shared" si="14"/>
        <v>0</v>
      </c>
      <c r="L206" s="139">
        <f>Assumptions!$C$6*Assumptions!$C$7*(1+$G206-0.05*(1-1))^1+Assumptions!$C$6*Assumptions!$C$8*(1+Assumptions!$C$11)^1+Assumptions!$C$16*1+Assumptions!$C$6*Assumptions!$C$9*(1+Assumptions!$C$12)^1</f>
        <v>749.4350022</v>
      </c>
      <c r="M206" s="139">
        <f>Assumptions!$C$6*Assumptions!$C$7*(1+$G206-0.05*(1-$H206))^2+Assumptions!$C$6*Assumptions!$C$8*(1+Assumptions!$C$11)^2+Assumptions!$C$16*$H206+Assumptions!$C$6*Assumptions!$C$9*(1+Assumptions!$C$12)^2</f>
        <v>780.5664565</v>
      </c>
      <c r="N206" s="139">
        <f>Assumptions!$C$6*Assumptions!$C$7*(1+$G206-0.05*(1-$I206))^3+Assumptions!$C$6*Assumptions!$C$8*(1+Assumptions!$C$11)^3+Assumptions!$C$16*$I206+Assumptions!$C$6*Assumptions!$C$9*(1+Assumptions!$C$12)^3</f>
        <v>698.5433894</v>
      </c>
      <c r="O206" s="139">
        <f>Assumptions!$C$6*Assumptions!$C$7*(1+$G206-0.05*(1-$J206))^4+Assumptions!$C$6*Assumptions!$C$8*(1+Assumptions!$C$11)^4+Assumptions!$C$16*$J206+Assumptions!$C$6*Assumptions!$C$9*(1+Assumptions!$C$12)^4</f>
        <v>848.364123</v>
      </c>
      <c r="P206" s="139">
        <f>Assumptions!$C$6*Assumptions!$C$7*(1+$G206-0.05*(1-$K206))^5+Assumptions!$C$6*Assumptions!$C$8*(1+Assumptions!$C$11)^5+Assumptions!$C$16*$K206+Assumptions!$C$6*Assumptions!$C$9*(1+Assumptions!$C$12)^5</f>
        <v>725.4842484</v>
      </c>
      <c r="Q206" s="139">
        <f>($L206*(1-(Assumptions!$C$25+0.06*(1-1))-Assumptions!$C$27)-Assumptions!$C$28)-MAX(0,($L206*(1-(Assumptions!$C$25+0.06*(1-1))-Assumptions!$C$27)-Assumptions!$C$28)*Assumptions!$C$31)+Assumptions!$C$28-Assumptions!$C$29-$L206*Assumptions!$C$30</f>
        <v>93.62852547</v>
      </c>
      <c r="R206" s="139">
        <f>($M206*(1-(Assumptions!$C$25+0.06*(1-$H206))-Assumptions!$C$27)-Assumptions!$C$28)-MAX(0,($M206*(1-(Assumptions!$C$25+0.06*(1-$H206))-Assumptions!$C$27)-Assumptions!$C$28)*Assumptions!$C$31)+Assumptions!$C$28-Assumptions!$C$29-$M206*Assumptions!$C$30</f>
        <v>100.3217881</v>
      </c>
      <c r="S206" s="139">
        <f>($N206*(1-(Assumptions!$C$25+0.06*(1-$I206))-Assumptions!$C$27)-Assumptions!$C$28)-MAX(0,($N206*(1-(Assumptions!$C$25+0.06*(1-$I206))-Assumptions!$C$27)-Assumptions!$C$28)*Assumptions!$C$31)+Assumptions!$C$28-Assumptions!$C$29-$N206*Assumptions!$C$30</f>
        <v>40.66497956</v>
      </c>
      <c r="T206" s="139">
        <f>($O206*(1-(Assumptions!$C$25+0.06*(1-$J206))-Assumptions!$C$27)-Assumptions!$C$28)-MAX(0,($O206*(1-(Assumptions!$C$25+0.06*(1-$J206))-Assumptions!$C$27)-Assumptions!$C$28)*Assumptions!$C$31)+Assumptions!$C$28-Assumptions!$C$29-$O206*Assumptions!$C$30</f>
        <v>114.8982864</v>
      </c>
      <c r="U206" s="139">
        <f>($P206*(1-(Assumptions!$C$25+0.06*(1-$K206))-Assumptions!$C$27)-Assumptions!$C$28)-MAX(0,($P206*(1-(Assumptions!$C$25+0.06*(1-$K206))-Assumptions!$C$27)-Assumptions!$C$28)*Assumptions!$C$31)+Assumptions!$C$28-Assumptions!$C$29-$P206*Assumptions!$C$30</f>
        <v>46.86137713</v>
      </c>
      <c r="V206" s="143">
        <f>(($Q206/(1+$D206)^1+$R206/(1+$D206)^2+$S206/(1+$D206)^3+$T206/(1+$D206)^4+$U206/(1+$D206)^5+$U206*(1+$E206)/($D206-$E206)/(1+$D206)^5)-Assumptions!$C$37)/Assumptions!$C$40/Assumptions!$C$38</f>
        <v>-0.1891041093</v>
      </c>
    </row>
    <row r="207" ht="12.0" customHeight="1">
      <c r="B207" s="139">
        <v>155.0</v>
      </c>
      <c r="C207" s="140">
        <f t="shared" si="6"/>
        <v>0.4809938307</v>
      </c>
      <c r="D207" s="141">
        <f t="shared" si="7"/>
        <v>0.09793651674</v>
      </c>
      <c r="E207" s="141">
        <f t="shared" si="8"/>
        <v>0.02453309196</v>
      </c>
      <c r="F207" s="140">
        <f t="shared" si="9"/>
        <v>0.2744932196</v>
      </c>
      <c r="G207" s="141">
        <f t="shared" si="10"/>
        <v>0.05222808573</v>
      </c>
      <c r="H207" s="142">
        <f t="shared" si="11"/>
        <v>1</v>
      </c>
      <c r="I207" s="142">
        <f t="shared" si="12"/>
        <v>0</v>
      </c>
      <c r="J207" s="142">
        <f t="shared" si="13"/>
        <v>0</v>
      </c>
      <c r="K207" s="142">
        <f t="shared" si="14"/>
        <v>0</v>
      </c>
      <c r="L207" s="139">
        <f>Assumptions!$C$6*Assumptions!$C$7*(1+$G207-0.05*(1-1))^1+Assumptions!$C$6*Assumptions!$C$8*(1+Assumptions!$C$11)^1+Assumptions!$C$16*1+Assumptions!$C$6*Assumptions!$C$9*(1+Assumptions!$C$12)^1</f>
        <v>744.0479737</v>
      </c>
      <c r="M207" s="139">
        <f>Assumptions!$C$6*Assumptions!$C$7*(1+$G207-0.05*(1-$H207))^2+Assumptions!$C$6*Assumptions!$C$8*(1+Assumptions!$C$11)^2+Assumptions!$C$16*$H207+Assumptions!$C$6*Assumptions!$C$9*(1+Assumptions!$C$12)^2</f>
        <v>769.1434757</v>
      </c>
      <c r="N207" s="139">
        <f>Assumptions!$C$6*Assumptions!$C$7*(1+$G207-0.05*(1-$I207))^3+Assumptions!$C$6*Assumptions!$C$8*(1+Assumptions!$C$11)^3+Assumptions!$C$16*$I207+Assumptions!$C$6*Assumptions!$C$9*(1+Assumptions!$C$12)^3</f>
        <v>682.0496049</v>
      </c>
      <c r="O207" s="139">
        <f>Assumptions!$C$6*Assumptions!$C$7*(1+$G207-0.05*(1-$J207))^4+Assumptions!$C$6*Assumptions!$C$8*(1+Assumptions!$C$11)^4+Assumptions!$C$16*$J207+Assumptions!$C$6*Assumptions!$C$9*(1+Assumptions!$C$12)^4</f>
        <v>689.6684961</v>
      </c>
      <c r="P207" s="139">
        <f>Assumptions!$C$6*Assumptions!$C$7*(1+$G207-0.05*(1-$K207))^5+Assumptions!$C$6*Assumptions!$C$8*(1+Assumptions!$C$11)^5+Assumptions!$C$16*$K207+Assumptions!$C$6*Assumptions!$C$9*(1+Assumptions!$C$12)^5</f>
        <v>697.4263474</v>
      </c>
      <c r="Q207" s="139">
        <f>($L207*(1-(Assumptions!$C$25+0.06*(1-1))-Assumptions!$C$27)-Assumptions!$C$28)-MAX(0,($L207*(1-(Assumptions!$C$25+0.06*(1-1))-Assumptions!$C$27)-Assumptions!$C$28)*Assumptions!$C$31)+Assumptions!$C$28-Assumptions!$C$29-$L207*Assumptions!$C$30</f>
        <v>92.47031434</v>
      </c>
      <c r="R207" s="139">
        <f>($M207*(1-(Assumptions!$C$25+0.06*(1-$H207))-Assumptions!$C$27)-Assumptions!$C$28)-MAX(0,($M207*(1-(Assumptions!$C$25+0.06*(1-$H207))-Assumptions!$C$27)-Assumptions!$C$28)*Assumptions!$C$31)+Assumptions!$C$28-Assumptions!$C$29-$M207*Assumptions!$C$30</f>
        <v>97.86584727</v>
      </c>
      <c r="S207" s="139">
        <f>($N207*(1-(Assumptions!$C$25+0.06*(1-$I207))-Assumptions!$C$27)-Assumptions!$C$28)-MAX(0,($N207*(1-(Assumptions!$C$25+0.06*(1-$I207))-Assumptions!$C$27)-Assumptions!$C$28)*Assumptions!$C$31)+Assumptions!$C$28-Assumptions!$C$29-$N207*Assumptions!$C$30</f>
        <v>36.87140913</v>
      </c>
      <c r="T207" s="139">
        <f>($O207*(1-(Assumptions!$C$25+0.06*(1-$J207))-Assumptions!$C$27)-Assumptions!$C$28)-MAX(0,($O207*(1-(Assumptions!$C$25+0.06*(1-$J207))-Assumptions!$C$27)-Assumptions!$C$28)*Assumptions!$C$31)+Assumptions!$C$28-Assumptions!$C$29-$O207*Assumptions!$C$30</f>
        <v>38.6237541</v>
      </c>
      <c r="U207" s="139">
        <f>($P207*(1-(Assumptions!$C$25+0.06*(1-$K207))-Assumptions!$C$27)-Assumptions!$C$28)-MAX(0,($P207*(1-(Assumptions!$C$25+0.06*(1-$K207))-Assumptions!$C$27)-Assumptions!$C$28)*Assumptions!$C$31)+Assumptions!$C$28-Assumptions!$C$29-$P207*Assumptions!$C$30</f>
        <v>40.4080599</v>
      </c>
      <c r="V207" s="143">
        <f>(($Q207/(1+$D207)^1+$R207/(1+$D207)^2+$S207/(1+$D207)^3+$T207/(1+$D207)^4+$U207/(1+$D207)^5+$U207*(1+$E207)/($D207-$E207)/(1+$D207)^5)-Assumptions!$C$37)/Assumptions!$C$40/Assumptions!$C$38</f>
        <v>-0.7259745156</v>
      </c>
    </row>
    <row r="208" ht="12.0" customHeight="1">
      <c r="B208" s="139">
        <v>156.0</v>
      </c>
      <c r="C208" s="140">
        <f t="shared" si="6"/>
        <v>0.2749574113</v>
      </c>
      <c r="D208" s="141">
        <f t="shared" si="7"/>
        <v>0.09465456174</v>
      </c>
      <c r="E208" s="141">
        <f t="shared" si="8"/>
        <v>0.0155126496</v>
      </c>
      <c r="F208" s="140">
        <f t="shared" si="9"/>
        <v>0.7479163818</v>
      </c>
      <c r="G208" s="141">
        <f t="shared" si="10"/>
        <v>0.06869857956</v>
      </c>
      <c r="H208" s="142">
        <f t="shared" si="11"/>
        <v>1</v>
      </c>
      <c r="I208" s="142">
        <f t="shared" si="12"/>
        <v>1</v>
      </c>
      <c r="J208" s="142">
        <f t="shared" si="13"/>
        <v>0</v>
      </c>
      <c r="K208" s="142">
        <f t="shared" si="14"/>
        <v>0</v>
      </c>
      <c r="L208" s="139">
        <f>Assumptions!$C$6*Assumptions!$C$7*(1+$G208-0.05*(1-1))^1+Assumptions!$C$6*Assumptions!$C$8*(1+Assumptions!$C$11)^1+Assumptions!$C$16*1+Assumptions!$C$6*Assumptions!$C$9*(1+Assumptions!$C$12)^1</f>
        <v>749.5919419</v>
      </c>
      <c r="M208" s="139">
        <f>Assumptions!$C$6*Assumptions!$C$7*(1+$G208-0.05*(1-$H208))^2+Assumptions!$C$6*Assumptions!$C$8*(1+Assumptions!$C$11)^2+Assumptions!$C$16*$H208+Assumptions!$C$6*Assumptions!$C$9*(1+Assumptions!$C$12)^2</f>
        <v>780.9018257</v>
      </c>
      <c r="N208" s="139">
        <f>Assumptions!$C$6*Assumptions!$C$7*(1+$G208-0.05*(1-$I208))^3+Assumptions!$C$6*Assumptions!$C$8*(1+Assumptions!$C$11)^3+Assumptions!$C$16*$I208+Assumptions!$C$6*Assumptions!$C$9*(1+Assumptions!$C$12)^3</f>
        <v>814.041372</v>
      </c>
      <c r="O208" s="139">
        <f>Assumptions!$C$6*Assumptions!$C$7*(1+$G208-0.05*(1-$J208))^4+Assumptions!$C$6*Assumptions!$C$8*(1+Assumptions!$C$11)^4+Assumptions!$C$16*$J208+Assumptions!$C$6*Assumptions!$C$9*(1+Assumptions!$C$12)^4</f>
        <v>712.5492982</v>
      </c>
      <c r="P208" s="139">
        <f>Assumptions!$C$6*Assumptions!$C$7*(1+$G208-0.05*(1-$K208))^5+Assumptions!$C$6*Assumptions!$C$8*(1+Assumptions!$C$11)^5+Assumptions!$C$16*$K208+Assumptions!$C$6*Assumptions!$C$9*(1+Assumptions!$C$12)^5</f>
        <v>726.3285313</v>
      </c>
      <c r="Q208" s="139">
        <f>($L208*(1-(Assumptions!$C$25+0.06*(1-1))-Assumptions!$C$27)-Assumptions!$C$28)-MAX(0,($L208*(1-(Assumptions!$C$25+0.06*(1-1))-Assumptions!$C$27)-Assumptions!$C$28)*Assumptions!$C$31)+Assumptions!$C$28-Assumptions!$C$29-$L208*Assumptions!$C$30</f>
        <v>93.6622675</v>
      </c>
      <c r="R208" s="139">
        <f>($M208*(1-(Assumptions!$C$25+0.06*(1-$H208))-Assumptions!$C$27)-Assumptions!$C$28)-MAX(0,($M208*(1-(Assumptions!$C$25+0.06*(1-$H208))-Assumptions!$C$27)-Assumptions!$C$28)*Assumptions!$C$31)+Assumptions!$C$28-Assumptions!$C$29-$M208*Assumptions!$C$30</f>
        <v>100.3938925</v>
      </c>
      <c r="S208" s="139">
        <f>($N208*(1-(Assumptions!$C$25+0.06*(1-$I208))-Assumptions!$C$27)-Assumptions!$C$28)-MAX(0,($N208*(1-(Assumptions!$C$25+0.06*(1-$I208))-Assumptions!$C$27)-Assumptions!$C$28)*Assumptions!$C$31)+Assumptions!$C$28-Assumptions!$C$29-$N208*Assumptions!$C$30</f>
        <v>107.518895</v>
      </c>
      <c r="T208" s="139">
        <f>($O208*(1-(Assumptions!$C$25+0.06*(1-$J208))-Assumptions!$C$27)-Assumptions!$C$28)-MAX(0,($O208*(1-(Assumptions!$C$25+0.06*(1-$J208))-Assumptions!$C$27)-Assumptions!$C$28)*Assumptions!$C$31)+Assumptions!$C$28-Assumptions!$C$29-$O208*Assumptions!$C$30</f>
        <v>43.88633859</v>
      </c>
      <c r="U208" s="139">
        <f>($P208*(1-(Assumptions!$C$25+0.06*(1-$K208))-Assumptions!$C$27)-Assumptions!$C$28)-MAX(0,($P208*(1-(Assumptions!$C$25+0.06*(1-$K208))-Assumptions!$C$27)-Assumptions!$C$28)*Assumptions!$C$31)+Assumptions!$C$28-Assumptions!$C$29-$P208*Assumptions!$C$30</f>
        <v>47.05556221</v>
      </c>
      <c r="V208" s="143">
        <f>(($Q208/(1+$D208)^1+$R208/(1+$D208)^2+$S208/(1+$D208)^3+$T208/(1+$D208)^4+$U208/(1+$D208)^5+$U208*(1+$E208)/($D208-$E208)/(1+$D208)^5)-Assumptions!$C$37)/Assumptions!$C$40/Assumptions!$C$38</f>
        <v>0.0333348003</v>
      </c>
    </row>
    <row r="209" ht="12.0" customHeight="1">
      <c r="B209" s="139">
        <v>157.0</v>
      </c>
      <c r="C209" s="140">
        <f t="shared" si="6"/>
        <v>0.08112133454</v>
      </c>
      <c r="D209" s="141">
        <f t="shared" si="7"/>
        <v>0.09024405687</v>
      </c>
      <c r="E209" s="141">
        <f t="shared" si="8"/>
        <v>0.02911265492</v>
      </c>
      <c r="F209" s="140">
        <f t="shared" si="9"/>
        <v>0.2267848563</v>
      </c>
      <c r="G209" s="141">
        <f t="shared" si="10"/>
        <v>0.05020427532</v>
      </c>
      <c r="H209" s="142">
        <f t="shared" si="11"/>
        <v>1</v>
      </c>
      <c r="I209" s="142">
        <f t="shared" si="12"/>
        <v>1</v>
      </c>
      <c r="J209" s="142">
        <f t="shared" si="13"/>
        <v>0</v>
      </c>
      <c r="K209" s="142">
        <f t="shared" si="14"/>
        <v>0</v>
      </c>
      <c r="L209" s="139">
        <f>Assumptions!$C$6*Assumptions!$C$7*(1+$G209-0.05*(1-1))^1+Assumptions!$C$6*Assumptions!$C$8*(1+Assumptions!$C$11)^1+Assumptions!$C$16*1+Assumptions!$C$6*Assumptions!$C$9*(1+Assumptions!$C$12)^1</f>
        <v>743.3667591</v>
      </c>
      <c r="M209" s="139">
        <f>Assumptions!$C$6*Assumptions!$C$7*(1+$G209-0.05*(1-$H209))^2+Assumptions!$C$6*Assumptions!$C$8*(1+Assumptions!$C$11)^2+Assumptions!$C$16*$H209+Assumptions!$C$6*Assumptions!$C$9*(1+Assumptions!$C$12)^2</f>
        <v>767.7112681</v>
      </c>
      <c r="N209" s="139">
        <f>Assumptions!$C$6*Assumptions!$C$7*(1+$G209-0.05*(1-$I209))^3+Assumptions!$C$6*Assumptions!$C$8*(1+Assumptions!$C$11)^3+Assumptions!$C$16*$I209+Assumptions!$C$6*Assumptions!$C$9*(1+Assumptions!$C$12)^3</f>
        <v>793.0787071</v>
      </c>
      <c r="O209" s="139">
        <f>Assumptions!$C$6*Assumptions!$C$7*(1+$G209-0.05*(1-$J209))^4+Assumptions!$C$6*Assumptions!$C$8*(1+Assumptions!$C$11)^4+Assumptions!$C$16*$J209+Assumptions!$C$6*Assumptions!$C$9*(1+Assumptions!$C$12)^4</f>
        <v>686.9336811</v>
      </c>
      <c r="P209" s="139">
        <f>Assumptions!$C$6*Assumptions!$C$7*(1+$G209-0.05*(1-$K209))^5+Assumptions!$C$6*Assumptions!$C$8*(1+Assumptions!$C$11)^5+Assumptions!$C$16*$K209+Assumptions!$C$6*Assumptions!$C$9*(1+Assumptions!$C$12)^5</f>
        <v>694.0036676</v>
      </c>
      <c r="Q209" s="139">
        <f>($L209*(1-(Assumptions!$C$25+0.06*(1-1))-Assumptions!$C$27)-Assumptions!$C$28)-MAX(0,($L209*(1-(Assumptions!$C$25+0.06*(1-1))-Assumptions!$C$27)-Assumptions!$C$28)*Assumptions!$C$31)+Assumptions!$C$28-Assumptions!$C$29-$L209*Assumptions!$C$30</f>
        <v>92.3238532</v>
      </c>
      <c r="R209" s="139">
        <f>($M209*(1-(Assumptions!$C$25+0.06*(1-$H209))-Assumptions!$C$27)-Assumptions!$C$28)-MAX(0,($M209*(1-(Assumptions!$C$25+0.06*(1-$H209))-Assumptions!$C$27)-Assumptions!$C$28)*Assumptions!$C$31)+Assumptions!$C$28-Assumptions!$C$29-$M209*Assumptions!$C$30</f>
        <v>97.55792264</v>
      </c>
      <c r="S209" s="139">
        <f>($N209*(1-(Assumptions!$C$25+0.06*(1-$I209))-Assumptions!$C$27)-Assumptions!$C$28)-MAX(0,($N209*(1-(Assumptions!$C$25+0.06*(1-$I209))-Assumptions!$C$27)-Assumptions!$C$28)*Assumptions!$C$31)+Assumptions!$C$28-Assumptions!$C$29-$N209*Assumptions!$C$30</f>
        <v>103.011922</v>
      </c>
      <c r="T209" s="139">
        <f>($O209*(1-(Assumptions!$C$25+0.06*(1-$J209))-Assumptions!$C$27)-Assumptions!$C$28)-MAX(0,($O209*(1-(Assumptions!$C$25+0.06*(1-$J209))-Assumptions!$C$27)-Assumptions!$C$28)*Assumptions!$C$31)+Assumptions!$C$28-Assumptions!$C$29-$O209*Assumptions!$C$30</f>
        <v>37.99474666</v>
      </c>
      <c r="U209" s="139">
        <f>($P209*(1-(Assumptions!$C$25+0.06*(1-$K209))-Assumptions!$C$27)-Assumptions!$C$28)-MAX(0,($P209*(1-(Assumptions!$C$25+0.06*(1-$K209))-Assumptions!$C$27)-Assumptions!$C$28)*Assumptions!$C$31)+Assumptions!$C$28-Assumptions!$C$29-$P209*Assumptions!$C$30</f>
        <v>39.62084355</v>
      </c>
      <c r="V209" s="143">
        <f>(($Q209/(1+$D209)^1+$R209/(1+$D209)^2+$S209/(1+$D209)^3+$T209/(1+$D209)^4+$U209/(1+$D209)^5+$U209*(1+$E209)/($D209-$E209)/(1+$D209)^5)-Assumptions!$C$37)/Assumptions!$C$40/Assumptions!$C$38</f>
        <v>0.3135506001</v>
      </c>
    </row>
    <row r="210" ht="12.0" customHeight="1">
      <c r="B210" s="139">
        <v>158.0</v>
      </c>
      <c r="C210" s="140">
        <f t="shared" si="6"/>
        <v>0.5740492651</v>
      </c>
      <c r="D210" s="141">
        <f t="shared" si="7"/>
        <v>0.09954172189</v>
      </c>
      <c r="E210" s="141">
        <f t="shared" si="8"/>
        <v>0.02053353155</v>
      </c>
      <c r="F210" s="140">
        <f t="shared" si="9"/>
        <v>0.5413588013</v>
      </c>
      <c r="G210" s="141">
        <f t="shared" si="10"/>
        <v>0.06126754174</v>
      </c>
      <c r="H210" s="142">
        <f t="shared" si="11"/>
        <v>0</v>
      </c>
      <c r="I210" s="142">
        <f t="shared" si="12"/>
        <v>1</v>
      </c>
      <c r="J210" s="142">
        <f t="shared" si="13"/>
        <v>0</v>
      </c>
      <c r="K210" s="142">
        <f t="shared" si="14"/>
        <v>1</v>
      </c>
      <c r="L210" s="139">
        <f>Assumptions!$C$6*Assumptions!$C$7*(1+$G210-0.05*(1-1))^1+Assumptions!$C$6*Assumptions!$C$8*(1+Assumptions!$C$11)^1+Assumptions!$C$16*1+Assumptions!$C$6*Assumptions!$C$9*(1+Assumptions!$C$12)^1</f>
        <v>747.0906546</v>
      </c>
      <c r="M210" s="139">
        <f>Assumptions!$C$6*Assumptions!$C$7*(1+$G210-0.05*(1-$H210))^2+Assumptions!$C$6*Assumptions!$C$8*(1+Assumptions!$C$11)^2+Assumptions!$C$16*$H210+Assumptions!$C$6*Assumptions!$C$9*(1+Assumptions!$C$12)^2</f>
        <v>680.693403</v>
      </c>
      <c r="N210" s="139">
        <f>Assumptions!$C$6*Assumptions!$C$7*(1+$G210-0.05*(1-$I210))^3+Assumptions!$C$6*Assumptions!$C$8*(1+Assumptions!$C$11)^3+Assumptions!$C$16*$I210+Assumptions!$C$6*Assumptions!$C$9*(1+Assumptions!$C$12)^3</f>
        <v>805.5305404</v>
      </c>
      <c r="O210" s="139">
        <f>Assumptions!$C$6*Assumptions!$C$7*(1+$G210-0.05*(1-$J210))^4+Assumptions!$C$6*Assumptions!$C$8*(1+Assumptions!$C$11)^4+Assumptions!$C$16*$J210+Assumptions!$C$6*Assumptions!$C$9*(1+Assumptions!$C$12)^4</f>
        <v>702.0875136</v>
      </c>
      <c r="P210" s="139">
        <f>Assumptions!$C$6*Assumptions!$C$7*(1+$G210-0.05*(1-$K210))^5+Assumptions!$C$6*Assumptions!$C$8*(1+Assumptions!$C$11)^5+Assumptions!$C$16*$K210+Assumptions!$C$6*Assumptions!$C$9*(1+Assumptions!$C$12)^5</f>
        <v>870.2061176</v>
      </c>
      <c r="Q210" s="139">
        <f>($L210*(1-(Assumptions!$C$25+0.06*(1-1))-Assumptions!$C$27)-Assumptions!$C$28)-MAX(0,($L210*(1-(Assumptions!$C$25+0.06*(1-1))-Assumptions!$C$27)-Assumptions!$C$28)*Assumptions!$C$31)+Assumptions!$C$28-Assumptions!$C$29-$L210*Assumptions!$C$30</f>
        <v>93.12449073</v>
      </c>
      <c r="R210" s="139">
        <f>($M210*(1-(Assumptions!$C$25+0.06*(1-$H210))-Assumptions!$C$27)-Assumptions!$C$28)-MAX(0,($M210*(1-(Assumptions!$C$25+0.06*(1-$H210))-Assumptions!$C$27)-Assumptions!$C$28)*Assumptions!$C$31)+Assumptions!$C$28-Assumptions!$C$29-$M210*Assumptions!$C$30</f>
        <v>36.55948269</v>
      </c>
      <c r="S210" s="139">
        <f>($N210*(1-(Assumptions!$C$25+0.06*(1-$I210))-Assumptions!$C$27)-Assumptions!$C$28)-MAX(0,($N210*(1-(Assumptions!$C$25+0.06*(1-$I210))-Assumptions!$C$27)-Assumptions!$C$28)*Assumptions!$C$31)+Assumptions!$C$28-Assumptions!$C$29-$N210*Assumptions!$C$30</f>
        <v>105.6890662</v>
      </c>
      <c r="T210" s="139">
        <f>($O210*(1-(Assumptions!$C$25+0.06*(1-$J210))-Assumptions!$C$27)-Assumptions!$C$28)-MAX(0,($O210*(1-(Assumptions!$C$25+0.06*(1-$J210))-Assumptions!$C$27)-Assumptions!$C$28)*Assumptions!$C$31)+Assumptions!$C$28-Assumptions!$C$29-$O210*Assumptions!$C$30</f>
        <v>41.48012812</v>
      </c>
      <c r="U210" s="139">
        <f>($P210*(1-(Assumptions!$C$25+0.06*(1-$K210))-Assumptions!$C$27)-Assumptions!$C$28)-MAX(0,($P210*(1-(Assumptions!$C$25+0.06*(1-$K210))-Assumptions!$C$27)-Assumptions!$C$28)*Assumptions!$C$31)+Assumptions!$C$28-Assumptions!$C$29-$P210*Assumptions!$C$30</f>
        <v>119.5943153</v>
      </c>
      <c r="V210" s="143">
        <f>(($Q210/(1+$D210)^1+$R210/(1+$D210)^2+$S210/(1+$D210)^3+$T210/(1+$D210)^4+$U210/(1+$D210)^5+$U210*(1+$E210)/($D210-$E210)/(1+$D210)^5)-Assumptions!$C$37)/Assumptions!$C$40/Assumptions!$C$38</f>
        <v>4.422633543</v>
      </c>
    </row>
    <row r="211" ht="12.0" customHeight="1">
      <c r="B211" s="139">
        <v>159.0</v>
      </c>
      <c r="C211" s="140">
        <f t="shared" si="6"/>
        <v>0.2519258647</v>
      </c>
      <c r="D211" s="141">
        <f t="shared" si="7"/>
        <v>0.09424136722</v>
      </c>
      <c r="E211" s="141">
        <f t="shared" si="8"/>
        <v>0.01285838364</v>
      </c>
      <c r="F211" s="140">
        <f t="shared" si="9"/>
        <v>0.3467207683</v>
      </c>
      <c r="G211" s="141">
        <f t="shared" si="10"/>
        <v>0.05498194114</v>
      </c>
      <c r="H211" s="142">
        <f t="shared" si="11"/>
        <v>1</v>
      </c>
      <c r="I211" s="142">
        <f t="shared" si="12"/>
        <v>1</v>
      </c>
      <c r="J211" s="142">
        <f t="shared" si="13"/>
        <v>1</v>
      </c>
      <c r="K211" s="142">
        <f t="shared" si="14"/>
        <v>1</v>
      </c>
      <c r="L211" s="139">
        <f>Assumptions!$C$6*Assumptions!$C$7*(1+$G211-0.05*(1-1))^1+Assumptions!$C$6*Assumptions!$C$8*(1+Assumptions!$C$11)^1+Assumptions!$C$16*1+Assumptions!$C$6*Assumptions!$C$9*(1+Assumptions!$C$12)^1</f>
        <v>744.9749214</v>
      </c>
      <c r="M211" s="139">
        <f>Assumptions!$C$6*Assumptions!$C$7*(1+$G211-0.05*(1-$H211))^2+Assumptions!$C$6*Assumptions!$C$8*(1+Assumptions!$C$11)^2+Assumptions!$C$16*$H211+Assumptions!$C$6*Assumptions!$C$9*(1+Assumptions!$C$12)^2</f>
        <v>771.0967492</v>
      </c>
      <c r="N211" s="139">
        <f>Assumptions!$C$6*Assumptions!$C$7*(1+$G211-0.05*(1-$I211))^3+Assumptions!$C$6*Assumptions!$C$8*(1+Assumptions!$C$11)^3+Assumptions!$C$16*$I211+Assumptions!$C$6*Assumptions!$C$9*(1+Assumptions!$C$12)^3</f>
        <v>798.4240174</v>
      </c>
      <c r="O211" s="139">
        <f>Assumptions!$C$6*Assumptions!$C$7*(1+$G211-0.05*(1-$J211))^4+Assumptions!$C$6*Assumptions!$C$8*(1+Assumptions!$C$11)^4+Assumptions!$C$16*$J211+Assumptions!$C$6*Assumptions!$C$9*(1+Assumptions!$C$12)^4</f>
        <v>827.0183876</v>
      </c>
      <c r="P211" s="139">
        <f>Assumptions!$C$6*Assumptions!$C$7*(1+$G211-0.05*(1-$K211))^5+Assumptions!$C$6*Assumptions!$C$8*(1+Assumptions!$C$11)^5+Assumptions!$C$16*$K211+Assumptions!$C$6*Assumptions!$C$9*(1+Assumptions!$C$12)^5</f>
        <v>856.9448195</v>
      </c>
      <c r="Q211" s="139">
        <f>($L211*(1-(Assumptions!$C$25+0.06*(1-1))-Assumptions!$C$27)-Assumptions!$C$28)-MAX(0,($L211*(1-(Assumptions!$C$25+0.06*(1-1))-Assumptions!$C$27)-Assumptions!$C$28)*Assumptions!$C$31)+Assumptions!$C$28-Assumptions!$C$29-$L211*Assumptions!$C$30</f>
        <v>92.6696081</v>
      </c>
      <c r="R211" s="139">
        <f>($M211*(1-(Assumptions!$C$25+0.06*(1-$H211))-Assumptions!$C$27)-Assumptions!$C$28)-MAX(0,($M211*(1-(Assumptions!$C$25+0.06*(1-$H211))-Assumptions!$C$27)-Assumptions!$C$28)*Assumptions!$C$31)+Assumptions!$C$28-Assumptions!$C$29-$M211*Assumptions!$C$30</f>
        <v>98.28580109</v>
      </c>
      <c r="S211" s="139">
        <f>($N211*(1-(Assumptions!$C$25+0.06*(1-$I211))-Assumptions!$C$27)-Assumptions!$C$28)-MAX(0,($N211*(1-(Assumptions!$C$25+0.06*(1-$I211))-Assumptions!$C$27)-Assumptions!$C$28)*Assumptions!$C$31)+Assumptions!$C$28-Assumptions!$C$29-$N211*Assumptions!$C$30</f>
        <v>104.1611637</v>
      </c>
      <c r="T211" s="139">
        <f>($O211*(1-(Assumptions!$C$25+0.06*(1-$J211))-Assumptions!$C$27)-Assumptions!$C$28)-MAX(0,($O211*(1-(Assumptions!$C$25+0.06*(1-$J211))-Assumptions!$C$27)-Assumptions!$C$28)*Assumptions!$C$31)+Assumptions!$C$28-Assumptions!$C$29-$O211*Assumptions!$C$30</f>
        <v>110.3089533</v>
      </c>
      <c r="U211" s="139">
        <f>($P211*(1-(Assumptions!$C$25+0.06*(1-$K211))-Assumptions!$C$27)-Assumptions!$C$28)-MAX(0,($P211*(1-(Assumptions!$C$25+0.06*(1-$K211))-Assumptions!$C$27)-Assumptions!$C$28)*Assumptions!$C$31)+Assumptions!$C$28-Assumptions!$C$29-$P211*Assumptions!$C$30</f>
        <v>116.7431362</v>
      </c>
      <c r="V211" s="143">
        <f>(($Q211/(1+$D211)^1+$R211/(1+$D211)^2+$S211/(1+$D211)^3+$T211/(1+$D211)^4+$U211/(1+$D211)^5+$U211*(1+$E211)/($D211-$E211)/(1+$D211)^5)-Assumptions!$C$37)/Assumptions!$C$40/Assumptions!$C$38</f>
        <v>4.932724869</v>
      </c>
    </row>
    <row r="212" ht="12.0" customHeight="1">
      <c r="B212" s="139">
        <v>160.0</v>
      </c>
      <c r="C212" s="140">
        <f t="shared" si="6"/>
        <v>0.3301652173</v>
      </c>
      <c r="D212" s="141">
        <f t="shared" si="7"/>
        <v>0.0955795089</v>
      </c>
      <c r="E212" s="141">
        <f t="shared" si="8"/>
        <v>0.012792689</v>
      </c>
      <c r="F212" s="140">
        <f t="shared" si="9"/>
        <v>0.1537973289</v>
      </c>
      <c r="G212" s="141">
        <f t="shared" si="10"/>
        <v>0.04663836506</v>
      </c>
      <c r="H212" s="142">
        <f t="shared" si="11"/>
        <v>0</v>
      </c>
      <c r="I212" s="142">
        <f t="shared" si="12"/>
        <v>0</v>
      </c>
      <c r="J212" s="142">
        <f t="shared" si="13"/>
        <v>1</v>
      </c>
      <c r="K212" s="142">
        <f t="shared" si="14"/>
        <v>1</v>
      </c>
      <c r="L212" s="139">
        <f>Assumptions!$C$6*Assumptions!$C$7*(1+$G212-0.05*(1-1))^1+Assumptions!$C$6*Assumptions!$C$8*(1+Assumptions!$C$11)^1+Assumptions!$C$16*1+Assumptions!$C$6*Assumptions!$C$9*(1+Assumptions!$C$12)^1</f>
        <v>742.1664737</v>
      </c>
      <c r="M212" s="139">
        <f>Assumptions!$C$6*Assumptions!$C$7*(1+$G212-0.05*(1-$H212))^2+Assumptions!$C$6*Assumptions!$C$8*(1+Assumptions!$C$11)^2+Assumptions!$C$16*$H212+Assumptions!$C$6*Assumptions!$C$9*(1+Assumptions!$C$12)^2</f>
        <v>670.8061111</v>
      </c>
      <c r="N212" s="139">
        <f>Assumptions!$C$6*Assumptions!$C$7*(1+$G212-0.05*(1-$I212))^3+Assumptions!$C$6*Assumptions!$C$8*(1+Assumptions!$C$11)^3+Assumptions!$C$16*$I212+Assumptions!$C$6*Assumptions!$C$9*(1+Assumptions!$C$12)^3</f>
        <v>676.4114868</v>
      </c>
      <c r="O212" s="139">
        <f>Assumptions!$C$6*Assumptions!$C$7*(1+$G212-0.05*(1-$J212))^4+Assumptions!$C$6*Assumptions!$C$8*(1+Assumptions!$C$11)^4+Assumptions!$C$16*$J212+Assumptions!$C$6*Assumptions!$C$9*(1+Assumptions!$C$12)^4</f>
        <v>813.98354</v>
      </c>
      <c r="P212" s="139">
        <f>Assumptions!$C$6*Assumptions!$C$7*(1+$G212-0.05*(1-$K212))^5+Assumptions!$C$6*Assumptions!$C$8*(1+Assumptions!$C$11)^5+Assumptions!$C$16*$K212+Assumptions!$C$6*Assumptions!$C$9*(1+Assumptions!$C$12)^5</f>
        <v>839.8231119</v>
      </c>
      <c r="Q212" s="139">
        <f>($L212*(1-(Assumptions!$C$25+0.06*(1-1))-Assumptions!$C$27)-Assumptions!$C$28)-MAX(0,($L212*(1-(Assumptions!$C$25+0.06*(1-1))-Assumptions!$C$27)-Assumptions!$C$28)*Assumptions!$C$31)+Assumptions!$C$28-Assumptions!$C$29-$L212*Assumptions!$C$30</f>
        <v>92.06579184</v>
      </c>
      <c r="R212" s="139">
        <f>($M212*(1-(Assumptions!$C$25+0.06*(1-$H212))-Assumptions!$C$27)-Assumptions!$C$28)-MAX(0,($M212*(1-(Assumptions!$C$25+0.06*(1-$H212))-Assumptions!$C$27)-Assumptions!$C$28)*Assumptions!$C$31)+Assumptions!$C$28-Assumptions!$C$29-$M212*Assumptions!$C$30</f>
        <v>34.28540556</v>
      </c>
      <c r="S212" s="139">
        <f>($N212*(1-(Assumptions!$C$25+0.06*(1-$I212))-Assumptions!$C$27)-Assumptions!$C$28)-MAX(0,($N212*(1-(Assumptions!$C$25+0.06*(1-$I212))-Assumptions!$C$27)-Assumptions!$C$28)*Assumptions!$C$31)+Assumptions!$C$28-Assumptions!$C$29-$N212*Assumptions!$C$30</f>
        <v>35.57464196</v>
      </c>
      <c r="T212" s="139">
        <f>($O212*(1-(Assumptions!$C$25+0.06*(1-$J212))-Assumptions!$C$27)-Assumptions!$C$28)-MAX(0,($O212*(1-(Assumptions!$C$25+0.06*(1-$J212))-Assumptions!$C$27)-Assumptions!$C$28)*Assumptions!$C$31)+Assumptions!$C$28-Assumptions!$C$29-$O212*Assumptions!$C$30</f>
        <v>107.5064611</v>
      </c>
      <c r="U212" s="139">
        <f>($P212*(1-(Assumptions!$C$25+0.06*(1-$K212))-Assumptions!$C$27)-Assumptions!$C$28)-MAX(0,($P212*(1-(Assumptions!$C$25+0.06*(1-$K212))-Assumptions!$C$27)-Assumptions!$C$28)*Assumptions!$C$31)+Assumptions!$C$28-Assumptions!$C$29-$P212*Assumptions!$C$30</f>
        <v>113.0619691</v>
      </c>
      <c r="V212" s="143">
        <f>(($Q212/(1+$D212)^1+$R212/(1+$D212)^2+$S212/(1+$D212)^3+$T212/(1+$D212)^4+$U212/(1+$D212)^5+$U212*(1+$E212)/($D212-$E212)/(1+$D212)^5)-Assumptions!$C$37)/Assumptions!$C$40/Assumptions!$C$38</f>
        <v>3.671834288</v>
      </c>
    </row>
    <row r="213" ht="12.0" customHeight="1">
      <c r="B213" s="139">
        <v>161.0</v>
      </c>
      <c r="C213" s="140">
        <f t="shared" si="6"/>
        <v>0.7722929484</v>
      </c>
      <c r="D213" s="141">
        <f t="shared" si="7"/>
        <v>0.1036976261</v>
      </c>
      <c r="E213" s="141">
        <f t="shared" si="8"/>
        <v>0.01970841587</v>
      </c>
      <c r="F213" s="140">
        <f t="shared" si="9"/>
        <v>0.4642410096</v>
      </c>
      <c r="G213" s="141">
        <f t="shared" si="10"/>
        <v>0.05890733155</v>
      </c>
      <c r="H213" s="142">
        <f t="shared" si="11"/>
        <v>1</v>
      </c>
      <c r="I213" s="142">
        <f t="shared" si="12"/>
        <v>0</v>
      </c>
      <c r="J213" s="142">
        <f t="shared" si="13"/>
        <v>0</v>
      </c>
      <c r="K213" s="142">
        <f t="shared" si="14"/>
        <v>1</v>
      </c>
      <c r="L213" s="139">
        <f>Assumptions!$C$6*Assumptions!$C$7*(1+$G213-0.05*(1-1))^1+Assumptions!$C$6*Assumptions!$C$8*(1+Assumptions!$C$11)^1+Assumptions!$C$16*1+Assumptions!$C$6*Assumptions!$C$9*(1+Assumptions!$C$12)^1</f>
        <v>746.2962078</v>
      </c>
      <c r="M213" s="139">
        <f>Assumptions!$C$6*Assumptions!$C$7*(1+$G213-0.05*(1-$H213))^2+Assumptions!$C$6*Assumptions!$C$8*(1+Assumptions!$C$11)^2+Assumptions!$C$16*$H213+Assumptions!$C$6*Assumptions!$C$9*(1+Assumptions!$C$12)^2</f>
        <v>773.8898024</v>
      </c>
      <c r="N213" s="139">
        <f>Assumptions!$C$6*Assumptions!$C$7*(1+$G213-0.05*(1-$I213))^3+Assumptions!$C$6*Assumptions!$C$8*(1+Assumptions!$C$11)^3+Assumptions!$C$16*$I213+Assumptions!$C$6*Assumptions!$C$9*(1+Assumptions!$C$12)^3</f>
        <v>688.8696466</v>
      </c>
      <c r="O213" s="139">
        <f>Assumptions!$C$6*Assumptions!$C$7*(1+$G213-0.05*(1-$J213))^4+Assumptions!$C$6*Assumptions!$C$8*(1+Assumptions!$C$11)^4+Assumptions!$C$16*$J213+Assumptions!$C$6*Assumptions!$C$9*(1+Assumptions!$C$12)^4</f>
        <v>698.8125816</v>
      </c>
      <c r="P213" s="139">
        <f>Assumptions!$C$6*Assumptions!$C$7*(1+$G213-0.05*(1-$K213))^5+Assumptions!$C$6*Assumptions!$C$8*(1+Assumptions!$C$11)^5+Assumptions!$C$16*$K213+Assumptions!$C$6*Assumptions!$C$9*(1+Assumptions!$C$12)^5</f>
        <v>865.1895967</v>
      </c>
      <c r="Q213" s="139">
        <f>($L213*(1-(Assumptions!$C$25+0.06*(1-1))-Assumptions!$C$27)-Assumptions!$C$28)-MAX(0,($L213*(1-(Assumptions!$C$25+0.06*(1-1))-Assumptions!$C$27)-Assumptions!$C$28)*Assumptions!$C$31)+Assumptions!$C$28-Assumptions!$C$29-$L213*Assumptions!$C$30</f>
        <v>92.95368468</v>
      </c>
      <c r="R213" s="139">
        <f>($M213*(1-(Assumptions!$C$25+0.06*(1-$H213))-Assumptions!$C$27)-Assumptions!$C$28)-MAX(0,($M213*(1-(Assumptions!$C$25+0.06*(1-$H213))-Assumptions!$C$27)-Assumptions!$C$28)*Assumptions!$C$31)+Assumptions!$C$28-Assumptions!$C$29-$M213*Assumptions!$C$30</f>
        <v>98.88630752</v>
      </c>
      <c r="S213" s="139">
        <f>($N213*(1-(Assumptions!$C$25+0.06*(1-$I213))-Assumptions!$C$27)-Assumptions!$C$28)-MAX(0,($N213*(1-(Assumptions!$C$25+0.06*(1-$I213))-Assumptions!$C$27)-Assumptions!$C$28)*Assumptions!$C$31)+Assumptions!$C$28-Assumptions!$C$29-$N213*Assumptions!$C$30</f>
        <v>38.44001871</v>
      </c>
      <c r="T213" s="139">
        <f>($O213*(1-(Assumptions!$C$25+0.06*(1-$J213))-Assumptions!$C$27)-Assumptions!$C$28)-MAX(0,($O213*(1-(Assumptions!$C$25+0.06*(1-$J213))-Assumptions!$C$27)-Assumptions!$C$28)*Assumptions!$C$31)+Assumptions!$C$28-Assumptions!$C$29-$O213*Assumptions!$C$30</f>
        <v>40.72689376</v>
      </c>
      <c r="U213" s="139">
        <f>($P213*(1-(Assumptions!$C$25+0.06*(1-$K213))-Assumptions!$C$27)-Assumptions!$C$28)-MAX(0,($P213*(1-(Assumptions!$C$25+0.06*(1-$K213))-Assumptions!$C$27)-Assumptions!$C$28)*Assumptions!$C$31)+Assumptions!$C$28-Assumptions!$C$29-$P213*Assumptions!$C$30</f>
        <v>118.5157633</v>
      </c>
      <c r="V213" s="143">
        <f>(($Q213/(1+$D213)^1+$R213/(1+$D213)^2+$S213/(1+$D213)^3+$T213/(1+$D213)^4+$U213/(1+$D213)^5+$U213*(1+$E213)/($D213-$E213)/(1+$D213)^5)-Assumptions!$C$37)/Assumptions!$C$40/Assumptions!$C$38</f>
        <v>3.751156024</v>
      </c>
    </row>
    <row r="214" ht="12.0" customHeight="1">
      <c r="B214" s="139">
        <v>162.0</v>
      </c>
      <c r="C214" s="140">
        <f t="shared" si="6"/>
        <v>0.393806117</v>
      </c>
      <c r="D214" s="141">
        <f t="shared" si="7"/>
        <v>0.09655888376</v>
      </c>
      <c r="E214" s="141">
        <f t="shared" si="8"/>
        <v>0.01014353083</v>
      </c>
      <c r="F214" s="140">
        <f t="shared" si="9"/>
        <v>0.3700845231</v>
      </c>
      <c r="G214" s="141">
        <f t="shared" si="10"/>
        <v>0.05580992332</v>
      </c>
      <c r="H214" s="142">
        <f t="shared" si="11"/>
        <v>1</v>
      </c>
      <c r="I214" s="142">
        <f t="shared" si="12"/>
        <v>1</v>
      </c>
      <c r="J214" s="142">
        <f t="shared" si="13"/>
        <v>0</v>
      </c>
      <c r="K214" s="142">
        <f t="shared" si="14"/>
        <v>1</v>
      </c>
      <c r="L214" s="139">
        <f>Assumptions!$C$6*Assumptions!$C$7*(1+$G214-0.05*(1-1))^1+Assumptions!$C$6*Assumptions!$C$8*(1+Assumptions!$C$11)^1+Assumptions!$C$16*1+Assumptions!$C$6*Assumptions!$C$9*(1+Assumptions!$C$12)^1</f>
        <v>745.2536202</v>
      </c>
      <c r="M214" s="139">
        <f>Assumptions!$C$6*Assumptions!$C$7*(1+$G214-0.05*(1-$H214))^2+Assumptions!$C$6*Assumptions!$C$8*(1+Assumptions!$C$11)^2+Assumptions!$C$16*$H214+Assumptions!$C$6*Assumptions!$C$9*(1+Assumptions!$C$12)^2</f>
        <v>771.6850244</v>
      </c>
      <c r="N214" s="139">
        <f>Assumptions!$C$6*Assumptions!$C$7*(1+$G214-0.05*(1-$I214))^3+Assumptions!$C$6*Assumptions!$C$8*(1+Assumptions!$C$11)^3+Assumptions!$C$16*$I214+Assumptions!$C$6*Assumptions!$C$9*(1+Assumptions!$C$12)^3</f>
        <v>799.3553123</v>
      </c>
      <c r="O214" s="139">
        <f>Assumptions!$C$6*Assumptions!$C$7*(1+$G214-0.05*(1-$J214))^4+Assumptions!$C$6*Assumptions!$C$8*(1+Assumptions!$C$11)^4+Assumptions!$C$16*$J214+Assumptions!$C$6*Assumptions!$C$9*(1+Assumptions!$C$12)^4</f>
        <v>694.5494777</v>
      </c>
      <c r="P214" s="139">
        <f>Assumptions!$C$6*Assumptions!$C$7*(1+$G214-0.05*(1-$K214))^5+Assumptions!$C$6*Assumptions!$C$8*(1+Assumptions!$C$11)^5+Assumptions!$C$16*$K214+Assumptions!$C$6*Assumptions!$C$9*(1+Assumptions!$C$12)^5</f>
        <v>858.6737077</v>
      </c>
      <c r="Q214" s="139">
        <f>($L214*(1-(Assumptions!$C$25+0.06*(1-1))-Assumptions!$C$27)-Assumptions!$C$28)-MAX(0,($L214*(1-(Assumptions!$C$25+0.06*(1-1))-Assumptions!$C$27)-Assumptions!$C$28)*Assumptions!$C$31)+Assumptions!$C$28-Assumptions!$C$29-$L214*Assumptions!$C$30</f>
        <v>92.72952834</v>
      </c>
      <c r="R214" s="139">
        <f>($M214*(1-(Assumptions!$C$25+0.06*(1-$H214))-Assumptions!$C$27)-Assumptions!$C$28)-MAX(0,($M214*(1-(Assumptions!$C$25+0.06*(1-$H214))-Assumptions!$C$27)-Assumptions!$C$28)*Assumptions!$C$31)+Assumptions!$C$28-Assumptions!$C$29-$M214*Assumptions!$C$30</f>
        <v>98.41228025</v>
      </c>
      <c r="S214" s="139">
        <f>($N214*(1-(Assumptions!$C$25+0.06*(1-$I214))-Assumptions!$C$27)-Assumptions!$C$28)-MAX(0,($N214*(1-(Assumptions!$C$25+0.06*(1-$I214))-Assumptions!$C$27)-Assumptions!$C$28)*Assumptions!$C$31)+Assumptions!$C$28-Assumptions!$C$29-$N214*Assumptions!$C$30</f>
        <v>104.3613921</v>
      </c>
      <c r="T214" s="139">
        <f>($O214*(1-(Assumptions!$C$25+0.06*(1-$J214))-Assumptions!$C$27)-Assumptions!$C$28)-MAX(0,($O214*(1-(Assumptions!$C$25+0.06*(1-$J214))-Assumptions!$C$27)-Assumptions!$C$28)*Assumptions!$C$31)+Assumptions!$C$28-Assumptions!$C$29-$O214*Assumptions!$C$30</f>
        <v>39.74637988</v>
      </c>
      <c r="U214" s="139">
        <f>($P214*(1-(Assumptions!$C$25+0.06*(1-$K214))-Assumptions!$C$27)-Assumptions!$C$28)-MAX(0,($P214*(1-(Assumptions!$C$25+0.06*(1-$K214))-Assumptions!$C$27)-Assumptions!$C$28)*Assumptions!$C$31)+Assumptions!$C$28-Assumptions!$C$29-$P214*Assumptions!$C$30</f>
        <v>117.1148472</v>
      </c>
      <c r="V214" s="143">
        <f>(($Q214/(1+$D214)^1+$R214/(1+$D214)^2+$S214/(1+$D214)^3+$T214/(1+$D214)^4+$U214/(1+$D214)^5+$U214*(1+$E214)/($D214-$E214)/(1+$D214)^5)-Assumptions!$C$37)/Assumptions!$C$40/Assumptions!$C$38</f>
        <v>4.047742842</v>
      </c>
    </row>
    <row r="215" ht="12.0" customHeight="1">
      <c r="B215" s="139">
        <v>163.0</v>
      </c>
      <c r="C215" s="140">
        <f t="shared" si="6"/>
        <v>0.3763126956</v>
      </c>
      <c r="D215" s="141">
        <f t="shared" si="7"/>
        <v>0.09629468919</v>
      </c>
      <c r="E215" s="141">
        <f t="shared" si="8"/>
        <v>0.01876935974</v>
      </c>
      <c r="F215" s="140">
        <f t="shared" si="9"/>
        <v>0.6331271908</v>
      </c>
      <c r="G215" s="141">
        <f t="shared" si="10"/>
        <v>0.06430231418</v>
      </c>
      <c r="H215" s="142">
        <f t="shared" si="11"/>
        <v>1</v>
      </c>
      <c r="I215" s="142">
        <f t="shared" si="12"/>
        <v>1</v>
      </c>
      <c r="J215" s="142">
        <f t="shared" si="13"/>
        <v>1</v>
      </c>
      <c r="K215" s="142">
        <f t="shared" si="14"/>
        <v>0</v>
      </c>
      <c r="L215" s="139">
        <f>Assumptions!$C$6*Assumptions!$C$7*(1+$G215-0.05*(1-1))^1+Assumptions!$C$6*Assumptions!$C$8*(1+Assumptions!$C$11)^1+Assumptions!$C$16*1+Assumptions!$C$6*Assumptions!$C$9*(1+Assumptions!$C$12)^1</f>
        <v>748.112159</v>
      </c>
      <c r="M215" s="139">
        <f>Assumptions!$C$6*Assumptions!$C$7*(1+$G215-0.05*(1-$H215))^2+Assumptions!$C$6*Assumptions!$C$8*(1+Assumptions!$C$11)^2+Assumptions!$C$16*$H215+Assumptions!$C$6*Assumptions!$C$9*(1+Assumptions!$C$12)^2</f>
        <v>777.7454474</v>
      </c>
      <c r="N215" s="139">
        <f>Assumptions!$C$6*Assumptions!$C$7*(1+$G215-0.05*(1-$I215))^3+Assumptions!$C$6*Assumptions!$C$8*(1+Assumptions!$C$11)^3+Assumptions!$C$16*$I215+Assumptions!$C$6*Assumptions!$C$9*(1+Assumptions!$C$12)^3</f>
        <v>808.9919466</v>
      </c>
      <c r="O215" s="139">
        <f>Assumptions!$C$6*Assumptions!$C$7*(1+$G215-0.05*(1-$J215))^4+Assumptions!$C$6*Assumptions!$C$8*(1+Assumptions!$C$11)^4+Assumptions!$C$16*$J215+Assumptions!$C$6*Assumptions!$C$9*(1+Assumptions!$C$12)^4</f>
        <v>841.9495441</v>
      </c>
      <c r="P215" s="139">
        <f>Assumptions!$C$6*Assumptions!$C$7*(1+$G215-0.05*(1-$K215))^5+Assumptions!$C$6*Assumptions!$C$8*(1+Assumptions!$C$11)^5+Assumptions!$C$16*$K215+Assumptions!$C$6*Assumptions!$C$9*(1+Assumptions!$C$12)^5</f>
        <v>718.4289809</v>
      </c>
      <c r="Q215" s="139">
        <f>($L215*(1-(Assumptions!$C$25+0.06*(1-1))-Assumptions!$C$27)-Assumptions!$C$28)-MAX(0,($L215*(1-(Assumptions!$C$25+0.06*(1-1))-Assumptions!$C$27)-Assumptions!$C$28)*Assumptions!$C$31)+Assumptions!$C$28-Assumptions!$C$29-$L215*Assumptions!$C$30</f>
        <v>93.34411417</v>
      </c>
      <c r="R215" s="139">
        <f>($M215*(1-(Assumptions!$C$25+0.06*(1-$H215))-Assumptions!$C$27)-Assumptions!$C$28)-MAX(0,($M215*(1-(Assumptions!$C$25+0.06*(1-$H215))-Assumptions!$C$27)-Assumptions!$C$28)*Assumptions!$C$31)+Assumptions!$C$28-Assumptions!$C$29-$M215*Assumptions!$C$30</f>
        <v>99.71527119</v>
      </c>
      <c r="S215" s="139">
        <f>($N215*(1-(Assumptions!$C$25+0.06*(1-$I215))-Assumptions!$C$27)-Assumptions!$C$28)-MAX(0,($N215*(1-(Assumptions!$C$25+0.06*(1-$I215))-Assumptions!$C$27)-Assumptions!$C$28)*Assumptions!$C$31)+Assumptions!$C$28-Assumptions!$C$29-$N215*Assumptions!$C$30</f>
        <v>106.4332685</v>
      </c>
      <c r="T215" s="139">
        <f>($O215*(1-(Assumptions!$C$25+0.06*(1-$J215))-Assumptions!$C$27)-Assumptions!$C$28)-MAX(0,($O215*(1-(Assumptions!$C$25+0.06*(1-$J215))-Assumptions!$C$27)-Assumptions!$C$28)*Assumptions!$C$31)+Assumptions!$C$28-Assumptions!$C$29-$O215*Assumptions!$C$30</f>
        <v>113.519152</v>
      </c>
      <c r="U215" s="139">
        <f>($P215*(1-(Assumptions!$C$25+0.06*(1-$K215))-Assumptions!$C$27)-Assumptions!$C$28)-MAX(0,($P215*(1-(Assumptions!$C$25+0.06*(1-$K215))-Assumptions!$C$27)-Assumptions!$C$28)*Assumptions!$C$31)+Assumptions!$C$28-Assumptions!$C$29-$P215*Assumptions!$C$30</f>
        <v>45.23866562</v>
      </c>
      <c r="V215" s="143">
        <f>(($Q215/(1+$D215)^1+$R215/(1+$D215)^2+$S215/(1+$D215)^3+$T215/(1+$D215)^4+$U215/(1+$D215)^5+$U215*(1+$E215)/($D215-$E215)/(1+$D215)^5)-Assumptions!$C$37)/Assumptions!$C$40/Assumptions!$C$38</f>
        <v>0.3102605061</v>
      </c>
    </row>
    <row r="216" ht="12.0" customHeight="1">
      <c r="B216" s="139">
        <v>164.0</v>
      </c>
      <c r="C216" s="140">
        <f t="shared" si="6"/>
        <v>0.8765656334</v>
      </c>
      <c r="D216" s="141">
        <f t="shared" si="7"/>
        <v>0.106678541</v>
      </c>
      <c r="E216" s="141">
        <f t="shared" si="8"/>
        <v>0.0245703182</v>
      </c>
      <c r="F216" s="140">
        <f t="shared" si="9"/>
        <v>0.3880901465</v>
      </c>
      <c r="G216" s="141">
        <f t="shared" si="10"/>
        <v>0.05643032848</v>
      </c>
      <c r="H216" s="142">
        <f t="shared" si="11"/>
        <v>1</v>
      </c>
      <c r="I216" s="142">
        <f t="shared" si="12"/>
        <v>1</v>
      </c>
      <c r="J216" s="142">
        <f t="shared" si="13"/>
        <v>1</v>
      </c>
      <c r="K216" s="142">
        <f t="shared" si="14"/>
        <v>1</v>
      </c>
      <c r="L216" s="139">
        <f>Assumptions!$C$6*Assumptions!$C$7*(1+$G216-0.05*(1-1))^1+Assumptions!$C$6*Assumptions!$C$8*(1+Assumptions!$C$11)^1+Assumptions!$C$16*1+Assumptions!$C$6*Assumptions!$C$9*(1+Assumptions!$C$12)^1</f>
        <v>745.4624486</v>
      </c>
      <c r="M216" s="139">
        <f>Assumptions!$C$6*Assumptions!$C$7*(1+$G216-0.05*(1-$H216))^2+Assumptions!$C$6*Assumptions!$C$8*(1+Assumptions!$C$11)^2+Assumptions!$C$16*$H216+Assumptions!$C$6*Assumptions!$C$9*(1+Assumptions!$C$12)^2</f>
        <v>772.1261201</v>
      </c>
      <c r="N216" s="139">
        <f>Assumptions!$C$6*Assumptions!$C$7*(1+$G216-0.05*(1-$I216))^3+Assumptions!$C$6*Assumptions!$C$8*(1+Assumptions!$C$11)^3+Assumptions!$C$16*$I216+Assumptions!$C$6*Assumptions!$C$9*(1+Assumptions!$C$12)^3</f>
        <v>800.0540874</v>
      </c>
      <c r="O216" s="139">
        <f>Assumptions!$C$6*Assumptions!$C$7*(1+$G216-0.05*(1-$J216))^4+Assumptions!$C$6*Assumptions!$C$8*(1+Assumptions!$C$11)^4+Assumptions!$C$16*$J216+Assumptions!$C$6*Assumptions!$C$9*(1+Assumptions!$C$12)^4</f>
        <v>829.3128882</v>
      </c>
      <c r="P216" s="139">
        <f>Assumptions!$C$6*Assumptions!$C$7*(1+$G216-0.05*(1-$K216))^5+Assumptions!$C$6*Assumptions!$C$8*(1+Assumptions!$C$11)^5+Assumptions!$C$16*$K216+Assumptions!$C$6*Assumptions!$C$9*(1+Assumptions!$C$12)^5</f>
        <v>859.9727188</v>
      </c>
      <c r="Q216" s="139">
        <f>($L216*(1-(Assumptions!$C$25+0.06*(1-1))-Assumptions!$C$27)-Assumptions!$C$28)-MAX(0,($L216*(1-(Assumptions!$C$25+0.06*(1-1))-Assumptions!$C$27)-Assumptions!$C$28)*Assumptions!$C$31)+Assumptions!$C$28-Assumptions!$C$29-$L216*Assumptions!$C$30</f>
        <v>92.77442644</v>
      </c>
      <c r="R216" s="139">
        <f>($M216*(1-(Assumptions!$C$25+0.06*(1-$H216))-Assumptions!$C$27)-Assumptions!$C$28)-MAX(0,($M216*(1-(Assumptions!$C$25+0.06*(1-$H216))-Assumptions!$C$27)-Assumptions!$C$28)*Assumptions!$C$31)+Assumptions!$C$28-Assumptions!$C$29-$M216*Assumptions!$C$30</f>
        <v>98.50711582</v>
      </c>
      <c r="S216" s="139">
        <f>($N216*(1-(Assumptions!$C$25+0.06*(1-$I216))-Assumptions!$C$27)-Assumptions!$C$28)-MAX(0,($N216*(1-(Assumptions!$C$25+0.06*(1-$I216))-Assumptions!$C$27)-Assumptions!$C$28)*Assumptions!$C$31)+Assumptions!$C$28-Assumptions!$C$29-$N216*Assumptions!$C$30</f>
        <v>104.5116288</v>
      </c>
      <c r="T216" s="139">
        <f>($O216*(1-(Assumptions!$C$25+0.06*(1-$J216))-Assumptions!$C$27)-Assumptions!$C$28)-MAX(0,($O216*(1-(Assumptions!$C$25+0.06*(1-$J216))-Assumptions!$C$27)-Assumptions!$C$28)*Assumptions!$C$31)+Assumptions!$C$28-Assumptions!$C$29-$O216*Assumptions!$C$30</f>
        <v>110.802271</v>
      </c>
      <c r="U216" s="139">
        <f>($P216*(1-(Assumptions!$C$25+0.06*(1-$K216))-Assumptions!$C$27)-Assumptions!$C$28)-MAX(0,($P216*(1-(Assumptions!$C$25+0.06*(1-$K216))-Assumptions!$C$27)-Assumptions!$C$28)*Assumptions!$C$31)+Assumptions!$C$28-Assumptions!$C$29-$P216*Assumptions!$C$30</f>
        <v>117.3941345</v>
      </c>
      <c r="V216" s="143">
        <f>(($Q216/(1+$D216)^1+$R216/(1+$D216)^2+$S216/(1+$D216)^3+$T216/(1+$D216)^4+$U216/(1+$D216)^5+$U216*(1+$E216)/($D216-$E216)/(1+$D216)^5)-Assumptions!$C$37)/Assumptions!$C$40/Assumptions!$C$38</f>
        <v>4.500681722</v>
      </c>
    </row>
    <row r="217" ht="12.0" customHeight="1">
      <c r="B217" s="139">
        <v>165.0</v>
      </c>
      <c r="C217" s="140">
        <f t="shared" si="6"/>
        <v>0.8518781238</v>
      </c>
      <c r="D217" s="141">
        <f t="shared" si="7"/>
        <v>0.1058842788</v>
      </c>
      <c r="E217" s="141">
        <f t="shared" si="8"/>
        <v>0.01379610265</v>
      </c>
      <c r="F217" s="140">
        <f t="shared" si="9"/>
        <v>0.4490476219</v>
      </c>
      <c r="G217" s="141">
        <f t="shared" si="10"/>
        <v>0.05843036615</v>
      </c>
      <c r="H217" s="142">
        <f t="shared" si="11"/>
        <v>0</v>
      </c>
      <c r="I217" s="142">
        <f t="shared" si="12"/>
        <v>1</v>
      </c>
      <c r="J217" s="142">
        <f t="shared" si="13"/>
        <v>1</v>
      </c>
      <c r="K217" s="142">
        <f t="shared" si="14"/>
        <v>1</v>
      </c>
      <c r="L217" s="139">
        <f>Assumptions!$C$6*Assumptions!$C$7*(1+$G217-0.05*(1-1))^1+Assumptions!$C$6*Assumptions!$C$8*(1+Assumptions!$C$11)^1+Assumptions!$C$16*1+Assumptions!$C$6*Assumptions!$C$9*(1+Assumptions!$C$12)^1</f>
        <v>746.1356612</v>
      </c>
      <c r="M217" s="139">
        <f>Assumptions!$C$6*Assumptions!$C$7*(1+$G217-0.05*(1-$H217))^2+Assumptions!$C$6*Assumptions!$C$8*(1+Assumptions!$C$11)^2+Assumptions!$C$16*$H217+Assumptions!$C$6*Assumptions!$C$9*(1+Assumptions!$C$12)^2</f>
        <v>678.764605</v>
      </c>
      <c r="N217" s="139">
        <f>Assumptions!$C$6*Assumptions!$C$7*(1+$G217-0.05*(1-$I217))^3+Assumptions!$C$6*Assumptions!$C$8*(1+Assumptions!$C$11)^3+Assumptions!$C$16*$I217+Assumptions!$C$6*Assumptions!$C$9*(1+Assumptions!$C$12)^3</f>
        <v>802.3123644</v>
      </c>
      <c r="O217" s="139">
        <f>Assumptions!$C$6*Assumptions!$C$7*(1+$G217-0.05*(1-$J217))^4+Assumptions!$C$6*Assumptions!$C$8*(1+Assumptions!$C$11)^4+Assumptions!$C$16*$J217+Assumptions!$C$6*Assumptions!$C$9*(1+Assumptions!$C$12)^4</f>
        <v>832.4968509</v>
      </c>
      <c r="P217" s="139">
        <f>Assumptions!$C$6*Assumptions!$C$7*(1+$G217-0.05*(1-$K217))^5+Assumptions!$C$6*Assumptions!$C$8*(1+Assumptions!$C$11)^5+Assumptions!$C$16*$K217+Assumptions!$C$6*Assumptions!$C$9*(1+Assumptions!$C$12)^5</f>
        <v>864.1812461</v>
      </c>
      <c r="Q217" s="139">
        <f>($L217*(1-(Assumptions!$C$25+0.06*(1-1))-Assumptions!$C$27)-Assumptions!$C$28)-MAX(0,($L217*(1-(Assumptions!$C$25+0.06*(1-1))-Assumptions!$C$27)-Assumptions!$C$28)*Assumptions!$C$31)+Assumptions!$C$28-Assumptions!$C$29-$L217*Assumptions!$C$30</f>
        <v>92.91916717</v>
      </c>
      <c r="R217" s="139">
        <f>($M217*(1-(Assumptions!$C$25+0.06*(1-$H217))-Assumptions!$C$27)-Assumptions!$C$28)-MAX(0,($M217*(1-(Assumptions!$C$25+0.06*(1-$H217))-Assumptions!$C$27)-Assumptions!$C$28)*Assumptions!$C$31)+Assumptions!$C$28-Assumptions!$C$29-$M217*Assumptions!$C$30</f>
        <v>36.11585915</v>
      </c>
      <c r="S217" s="139">
        <f>($N217*(1-(Assumptions!$C$25+0.06*(1-$I217))-Assumptions!$C$27)-Assumptions!$C$28)-MAX(0,($N217*(1-(Assumptions!$C$25+0.06*(1-$I217))-Assumptions!$C$27)-Assumptions!$C$28)*Assumptions!$C$31)+Assumptions!$C$28-Assumptions!$C$29-$N217*Assumptions!$C$30</f>
        <v>104.9971583</v>
      </c>
      <c r="T217" s="139">
        <f>($O217*(1-(Assumptions!$C$25+0.06*(1-$J217))-Assumptions!$C$27)-Assumptions!$C$28)-MAX(0,($O217*(1-(Assumptions!$C$25+0.06*(1-$J217))-Assumptions!$C$27)-Assumptions!$C$28)*Assumptions!$C$31)+Assumptions!$C$28-Assumptions!$C$29-$O217*Assumptions!$C$30</f>
        <v>111.4868229</v>
      </c>
      <c r="U217" s="139">
        <f>($P217*(1-(Assumptions!$C$25+0.06*(1-$K217))-Assumptions!$C$27)-Assumptions!$C$28)-MAX(0,($P217*(1-(Assumptions!$C$25+0.06*(1-$K217))-Assumptions!$C$27)-Assumptions!$C$28)*Assumptions!$C$31)+Assumptions!$C$28-Assumptions!$C$29-$P217*Assumptions!$C$30</f>
        <v>118.2989679</v>
      </c>
      <c r="V217" s="143">
        <f>(($Q217/(1+$D217)^1+$R217/(1+$D217)^2+$S217/(1+$D217)^3+$T217/(1+$D217)^4+$U217/(1+$D217)^5+$U217*(1+$E217)/($D217-$E217)/(1+$D217)^5)-Assumptions!$C$37)/Assumptions!$C$40/Assumptions!$C$38</f>
        <v>3.378474405</v>
      </c>
    </row>
    <row r="218" ht="12.0" customHeight="1">
      <c r="B218" s="139">
        <v>166.0</v>
      </c>
      <c r="C218" s="140">
        <f t="shared" si="6"/>
        <v>0.07791382857</v>
      </c>
      <c r="D218" s="141">
        <f t="shared" si="7"/>
        <v>0.0901393373</v>
      </c>
      <c r="E218" s="141">
        <f t="shared" si="8"/>
        <v>0.02663120049</v>
      </c>
      <c r="F218" s="140">
        <f t="shared" si="9"/>
        <v>0.3211490697</v>
      </c>
      <c r="G218" s="141">
        <f t="shared" si="10"/>
        <v>0.0540430515</v>
      </c>
      <c r="H218" s="142">
        <f t="shared" si="11"/>
        <v>1</v>
      </c>
      <c r="I218" s="142">
        <f t="shared" si="12"/>
        <v>1</v>
      </c>
      <c r="J218" s="142">
        <f t="shared" si="13"/>
        <v>0</v>
      </c>
      <c r="K218" s="142">
        <f t="shared" si="14"/>
        <v>1</v>
      </c>
      <c r="L218" s="139">
        <f>Assumptions!$C$6*Assumptions!$C$7*(1+$G218-0.05*(1-1))^1+Assumptions!$C$6*Assumptions!$C$8*(1+Assumptions!$C$11)^1+Assumptions!$C$16*1+Assumptions!$C$6*Assumptions!$C$9*(1+Assumptions!$C$12)^1</f>
        <v>744.6588911</v>
      </c>
      <c r="M218" s="139">
        <f>Assumptions!$C$6*Assumptions!$C$7*(1+$G218-0.05*(1-$H218))^2+Assumptions!$C$6*Assumptions!$C$8*(1+Assumptions!$C$11)^2+Assumptions!$C$16*$H218+Assumptions!$C$6*Assumptions!$C$9*(1+Assumptions!$C$12)^2</f>
        <v>770.4302335</v>
      </c>
      <c r="N218" s="139">
        <f>Assumptions!$C$6*Assumptions!$C$7*(1+$G218-0.05*(1-$I218))^3+Assumptions!$C$6*Assumptions!$C$8*(1+Assumptions!$C$11)^3+Assumptions!$C$16*$I218+Assumptions!$C$6*Assumptions!$C$9*(1+Assumptions!$C$12)^3</f>
        <v>797.3697437</v>
      </c>
      <c r="O218" s="139">
        <f>Assumptions!$C$6*Assumptions!$C$7*(1+$G218-0.05*(1-$J218))^4+Assumptions!$C$6*Assumptions!$C$8*(1+Assumptions!$C$11)^4+Assumptions!$C$16*$J218+Assumptions!$C$6*Assumptions!$C$9*(1+Assumptions!$C$12)^4</f>
        <v>692.1352271</v>
      </c>
      <c r="P218" s="139">
        <f>Assumptions!$C$6*Assumptions!$C$7*(1+$G218-0.05*(1-$K218))^5+Assumptions!$C$6*Assumptions!$C$8*(1+Assumptions!$C$11)^5+Assumptions!$C$16*$K218+Assumptions!$C$6*Assumptions!$C$9*(1+Assumptions!$C$12)^5</f>
        <v>854.9909041</v>
      </c>
      <c r="Q218" s="139">
        <f>($L218*(1-(Assumptions!$C$25+0.06*(1-1))-Assumptions!$C$27)-Assumptions!$C$28)-MAX(0,($L218*(1-(Assumptions!$C$25+0.06*(1-1))-Assumptions!$C$27)-Assumptions!$C$28)*Assumptions!$C$31)+Assumptions!$C$28-Assumptions!$C$29-$L218*Assumptions!$C$30</f>
        <v>92.60166159</v>
      </c>
      <c r="R218" s="139">
        <f>($M218*(1-(Assumptions!$C$25+0.06*(1-$H218))-Assumptions!$C$27)-Assumptions!$C$28)-MAX(0,($M218*(1-(Assumptions!$C$25+0.06*(1-$H218))-Assumptions!$C$27)-Assumptions!$C$28)*Assumptions!$C$31)+Assumptions!$C$28-Assumptions!$C$29-$M218*Assumptions!$C$30</f>
        <v>98.14250021</v>
      </c>
      <c r="S218" s="139">
        <f>($N218*(1-(Assumptions!$C$25+0.06*(1-$I218))-Assumptions!$C$27)-Assumptions!$C$28)-MAX(0,($N218*(1-(Assumptions!$C$25+0.06*(1-$I218))-Assumptions!$C$27)-Assumptions!$C$28)*Assumptions!$C$31)+Assumptions!$C$28-Assumptions!$C$29-$N218*Assumptions!$C$30</f>
        <v>103.9344949</v>
      </c>
      <c r="T218" s="139">
        <f>($O218*(1-(Assumptions!$C$25+0.06*(1-$J218))-Assumptions!$C$27)-Assumptions!$C$28)-MAX(0,($O218*(1-(Assumptions!$C$25+0.06*(1-$J218))-Assumptions!$C$27)-Assumptions!$C$28)*Assumptions!$C$31)+Assumptions!$C$28-Assumptions!$C$29-$O218*Assumptions!$C$30</f>
        <v>39.19110223</v>
      </c>
      <c r="U218" s="139">
        <f>($P218*(1-(Assumptions!$C$25+0.06*(1-$K218))-Assumptions!$C$27)-Assumptions!$C$28)-MAX(0,($P218*(1-(Assumptions!$C$25+0.06*(1-$K218))-Assumptions!$C$27)-Assumptions!$C$28)*Assumptions!$C$31)+Assumptions!$C$28-Assumptions!$C$29-$P218*Assumptions!$C$30</f>
        <v>116.3230444</v>
      </c>
      <c r="V218" s="143">
        <f>(($Q218/(1+$D218)^1+$R218/(1+$D218)^2+$S218/(1+$D218)^3+$T218/(1+$D218)^4+$U218/(1+$D218)^5+$U218*(1+$E218)/($D218-$E218)/(1+$D218)^5)-Assumptions!$C$37)/Assumptions!$C$40/Assumptions!$C$38</f>
        <v>6.873023986</v>
      </c>
    </row>
    <row r="219" ht="12.0" customHeight="1">
      <c r="B219" s="139">
        <v>167.0</v>
      </c>
      <c r="C219" s="140">
        <f t="shared" si="6"/>
        <v>0.9406617893</v>
      </c>
      <c r="D219" s="141">
        <f t="shared" si="7"/>
        <v>0.1092303608</v>
      </c>
      <c r="E219" s="141">
        <f t="shared" si="8"/>
        <v>0.02180658582</v>
      </c>
      <c r="F219" s="140">
        <f t="shared" si="9"/>
        <v>0.844527263</v>
      </c>
      <c r="G219" s="141">
        <f t="shared" si="10"/>
        <v>0.07327125448</v>
      </c>
      <c r="H219" s="142">
        <f t="shared" si="11"/>
        <v>1</v>
      </c>
      <c r="I219" s="142">
        <f t="shared" si="12"/>
        <v>1</v>
      </c>
      <c r="J219" s="142">
        <f t="shared" si="13"/>
        <v>1</v>
      </c>
      <c r="K219" s="142">
        <f t="shared" si="14"/>
        <v>0</v>
      </c>
      <c r="L219" s="139">
        <f>Assumptions!$C$6*Assumptions!$C$7*(1+$G219-0.05*(1-1))^1+Assumptions!$C$6*Assumptions!$C$8*(1+Assumptions!$C$11)^1+Assumptions!$C$16*1+Assumptions!$C$6*Assumptions!$C$9*(1+Assumptions!$C$12)^1</f>
        <v>751.1311043</v>
      </c>
      <c r="M219" s="139">
        <f>Assumptions!$C$6*Assumptions!$C$7*(1+$G219-0.05*(1-$H219))^2+Assumptions!$C$6*Assumptions!$C$8*(1+Assumptions!$C$11)^2+Assumptions!$C$16*$H219+Assumptions!$C$6*Assumptions!$C$9*(1+Assumptions!$C$12)^2</f>
        <v>784.1986651</v>
      </c>
      <c r="N219" s="139">
        <f>Assumptions!$C$6*Assumptions!$C$7*(1+$G219-0.05*(1-$I219))^3+Assumptions!$C$6*Assumptions!$C$8*(1+Assumptions!$C$11)^3+Assumptions!$C$16*$I219+Assumptions!$C$6*Assumptions!$C$9*(1+Assumptions!$C$12)^3</f>
        <v>819.337678</v>
      </c>
      <c r="O219" s="139">
        <f>Assumptions!$C$6*Assumptions!$C$7*(1+$G219-0.05*(1-$J219))^4+Assumptions!$C$6*Assumptions!$C$8*(1+Assumptions!$C$11)^4+Assumptions!$C$16*$J219+Assumptions!$C$6*Assumptions!$C$9*(1+Assumptions!$C$12)^4</f>
        <v>856.6928918</v>
      </c>
      <c r="P219" s="139">
        <f>Assumptions!$C$6*Assumptions!$C$7*(1+$G219-0.05*(1-$K219))^5+Assumptions!$C$6*Assumptions!$C$8*(1+Assumptions!$C$11)^5+Assumptions!$C$16*$K219+Assumptions!$C$6*Assumptions!$C$9*(1+Assumptions!$C$12)^5</f>
        <v>734.6910308</v>
      </c>
      <c r="Q219" s="139">
        <f>($L219*(1-(Assumptions!$C$25+0.06*(1-1))-Assumptions!$C$27)-Assumptions!$C$28)-MAX(0,($L219*(1-(Assumptions!$C$25+0.06*(1-1))-Assumptions!$C$27)-Assumptions!$C$28)*Assumptions!$C$31)+Assumptions!$C$28-Assumptions!$C$29-$L219*Assumptions!$C$30</f>
        <v>93.99318742</v>
      </c>
      <c r="R219" s="139">
        <f>($M219*(1-(Assumptions!$C$25+0.06*(1-$H219))-Assumptions!$C$27)-Assumptions!$C$28)-MAX(0,($M219*(1-(Assumptions!$C$25+0.06*(1-$H219))-Assumptions!$C$27)-Assumptions!$C$28)*Assumptions!$C$31)+Assumptions!$C$28-Assumptions!$C$29-$M219*Assumptions!$C$30</f>
        <v>101.102713</v>
      </c>
      <c r="S219" s="139">
        <f>($N219*(1-(Assumptions!$C$25+0.06*(1-$I219))-Assumptions!$C$27)-Assumptions!$C$28)-MAX(0,($N219*(1-(Assumptions!$C$25+0.06*(1-$I219))-Assumptions!$C$27)-Assumptions!$C$28)*Assumptions!$C$31)+Assumptions!$C$28-Assumptions!$C$29-$N219*Assumptions!$C$30</f>
        <v>108.6576008</v>
      </c>
      <c r="T219" s="139">
        <f>($O219*(1-(Assumptions!$C$25+0.06*(1-$J219))-Assumptions!$C$27)-Assumptions!$C$28)-MAX(0,($O219*(1-(Assumptions!$C$25+0.06*(1-$J219))-Assumptions!$C$27)-Assumptions!$C$28)*Assumptions!$C$31)+Assumptions!$C$28-Assumptions!$C$29-$O219*Assumptions!$C$30</f>
        <v>116.6889717</v>
      </c>
      <c r="U219" s="139">
        <f>($P219*(1-(Assumptions!$C$25+0.06*(1-$K219))-Assumptions!$C$27)-Assumptions!$C$28)-MAX(0,($P219*(1-(Assumptions!$C$25+0.06*(1-$K219))-Assumptions!$C$27)-Assumptions!$C$28)*Assumptions!$C$31)+Assumptions!$C$28-Assumptions!$C$29-$P219*Assumptions!$C$30</f>
        <v>48.97893709</v>
      </c>
      <c r="V219" s="143">
        <f>(($Q219/(1+$D219)^1+$R219/(1+$D219)^2+$S219/(1+$D219)^3+$T219/(1+$D219)^4+$U219/(1+$D219)^5+$U219*(1+$E219)/($D219-$E219)/(1+$D219)^5)-Assumptions!$C$37)/Assumptions!$C$40/Assumptions!$C$38</f>
        <v>0.01546153337</v>
      </c>
    </row>
    <row r="220" ht="12.0" customHeight="1">
      <c r="B220" s="139">
        <v>168.0</v>
      </c>
      <c r="C220" s="140">
        <f t="shared" si="6"/>
        <v>0.1788071889</v>
      </c>
      <c r="D220" s="141">
        <f t="shared" si="7"/>
        <v>0.09278560447</v>
      </c>
      <c r="E220" s="141">
        <f t="shared" si="8"/>
        <v>0.01644590487</v>
      </c>
      <c r="F220" s="140">
        <f t="shared" si="9"/>
        <v>0.799147282</v>
      </c>
      <c r="G220" s="141">
        <f t="shared" si="10"/>
        <v>0.07098592909</v>
      </c>
      <c r="H220" s="142">
        <f t="shared" si="11"/>
        <v>0</v>
      </c>
      <c r="I220" s="142">
        <f t="shared" si="12"/>
        <v>1</v>
      </c>
      <c r="J220" s="142">
        <f t="shared" si="13"/>
        <v>1</v>
      </c>
      <c r="K220" s="142">
        <f t="shared" si="14"/>
        <v>1</v>
      </c>
      <c r="L220" s="139">
        <f>Assumptions!$C$6*Assumptions!$C$7*(1+$G220-0.05*(1-1))^1+Assumptions!$C$6*Assumptions!$C$8*(1+Assumptions!$C$11)^1+Assumptions!$C$16*1+Assumptions!$C$6*Assumptions!$C$9*(1+Assumptions!$C$12)^1</f>
        <v>750.3618637</v>
      </c>
      <c r="M220" s="139">
        <f>Assumptions!$C$6*Assumptions!$C$7*(1+$G220-0.05*(1-$H220))^2+Assumptions!$C$6*Assumptions!$C$8*(1+Assumptions!$C$11)^2+Assumptions!$C$16*$H220+Assumptions!$C$6*Assumptions!$C$9*(1+Assumptions!$C$12)^2</f>
        <v>687.3413292</v>
      </c>
      <c r="N220" s="139">
        <f>Assumptions!$C$6*Assumptions!$C$7*(1+$G220-0.05*(1-$I220))^3+Assumptions!$C$6*Assumptions!$C$8*(1+Assumptions!$C$11)^3+Assumptions!$C$16*$I220+Assumptions!$C$6*Assumptions!$C$9*(1+Assumptions!$C$12)^3</f>
        <v>816.685044</v>
      </c>
      <c r="O220" s="139">
        <f>Assumptions!$C$6*Assumptions!$C$7*(1+$G220-0.05*(1-$J220))^4+Assumptions!$C$6*Assumptions!$C$8*(1+Assumptions!$C$11)^4+Assumptions!$C$16*$J220+Assumptions!$C$6*Assumptions!$C$9*(1+Assumptions!$C$12)^4</f>
        <v>852.9009359</v>
      </c>
      <c r="P220" s="139">
        <f>Assumptions!$C$6*Assumptions!$C$7*(1+$G220-0.05*(1-$K220))^5+Assumptions!$C$6*Assumptions!$C$8*(1+Assumptions!$C$11)^5+Assumptions!$C$16*$K220+Assumptions!$C$6*Assumptions!$C$9*(1+Assumptions!$C$12)^5</f>
        <v>891.3376846</v>
      </c>
      <c r="Q220" s="139">
        <f>($L220*(1-(Assumptions!$C$25+0.06*(1-1))-Assumptions!$C$27)-Assumptions!$C$28)-MAX(0,($L220*(1-(Assumptions!$C$25+0.06*(1-1))-Assumptions!$C$27)-Assumptions!$C$28)*Assumptions!$C$31)+Assumptions!$C$28-Assumptions!$C$29-$L220*Assumptions!$C$30</f>
        <v>93.8278007</v>
      </c>
      <c r="R220" s="139">
        <f>($M220*(1-(Assumptions!$C$25+0.06*(1-$H220))-Assumptions!$C$27)-Assumptions!$C$28)-MAX(0,($M220*(1-(Assumptions!$C$25+0.06*(1-$H220))-Assumptions!$C$27)-Assumptions!$C$28)*Assumptions!$C$31)+Assumptions!$C$28-Assumptions!$C$29-$M220*Assumptions!$C$30</f>
        <v>38.08850572</v>
      </c>
      <c r="S220" s="139">
        <f>($N220*(1-(Assumptions!$C$25+0.06*(1-$I220))-Assumptions!$C$27)-Assumptions!$C$28)-MAX(0,($N220*(1-(Assumptions!$C$25+0.06*(1-$I220))-Assumptions!$C$27)-Assumptions!$C$28)*Assumptions!$C$31)+Assumptions!$C$28-Assumptions!$C$29-$N220*Assumptions!$C$30</f>
        <v>108.0872845</v>
      </c>
      <c r="T220" s="139">
        <f>($O220*(1-(Assumptions!$C$25+0.06*(1-$J220))-Assumptions!$C$27)-Assumptions!$C$28)-MAX(0,($O220*(1-(Assumptions!$C$25+0.06*(1-$J220))-Assumptions!$C$27)-Assumptions!$C$28)*Assumptions!$C$31)+Assumptions!$C$28-Assumptions!$C$29-$O220*Assumptions!$C$30</f>
        <v>115.8737012</v>
      </c>
      <c r="U220" s="139">
        <f>($P220*(1-(Assumptions!$C$25+0.06*(1-$K220))-Assumptions!$C$27)-Assumptions!$C$28)-MAX(0,($P220*(1-(Assumptions!$C$25+0.06*(1-$K220))-Assumptions!$C$27)-Assumptions!$C$28)*Assumptions!$C$31)+Assumptions!$C$28-Assumptions!$C$29-$P220*Assumptions!$C$30</f>
        <v>124.1376022</v>
      </c>
      <c r="V220" s="143">
        <f>(($Q220/(1+$D220)^1+$R220/(1+$D220)^2+$S220/(1+$D220)^3+$T220/(1+$D220)^4+$U220/(1+$D220)^5+$U220*(1+$E220)/($D220-$E220)/(1+$D220)^5)-Assumptions!$C$37)/Assumptions!$C$40/Assumptions!$C$38</f>
        <v>5.700178634</v>
      </c>
    </row>
    <row r="221" ht="12.0" customHeight="1">
      <c r="B221" s="139">
        <v>169.0</v>
      </c>
      <c r="C221" s="140">
        <f t="shared" si="6"/>
        <v>0.6738970915</v>
      </c>
      <c r="D221" s="141">
        <f t="shared" si="7"/>
        <v>0.1014743306</v>
      </c>
      <c r="E221" s="141">
        <f t="shared" si="8"/>
        <v>0.01008897506</v>
      </c>
      <c r="F221" s="140">
        <f t="shared" si="9"/>
        <v>0.5984492149</v>
      </c>
      <c r="G221" s="141">
        <f t="shared" si="10"/>
        <v>0.06311521968</v>
      </c>
      <c r="H221" s="142">
        <f t="shared" si="11"/>
        <v>0</v>
      </c>
      <c r="I221" s="142">
        <f t="shared" si="12"/>
        <v>1</v>
      </c>
      <c r="J221" s="142">
        <f t="shared" si="13"/>
        <v>1</v>
      </c>
      <c r="K221" s="142">
        <f t="shared" si="14"/>
        <v>0</v>
      </c>
      <c r="L221" s="139">
        <f>Assumptions!$C$6*Assumptions!$C$7*(1+$G221-0.05*(1-1))^1+Assumptions!$C$6*Assumptions!$C$8*(1+Assumptions!$C$11)^1+Assumptions!$C$16*1+Assumptions!$C$6*Assumptions!$C$9*(1+Assumptions!$C$12)^1</f>
        <v>747.7125829</v>
      </c>
      <c r="M221" s="139">
        <f>Assumptions!$C$6*Assumptions!$C$7*(1+$G221-0.05*(1-$H221))^2+Assumptions!$C$6*Assumptions!$C$8*(1+Assumptions!$C$11)^2+Assumptions!$C$16*$H221+Assumptions!$C$6*Assumptions!$C$9*(1+Assumptions!$C$12)^2</f>
        <v>681.9524241</v>
      </c>
      <c r="N221" s="139">
        <f>Assumptions!$C$6*Assumptions!$C$7*(1+$G221-0.05*(1-$I221))^3+Assumptions!$C$6*Assumptions!$C$8*(1+Assumptions!$C$11)^3+Assumptions!$C$16*$I221+Assumptions!$C$6*Assumptions!$C$9*(1+Assumptions!$C$12)^3</f>
        <v>807.635614</v>
      </c>
      <c r="O221" s="139">
        <f>Assumptions!$C$6*Assumptions!$C$7*(1+$G221-0.05*(1-$J221))^4+Assumptions!$C$6*Assumptions!$C$8*(1+Assumptions!$C$11)^4+Assumptions!$C$16*$J221+Assumptions!$C$6*Assumptions!$C$9*(1+Assumptions!$C$12)^4</f>
        <v>840.0258866</v>
      </c>
      <c r="P221" s="139">
        <f>Assumptions!$C$6*Assumptions!$C$7*(1+$G221-0.05*(1-$K221))^5+Assumptions!$C$6*Assumptions!$C$8*(1+Assumptions!$C$11)^5+Assumptions!$C$16*$K221+Assumptions!$C$6*Assumptions!$C$9*(1+Assumptions!$C$12)^5</f>
        <v>716.3192721</v>
      </c>
      <c r="Q221" s="139">
        <f>($L221*(1-(Assumptions!$C$25+0.06*(1-1))-Assumptions!$C$27)-Assumptions!$C$28)-MAX(0,($L221*(1-(Assumptions!$C$25+0.06*(1-1))-Assumptions!$C$27)-Assumptions!$C$28)*Assumptions!$C$31)+Assumptions!$C$28-Assumptions!$C$29-$L221*Assumptions!$C$30</f>
        <v>93.25820533</v>
      </c>
      <c r="R221" s="139">
        <f>($M221*(1-(Assumptions!$C$25+0.06*(1-$H221))-Assumptions!$C$27)-Assumptions!$C$28)-MAX(0,($M221*(1-(Assumptions!$C$25+0.06*(1-$H221))-Assumptions!$C$27)-Assumptions!$C$28)*Assumptions!$C$31)+Assumptions!$C$28-Assumptions!$C$29-$M221*Assumptions!$C$30</f>
        <v>36.84905755</v>
      </c>
      <c r="S221" s="139">
        <f>($N221*(1-(Assumptions!$C$25+0.06*(1-$I221))-Assumptions!$C$27)-Assumptions!$C$28)-MAX(0,($N221*(1-(Assumptions!$C$25+0.06*(1-$I221))-Assumptions!$C$27)-Assumptions!$C$28)*Assumptions!$C$31)+Assumptions!$C$28-Assumptions!$C$29-$N221*Assumptions!$C$30</f>
        <v>106.141657</v>
      </c>
      <c r="T221" s="139">
        <f>($O221*(1-(Assumptions!$C$25+0.06*(1-$J221))-Assumptions!$C$27)-Assumptions!$C$28)-MAX(0,($O221*(1-(Assumptions!$C$25+0.06*(1-$J221))-Assumptions!$C$27)-Assumptions!$C$28)*Assumptions!$C$31)+Assumptions!$C$28-Assumptions!$C$29-$O221*Assumptions!$C$30</f>
        <v>113.1055656</v>
      </c>
      <c r="U221" s="139">
        <f>($P221*(1-(Assumptions!$C$25+0.06*(1-$K221))-Assumptions!$C$27)-Assumptions!$C$28)-MAX(0,($P221*(1-(Assumptions!$C$25+0.06*(1-$K221))-Assumptions!$C$27)-Assumptions!$C$28)*Assumptions!$C$31)+Assumptions!$C$28-Assumptions!$C$29-$P221*Assumptions!$C$30</f>
        <v>44.75343259</v>
      </c>
      <c r="V221" s="143">
        <f>(($Q221/(1+$D221)^1+$R221/(1+$D221)^2+$S221/(1+$D221)^3+$T221/(1+$D221)^4+$U221/(1+$D221)^5+$U221*(1+$E221)/($D221-$E221)/(1+$D221)^5)-Assumptions!$C$37)/Assumptions!$C$40/Assumptions!$C$38</f>
        <v>-0.6843732871</v>
      </c>
    </row>
    <row r="222" ht="12.0" customHeight="1">
      <c r="B222" s="139">
        <v>170.0</v>
      </c>
      <c r="C222" s="140">
        <f t="shared" si="6"/>
        <v>0.9483619233</v>
      </c>
      <c r="D222" s="141">
        <f t="shared" si="7"/>
        <v>0.1096177179</v>
      </c>
      <c r="E222" s="141">
        <f t="shared" si="8"/>
        <v>0.02229449678</v>
      </c>
      <c r="F222" s="140">
        <f t="shared" si="9"/>
        <v>0.3890009418</v>
      </c>
      <c r="G222" s="141">
        <f t="shared" si="10"/>
        <v>0.05646132452</v>
      </c>
      <c r="H222" s="142">
        <f t="shared" si="11"/>
        <v>1</v>
      </c>
      <c r="I222" s="142">
        <f t="shared" si="12"/>
        <v>0</v>
      </c>
      <c r="J222" s="142">
        <f t="shared" si="13"/>
        <v>1</v>
      </c>
      <c r="K222" s="142">
        <f t="shared" si="14"/>
        <v>0</v>
      </c>
      <c r="L222" s="139">
        <f>Assumptions!$C$6*Assumptions!$C$7*(1+$G222-0.05*(1-1))^1+Assumptions!$C$6*Assumptions!$C$8*(1+Assumptions!$C$11)^1+Assumptions!$C$16*1+Assumptions!$C$6*Assumptions!$C$9*(1+Assumptions!$C$12)^1</f>
        <v>745.4728818</v>
      </c>
      <c r="M222" s="139">
        <f>Assumptions!$C$6*Assumptions!$C$7*(1+$G222-0.05*(1-$H222))^2+Assumptions!$C$6*Assumptions!$C$8*(1+Assumptions!$C$11)^2+Assumptions!$C$16*$H222+Assumptions!$C$6*Assumptions!$C$9*(1+Assumptions!$C$12)^2</f>
        <v>772.1481645</v>
      </c>
      <c r="N222" s="139">
        <f>Assumptions!$C$6*Assumptions!$C$7*(1+$G222-0.05*(1-$I222))^3+Assumptions!$C$6*Assumptions!$C$8*(1+Assumptions!$C$11)^3+Assumptions!$C$16*$I222+Assumptions!$C$6*Assumptions!$C$9*(1+Assumptions!$C$12)^3</f>
        <v>686.3615613</v>
      </c>
      <c r="O222" s="139">
        <f>Assumptions!$C$6*Assumptions!$C$7*(1+$G222-0.05*(1-$J222))^4+Assumptions!$C$6*Assumptions!$C$8*(1+Assumptions!$C$11)^4+Assumptions!$C$16*$J222+Assumptions!$C$6*Assumptions!$C$9*(1+Assumptions!$C$12)^4</f>
        <v>829.3620946</v>
      </c>
      <c r="P222" s="139">
        <f>Assumptions!$C$6*Assumptions!$C$7*(1+$G222-0.05*(1-$K222))^5+Assumptions!$C$6*Assumptions!$C$8*(1+Assumptions!$C$11)^5+Assumptions!$C$16*$K222+Assumptions!$C$6*Assumptions!$C$9*(1+Assumptions!$C$12)^5</f>
        <v>704.675578</v>
      </c>
      <c r="Q222" s="139">
        <f>($L222*(1-(Assumptions!$C$25+0.06*(1-1))-Assumptions!$C$27)-Assumptions!$C$28)-MAX(0,($L222*(1-(Assumptions!$C$25+0.06*(1-1))-Assumptions!$C$27)-Assumptions!$C$28)*Assumptions!$C$31)+Assumptions!$C$28-Assumptions!$C$29-$L222*Assumptions!$C$30</f>
        <v>92.77666959</v>
      </c>
      <c r="R222" s="139">
        <f>($M222*(1-(Assumptions!$C$25+0.06*(1-$H222))-Assumptions!$C$27)-Assumptions!$C$28)-MAX(0,($M222*(1-(Assumptions!$C$25+0.06*(1-$H222))-Assumptions!$C$27)-Assumptions!$C$28)*Assumptions!$C$31)+Assumptions!$C$28-Assumptions!$C$29-$M222*Assumptions!$C$30</f>
        <v>98.51185536</v>
      </c>
      <c r="S222" s="139">
        <f>($N222*(1-(Assumptions!$C$25+0.06*(1-$I222))-Assumptions!$C$27)-Assumptions!$C$28)-MAX(0,($N222*(1-(Assumptions!$C$25+0.06*(1-$I222))-Assumptions!$C$27)-Assumptions!$C$28)*Assumptions!$C$31)+Assumptions!$C$28-Assumptions!$C$29-$N222*Assumptions!$C$30</f>
        <v>37.86315911</v>
      </c>
      <c r="T222" s="139">
        <f>($O222*(1-(Assumptions!$C$25+0.06*(1-$J222))-Assumptions!$C$27)-Assumptions!$C$28)-MAX(0,($O222*(1-(Assumptions!$C$25+0.06*(1-$J222))-Assumptions!$C$27)-Assumptions!$C$28)*Assumptions!$C$31)+Assumptions!$C$28-Assumptions!$C$29-$O222*Assumptions!$C$30</f>
        <v>110.8128503</v>
      </c>
      <c r="U222" s="139">
        <f>($P222*(1-(Assumptions!$C$25+0.06*(1-$K222))-Assumptions!$C$27)-Assumptions!$C$28)-MAX(0,($P222*(1-(Assumptions!$C$25+0.06*(1-$K222))-Assumptions!$C$27)-Assumptions!$C$28)*Assumptions!$C$31)+Assumptions!$C$28-Assumptions!$C$29-$P222*Assumptions!$C$30</f>
        <v>42.07538294</v>
      </c>
      <c r="V222" s="143">
        <f>(($Q222/(1+$D222)^1+$R222/(1+$D222)^2+$S222/(1+$D222)^3+$T222/(1+$D222)^4+$U222/(1+$D222)^5+$U222*(1+$E222)/($D222-$E222)/(1+$D222)^5)-Assumptions!$C$37)/Assumptions!$C$40/Assumptions!$C$38</f>
        <v>-0.8539994646</v>
      </c>
    </row>
    <row r="223" ht="12.0" customHeight="1">
      <c r="B223" s="139">
        <v>171.0</v>
      </c>
      <c r="C223" s="140">
        <f t="shared" si="6"/>
        <v>0.8656745714</v>
      </c>
      <c r="D223" s="141">
        <f t="shared" si="7"/>
        <v>0.1063191841</v>
      </c>
      <c r="E223" s="141">
        <f t="shared" si="8"/>
        <v>0.02356625538</v>
      </c>
      <c r="F223" s="140">
        <f t="shared" si="9"/>
        <v>0.8717936943</v>
      </c>
      <c r="G223" s="141">
        <f t="shared" si="10"/>
        <v>0.07480883973</v>
      </c>
      <c r="H223" s="142">
        <f t="shared" si="11"/>
        <v>1</v>
      </c>
      <c r="I223" s="142">
        <f t="shared" si="12"/>
        <v>0</v>
      </c>
      <c r="J223" s="142">
        <f t="shared" si="13"/>
        <v>1</v>
      </c>
      <c r="K223" s="142">
        <f t="shared" si="14"/>
        <v>1</v>
      </c>
      <c r="L223" s="139">
        <f>Assumptions!$C$6*Assumptions!$C$7*(1+$G223-0.05*(1-1))^1+Assumptions!$C$6*Assumptions!$C$8*(1+Assumptions!$C$11)^1+Assumptions!$C$16*1+Assumptions!$C$6*Assumptions!$C$9*(1+Assumptions!$C$12)^1</f>
        <v>751.6486555</v>
      </c>
      <c r="M223" s="139">
        <f>Assumptions!$C$6*Assumptions!$C$7*(1+$G223-0.05*(1-$H223))^2+Assumptions!$C$6*Assumptions!$C$8*(1+Assumptions!$C$11)^2+Assumptions!$C$16*$H223+Assumptions!$C$6*Assumptions!$C$9*(1+Assumptions!$C$12)^2</f>
        <v>785.3104065</v>
      </c>
      <c r="N223" s="139">
        <f>Assumptions!$C$6*Assumptions!$C$7*(1+$G223-0.05*(1-$I223))^3+Assumptions!$C$6*Assumptions!$C$8*(1+Assumptions!$C$11)^3+Assumptions!$C$16*$I223+Assumptions!$C$6*Assumptions!$C$9*(1+Assumptions!$C$12)^3</f>
        <v>705.4732834</v>
      </c>
      <c r="O223" s="139">
        <f>Assumptions!$C$6*Assumptions!$C$7*(1+$G223-0.05*(1-$J223))^4+Assumptions!$C$6*Assumptions!$C$8*(1+Assumptions!$C$11)^4+Assumptions!$C$16*$J223+Assumptions!$C$6*Assumptions!$C$9*(1+Assumptions!$C$12)^4</f>
        <v>859.2578184</v>
      </c>
      <c r="P223" s="139">
        <f>Assumptions!$C$6*Assumptions!$C$7*(1+$G223-0.05*(1-$K223))^5+Assumptions!$C$6*Assumptions!$C$8*(1+Assumptions!$C$11)^5+Assumptions!$C$16*$K223+Assumptions!$C$6*Assumptions!$C$9*(1+Assumptions!$C$12)^5</f>
        <v>899.8630649</v>
      </c>
      <c r="Q223" s="139">
        <f>($L223*(1-(Assumptions!$C$25+0.06*(1-1))-Assumptions!$C$27)-Assumptions!$C$28)-MAX(0,($L223*(1-(Assumptions!$C$25+0.06*(1-1))-Assumptions!$C$27)-Assumptions!$C$28)*Assumptions!$C$31)+Assumptions!$C$28-Assumptions!$C$29-$L223*Assumptions!$C$30</f>
        <v>94.10446092</v>
      </c>
      <c r="R223" s="139">
        <f>($M223*(1-(Assumptions!$C$25+0.06*(1-$H223))-Assumptions!$C$27)-Assumptions!$C$28)-MAX(0,($M223*(1-(Assumptions!$C$25+0.06*(1-$H223))-Assumptions!$C$27)-Assumptions!$C$28)*Assumptions!$C$31)+Assumptions!$C$28-Assumptions!$C$29-$M223*Assumptions!$C$30</f>
        <v>101.3417374</v>
      </c>
      <c r="S223" s="139">
        <f>($N223*(1-(Assumptions!$C$25+0.06*(1-$I223))-Assumptions!$C$27)-Assumptions!$C$28)-MAX(0,($N223*(1-(Assumptions!$C$25+0.06*(1-$I223))-Assumptions!$C$27)-Assumptions!$C$28)*Assumptions!$C$31)+Assumptions!$C$28-Assumptions!$C$29-$N223*Assumptions!$C$30</f>
        <v>42.25885519</v>
      </c>
      <c r="T223" s="139">
        <f>($O223*(1-(Assumptions!$C$25+0.06*(1-$J223))-Assumptions!$C$27)-Assumptions!$C$28)-MAX(0,($O223*(1-(Assumptions!$C$25+0.06*(1-$J223))-Assumptions!$C$27)-Assumptions!$C$28)*Assumptions!$C$31)+Assumptions!$C$28-Assumptions!$C$29-$O223*Assumptions!$C$30</f>
        <v>117.240431</v>
      </c>
      <c r="U223" s="139">
        <f>($P223*(1-(Assumptions!$C$25+0.06*(1-$K223))-Assumptions!$C$27)-Assumptions!$C$28)-MAX(0,($P223*(1-(Assumptions!$C$25+0.06*(1-$K223))-Assumptions!$C$27)-Assumptions!$C$28)*Assumptions!$C$31)+Assumptions!$C$28-Assumptions!$C$29-$P223*Assumptions!$C$30</f>
        <v>125.970559</v>
      </c>
      <c r="V223" s="143">
        <f>(($Q223/(1+$D223)^1+$R223/(1+$D223)^2+$S223/(1+$D223)^3+$T223/(1+$D223)^4+$U223/(1+$D223)^5+$U223*(1+$E223)/($D223-$E223)/(1+$D223)^5)-Assumptions!$C$37)/Assumptions!$C$40/Assumptions!$C$38</f>
        <v>4.696395779</v>
      </c>
    </row>
    <row r="224" ht="12.0" customHeight="1">
      <c r="B224" s="139">
        <v>172.0</v>
      </c>
      <c r="C224" s="140">
        <f t="shared" si="6"/>
        <v>0.3219224362</v>
      </c>
      <c r="D224" s="141">
        <f t="shared" si="7"/>
        <v>0.09544661217</v>
      </c>
      <c r="E224" s="141">
        <f t="shared" si="8"/>
        <v>0.02363647197</v>
      </c>
      <c r="F224" s="140">
        <f t="shared" si="9"/>
        <v>0.03310089031</v>
      </c>
      <c r="G224" s="141">
        <f t="shared" si="10"/>
        <v>0.03771891201</v>
      </c>
      <c r="H224" s="142">
        <f t="shared" si="11"/>
        <v>1</v>
      </c>
      <c r="I224" s="142">
        <f t="shared" si="12"/>
        <v>1</v>
      </c>
      <c r="J224" s="142">
        <f t="shared" si="13"/>
        <v>0</v>
      </c>
      <c r="K224" s="142">
        <f t="shared" si="14"/>
        <v>1</v>
      </c>
      <c r="L224" s="139">
        <f>Assumptions!$C$6*Assumptions!$C$7*(1+$G224-0.05*(1-1))^1+Assumptions!$C$6*Assumptions!$C$8*(1+Assumptions!$C$11)^1+Assumptions!$C$16*1+Assumptions!$C$6*Assumptions!$C$9*(1+Assumptions!$C$12)^1</f>
        <v>739.1641858</v>
      </c>
      <c r="M224" s="139">
        <f>Assumptions!$C$6*Assumptions!$C$7*(1+$G224-0.05*(1-$H224))^2+Assumptions!$C$6*Assumptions!$C$8*(1+Assumptions!$C$11)^2+Assumptions!$C$16*$H224+Assumptions!$C$6*Assumptions!$C$9*(1+Assumptions!$C$12)^2</f>
        <v>758.9366179</v>
      </c>
      <c r="N224" s="139">
        <f>Assumptions!$C$6*Assumptions!$C$7*(1+$G224-0.05*(1-$I224))^3+Assumptions!$C$6*Assumptions!$C$8*(1+Assumptions!$C$11)^3+Assumptions!$C$16*$I224+Assumptions!$C$6*Assumptions!$C$9*(1+Assumptions!$C$12)^3</f>
        <v>779.3379466</v>
      </c>
      <c r="O224" s="139">
        <f>Assumptions!$C$6*Assumptions!$C$7*(1+$G224-0.05*(1-$J224))^4+Assumptions!$C$6*Assumptions!$C$8*(1+Assumptions!$C$11)^4+Assumptions!$C$16*$J224+Assumptions!$C$6*Assumptions!$C$9*(1+Assumptions!$C$12)^4</f>
        <v>670.4254238</v>
      </c>
      <c r="P224" s="139">
        <f>Assumptions!$C$6*Assumptions!$C$7*(1+$G224-0.05*(1-$K224))^5+Assumptions!$C$6*Assumptions!$C$8*(1+Assumptions!$C$11)^5+Assumptions!$C$16*$K224+Assumptions!$C$6*Assumptions!$C$9*(1+Assumptions!$C$12)^5</f>
        <v>822.1135868</v>
      </c>
      <c r="Q224" s="139">
        <f>($L224*(1-(Assumptions!$C$25+0.06*(1-1))-Assumptions!$C$27)-Assumptions!$C$28)-MAX(0,($L224*(1-(Assumptions!$C$25+0.06*(1-1))-Assumptions!$C$27)-Assumptions!$C$28)*Assumptions!$C$31)+Assumptions!$C$28-Assumptions!$C$29-$L224*Assumptions!$C$30</f>
        <v>91.42029994</v>
      </c>
      <c r="R224" s="139">
        <f>($M224*(1-(Assumptions!$C$25+0.06*(1-$H224))-Assumptions!$C$27)-Assumptions!$C$28)-MAX(0,($M224*(1-(Assumptions!$C$25+0.06*(1-$H224))-Assumptions!$C$27)-Assumptions!$C$28)*Assumptions!$C$31)+Assumptions!$C$28-Assumptions!$C$29-$M224*Assumptions!$C$30</f>
        <v>95.67137284</v>
      </c>
      <c r="S224" s="139">
        <f>($N224*(1-(Assumptions!$C$25+0.06*(1-$I224))-Assumptions!$C$27)-Assumptions!$C$28)-MAX(0,($N224*(1-(Assumptions!$C$25+0.06*(1-$I224))-Assumptions!$C$27)-Assumptions!$C$28)*Assumptions!$C$31)+Assumptions!$C$28-Assumptions!$C$29-$N224*Assumptions!$C$30</f>
        <v>100.0576585</v>
      </c>
      <c r="T224" s="139">
        <f>($O224*(1-(Assumptions!$C$25+0.06*(1-$J224))-Assumptions!$C$27)-Assumptions!$C$28)-MAX(0,($O224*(1-(Assumptions!$C$25+0.06*(1-$J224))-Assumptions!$C$27)-Assumptions!$C$28)*Assumptions!$C$31)+Assumptions!$C$28-Assumptions!$C$29-$O224*Assumptions!$C$30</f>
        <v>34.19784748</v>
      </c>
      <c r="U224" s="139">
        <f>($P224*(1-(Assumptions!$C$25+0.06*(1-$K224))-Assumptions!$C$27)-Assumptions!$C$28)-MAX(0,($P224*(1-(Assumptions!$C$25+0.06*(1-$K224))-Assumptions!$C$27)-Assumptions!$C$28)*Assumptions!$C$31)+Assumptions!$C$28-Assumptions!$C$29-$P224*Assumptions!$C$30</f>
        <v>109.2544212</v>
      </c>
      <c r="V224" s="143">
        <f>(($Q224/(1+$D224)^1+$R224/(1+$D224)^2+$S224/(1+$D224)^3+$T224/(1+$D224)^4+$U224/(1+$D224)^5+$U224*(1+$E224)/($D224-$E224)/(1+$D224)^5)-Assumptions!$C$37)/Assumptions!$C$40/Assumptions!$C$38</f>
        <v>4.900040382</v>
      </c>
    </row>
    <row r="225" ht="12.0" customHeight="1">
      <c r="B225" s="139">
        <v>173.0</v>
      </c>
      <c r="C225" s="140">
        <f t="shared" si="6"/>
        <v>0.7183166779</v>
      </c>
      <c r="D225" s="141">
        <f t="shared" si="7"/>
        <v>0.1024292266</v>
      </c>
      <c r="E225" s="141">
        <f t="shared" si="8"/>
        <v>0.02924288811</v>
      </c>
      <c r="F225" s="140">
        <f t="shared" si="9"/>
        <v>0.4650541012</v>
      </c>
      <c r="G225" s="141">
        <f t="shared" si="10"/>
        <v>0.05893263524</v>
      </c>
      <c r="H225" s="142">
        <f t="shared" si="11"/>
        <v>1</v>
      </c>
      <c r="I225" s="142">
        <f t="shared" si="12"/>
        <v>0</v>
      </c>
      <c r="J225" s="142">
        <f t="shared" si="13"/>
        <v>0</v>
      </c>
      <c r="K225" s="142">
        <f t="shared" si="14"/>
        <v>1</v>
      </c>
      <c r="L225" s="139">
        <f>Assumptions!$C$6*Assumptions!$C$7*(1+$G225-0.05*(1-1))^1+Assumptions!$C$6*Assumptions!$C$8*(1+Assumptions!$C$11)^1+Assumptions!$C$16*1+Assumptions!$C$6*Assumptions!$C$9*(1+Assumptions!$C$12)^1</f>
        <v>746.304725</v>
      </c>
      <c r="M225" s="139">
        <f>Assumptions!$C$6*Assumptions!$C$7*(1+$G225-0.05*(1-$H225))^2+Assumptions!$C$6*Assumptions!$C$8*(1+Assumptions!$C$11)^2+Assumptions!$C$16*$H225+Assumptions!$C$6*Assumptions!$C$9*(1+Assumptions!$C$12)^2</f>
        <v>773.9078405</v>
      </c>
      <c r="N225" s="139">
        <f>Assumptions!$C$6*Assumptions!$C$7*(1+$G225-0.05*(1-$I225))^3+Assumptions!$C$6*Assumptions!$C$8*(1+Assumptions!$C$11)^3+Assumptions!$C$16*$I225+Assumptions!$C$6*Assumptions!$C$9*(1+Assumptions!$C$12)^3</f>
        <v>688.8956561</v>
      </c>
      <c r="O225" s="139">
        <f>Assumptions!$C$6*Assumptions!$C$7*(1+$G225-0.05*(1-$J225))^4+Assumptions!$C$6*Assumptions!$C$8*(1+Assumptions!$C$11)^4+Assumptions!$C$16*$J225+Assumptions!$C$6*Assumptions!$C$9*(1+Assumptions!$C$12)^4</f>
        <v>698.8475703</v>
      </c>
      <c r="P225" s="139">
        <f>Assumptions!$C$6*Assumptions!$C$7*(1+$G225-0.05*(1-$K225))^5+Assumptions!$C$6*Assumptions!$C$8*(1+Assumptions!$C$11)^5+Assumptions!$C$16*$K225+Assumptions!$C$6*Assumptions!$C$9*(1+Assumptions!$C$12)^5</f>
        <v>865.243142</v>
      </c>
      <c r="Q225" s="139">
        <f>($L225*(1-(Assumptions!$C$25+0.06*(1-1))-Assumptions!$C$27)-Assumptions!$C$28)-MAX(0,($L225*(1-(Assumptions!$C$25+0.06*(1-1))-Assumptions!$C$27)-Assumptions!$C$28)*Assumptions!$C$31)+Assumptions!$C$28-Assumptions!$C$29-$L225*Assumptions!$C$30</f>
        <v>92.95551588</v>
      </c>
      <c r="R225" s="139">
        <f>($M225*(1-(Assumptions!$C$25+0.06*(1-$H225))-Assumptions!$C$27)-Assumptions!$C$28)-MAX(0,($M225*(1-(Assumptions!$C$25+0.06*(1-$H225))-Assumptions!$C$27)-Assumptions!$C$28)*Assumptions!$C$31)+Assumptions!$C$28-Assumptions!$C$29-$M225*Assumptions!$C$30</f>
        <v>98.89018571</v>
      </c>
      <c r="S225" s="139">
        <f>($N225*(1-(Assumptions!$C$25+0.06*(1-$I225))-Assumptions!$C$27)-Assumptions!$C$28)-MAX(0,($N225*(1-(Assumptions!$C$25+0.06*(1-$I225))-Assumptions!$C$27)-Assumptions!$C$28)*Assumptions!$C$31)+Assumptions!$C$28-Assumptions!$C$29-$N225*Assumptions!$C$30</f>
        <v>38.44600091</v>
      </c>
      <c r="T225" s="139">
        <f>($O225*(1-(Assumptions!$C$25+0.06*(1-$J225))-Assumptions!$C$27)-Assumptions!$C$28)-MAX(0,($O225*(1-(Assumptions!$C$25+0.06*(1-$J225))-Assumptions!$C$27)-Assumptions!$C$28)*Assumptions!$C$31)+Assumptions!$C$28-Assumptions!$C$29-$O225*Assumptions!$C$30</f>
        <v>40.73494117</v>
      </c>
      <c r="U225" s="139">
        <f>($P225*(1-(Assumptions!$C$25+0.06*(1-$K225))-Assumptions!$C$27)-Assumptions!$C$28)-MAX(0,($P225*(1-(Assumptions!$C$25+0.06*(1-$K225))-Assumptions!$C$27)-Assumptions!$C$28)*Assumptions!$C$31)+Assumptions!$C$28-Assumptions!$C$29-$P225*Assumptions!$C$30</f>
        <v>118.5272755</v>
      </c>
      <c r="V225" s="143">
        <f>(($Q225/(1+$D225)^1+$R225/(1+$D225)^2+$S225/(1+$D225)^3+$T225/(1+$D225)^4+$U225/(1+$D225)^5+$U225*(1+$E225)/($D225-$E225)/(1+$D225)^5)-Assumptions!$C$37)/Assumptions!$C$40/Assumptions!$C$38</f>
        <v>4.890747816</v>
      </c>
    </row>
    <row r="226" ht="12.0" customHeight="1">
      <c r="B226" s="139">
        <v>174.0</v>
      </c>
      <c r="C226" s="140">
        <f t="shared" si="6"/>
        <v>0.2619309065</v>
      </c>
      <c r="D226" s="141">
        <f t="shared" si="7"/>
        <v>0.09442308746</v>
      </c>
      <c r="E226" s="141">
        <f t="shared" si="8"/>
        <v>0.02968755411</v>
      </c>
      <c r="F226" s="140">
        <f t="shared" si="9"/>
        <v>0.3496541826</v>
      </c>
      <c r="G226" s="141">
        <f t="shared" si="10"/>
        <v>0.05508739781</v>
      </c>
      <c r="H226" s="142">
        <f t="shared" si="11"/>
        <v>1</v>
      </c>
      <c r="I226" s="142">
        <f t="shared" si="12"/>
        <v>1</v>
      </c>
      <c r="J226" s="142">
        <f t="shared" si="13"/>
        <v>1</v>
      </c>
      <c r="K226" s="142">
        <f t="shared" si="14"/>
        <v>1</v>
      </c>
      <c r="L226" s="139">
        <f>Assumptions!$C$6*Assumptions!$C$7*(1+$G226-0.05*(1-1))^1+Assumptions!$C$6*Assumptions!$C$8*(1+Assumptions!$C$11)^1+Assumptions!$C$16*1+Assumptions!$C$6*Assumptions!$C$9*(1+Assumptions!$C$12)^1</f>
        <v>745.0104181</v>
      </c>
      <c r="M226" s="139">
        <f>Assumptions!$C$6*Assumptions!$C$7*(1+$G226-0.05*(1-$H226))^2+Assumptions!$C$6*Assumptions!$C$8*(1+Assumptions!$C$11)^2+Assumptions!$C$16*$H226+Assumptions!$C$6*Assumptions!$C$9*(1+Assumptions!$C$12)^2</f>
        <v>771.1716498</v>
      </c>
      <c r="N226" s="139">
        <f>Assumptions!$C$6*Assumptions!$C$7*(1+$G226-0.05*(1-$I226))^3+Assumptions!$C$6*Assumptions!$C$8*(1+Assumptions!$C$11)^3+Assumptions!$C$16*$I226+Assumptions!$C$6*Assumptions!$C$9*(1+Assumptions!$C$12)^3</f>
        <v>798.5425514</v>
      </c>
      <c r="O226" s="139">
        <f>Assumptions!$C$6*Assumptions!$C$7*(1+$G226-0.05*(1-$J226))^4+Assumptions!$C$6*Assumptions!$C$8*(1+Assumptions!$C$11)^4+Assumptions!$C$16*$J226+Assumptions!$C$6*Assumptions!$C$9*(1+Assumptions!$C$12)^4</f>
        <v>827.1851309</v>
      </c>
      <c r="P226" s="139">
        <f>Assumptions!$C$6*Assumptions!$C$7*(1+$G226-0.05*(1-$K226))^5+Assumptions!$C$6*Assumptions!$C$8*(1+Assumptions!$C$11)^5+Assumptions!$C$16*$K226+Assumptions!$C$6*Assumptions!$C$9*(1+Assumptions!$C$12)^5</f>
        <v>857.1647195</v>
      </c>
      <c r="Q226" s="139">
        <f>($L226*(1-(Assumptions!$C$25+0.06*(1-1))-Assumptions!$C$27)-Assumptions!$C$28)-MAX(0,($L226*(1-(Assumptions!$C$25+0.06*(1-1))-Assumptions!$C$27)-Assumptions!$C$28)*Assumptions!$C$31)+Assumptions!$C$28-Assumptions!$C$29-$L226*Assumptions!$C$30</f>
        <v>92.67723989</v>
      </c>
      <c r="R226" s="139">
        <f>($M226*(1-(Assumptions!$C$25+0.06*(1-$H226))-Assumptions!$C$27)-Assumptions!$C$28)-MAX(0,($M226*(1-(Assumptions!$C$25+0.06*(1-$H226))-Assumptions!$C$27)-Assumptions!$C$28)*Assumptions!$C$31)+Assumptions!$C$28-Assumptions!$C$29-$M226*Assumptions!$C$30</f>
        <v>98.3019047</v>
      </c>
      <c r="S226" s="139">
        <f>($N226*(1-(Assumptions!$C$25+0.06*(1-$I226))-Assumptions!$C$27)-Assumptions!$C$28)-MAX(0,($N226*(1-(Assumptions!$C$25+0.06*(1-$I226))-Assumptions!$C$27)-Assumptions!$C$28)*Assumptions!$C$31)+Assumptions!$C$28-Assumptions!$C$29-$N226*Assumptions!$C$30</f>
        <v>104.1866486</v>
      </c>
      <c r="T226" s="139">
        <f>($O226*(1-(Assumptions!$C$25+0.06*(1-$J226))-Assumptions!$C$27)-Assumptions!$C$28)-MAX(0,($O226*(1-(Assumptions!$C$25+0.06*(1-$J226))-Assumptions!$C$27)-Assumptions!$C$28)*Assumptions!$C$31)+Assumptions!$C$28-Assumptions!$C$29-$O226*Assumptions!$C$30</f>
        <v>110.3448031</v>
      </c>
      <c r="U226" s="139">
        <f>($P226*(1-(Assumptions!$C$25+0.06*(1-$K226))-Assumptions!$C$27)-Assumptions!$C$28)-MAX(0,($P226*(1-(Assumptions!$C$25+0.06*(1-$K226))-Assumptions!$C$27)-Assumptions!$C$28)*Assumptions!$C$31)+Assumptions!$C$28-Assumptions!$C$29-$P226*Assumptions!$C$30</f>
        <v>116.7904147</v>
      </c>
      <c r="V226" s="143">
        <f>(($Q226/(1+$D226)^1+$R226/(1+$D226)^2+$S226/(1+$D226)^3+$T226/(1+$D226)^4+$U226/(1+$D226)^5+$U226*(1+$E226)/($D226-$E226)/(1+$D226)^5)-Assumptions!$C$37)/Assumptions!$C$40/Assumptions!$C$38</f>
        <v>6.937663803</v>
      </c>
    </row>
    <row r="227" ht="12.0" customHeight="1">
      <c r="B227" s="139">
        <v>175.0</v>
      </c>
      <c r="C227" s="140">
        <f t="shared" si="6"/>
        <v>0.4362927287</v>
      </c>
      <c r="D227" s="141">
        <f t="shared" si="7"/>
        <v>0.09721686813</v>
      </c>
      <c r="E227" s="141">
        <f t="shared" si="8"/>
        <v>0.02878928236</v>
      </c>
      <c r="F227" s="140">
        <f t="shared" si="9"/>
        <v>0.3746077148</v>
      </c>
      <c r="G227" s="141">
        <f t="shared" si="10"/>
        <v>0.0559671694</v>
      </c>
      <c r="H227" s="142">
        <f t="shared" si="11"/>
        <v>0</v>
      </c>
      <c r="I227" s="142">
        <f t="shared" si="12"/>
        <v>1</v>
      </c>
      <c r="J227" s="142">
        <f t="shared" si="13"/>
        <v>1</v>
      </c>
      <c r="K227" s="142">
        <f t="shared" si="14"/>
        <v>1</v>
      </c>
      <c r="L227" s="139">
        <f>Assumptions!$C$6*Assumptions!$C$7*(1+$G227-0.05*(1-1))^1+Assumptions!$C$6*Assumptions!$C$8*(1+Assumptions!$C$11)^1+Assumptions!$C$16*1+Assumptions!$C$6*Assumptions!$C$9*(1+Assumptions!$C$12)^1</f>
        <v>745.3065492</v>
      </c>
      <c r="M227" s="139">
        <f>Assumptions!$C$6*Assumptions!$C$7*(1+$G227-0.05*(1-$H227))^2+Assumptions!$C$6*Assumptions!$C$8*(1+Assumptions!$C$11)^2+Assumptions!$C$16*$H227+Assumptions!$C$6*Assumptions!$C$9*(1+Assumptions!$C$12)^2</f>
        <v>677.0944438</v>
      </c>
      <c r="N227" s="139">
        <f>Assumptions!$C$6*Assumptions!$C$7*(1+$G227-0.05*(1-$I227))^3+Assumptions!$C$6*Assumptions!$C$8*(1+Assumptions!$C$11)^3+Assumptions!$C$16*$I227+Assumptions!$C$6*Assumptions!$C$9*(1+Assumptions!$C$12)^3</f>
        <v>799.5323441</v>
      </c>
      <c r="O227" s="139">
        <f>Assumptions!$C$6*Assumptions!$C$7*(1+$G227-0.05*(1-$J227))^4+Assumptions!$C$6*Assumptions!$C$8*(1+Assumptions!$C$11)^4+Assumptions!$C$16*$J227+Assumptions!$C$6*Assumptions!$C$9*(1+Assumptions!$C$12)^4</f>
        <v>828.5781354</v>
      </c>
      <c r="P227" s="139">
        <f>Assumptions!$C$6*Assumptions!$C$7*(1+$G227-0.05*(1-$K227))^5+Assumptions!$C$6*Assumptions!$C$8*(1+Assumptions!$C$11)^5+Assumptions!$C$16*$K227+Assumptions!$C$6*Assumptions!$C$9*(1+Assumptions!$C$12)^5</f>
        <v>859.0026625</v>
      </c>
      <c r="Q227" s="139">
        <f>($L227*(1-(Assumptions!$C$25+0.06*(1-1))-Assumptions!$C$27)-Assumptions!$C$28)-MAX(0,($L227*(1-(Assumptions!$C$25+0.06*(1-1))-Assumptions!$C$27)-Assumptions!$C$28)*Assumptions!$C$31)+Assumptions!$C$28-Assumptions!$C$29-$L227*Assumptions!$C$30</f>
        <v>92.74090808</v>
      </c>
      <c r="R227" s="139">
        <f>($M227*(1-(Assumptions!$C$25+0.06*(1-$H227))-Assumptions!$C$27)-Assumptions!$C$28)-MAX(0,($M227*(1-(Assumptions!$C$25+0.06*(1-$H227))-Assumptions!$C$27)-Assumptions!$C$28)*Assumptions!$C$31)+Assumptions!$C$28-Assumptions!$C$29-$M227*Assumptions!$C$30</f>
        <v>35.73172207</v>
      </c>
      <c r="S227" s="139">
        <f>($N227*(1-(Assumptions!$C$25+0.06*(1-$I227))-Assumptions!$C$27)-Assumptions!$C$28)-MAX(0,($N227*(1-(Assumptions!$C$25+0.06*(1-$I227))-Assumptions!$C$27)-Assumptions!$C$28)*Assumptions!$C$31)+Assumptions!$C$28-Assumptions!$C$29-$N227*Assumptions!$C$30</f>
        <v>104.399454</v>
      </c>
      <c r="T227" s="139">
        <f>($O227*(1-(Assumptions!$C$25+0.06*(1-$J227))-Assumptions!$C$27)-Assumptions!$C$28)-MAX(0,($O227*(1-(Assumptions!$C$25+0.06*(1-$J227))-Assumptions!$C$27)-Assumptions!$C$28)*Assumptions!$C$31)+Assumptions!$C$28-Assumptions!$C$29-$O227*Assumptions!$C$30</f>
        <v>110.6442991</v>
      </c>
      <c r="U227" s="139">
        <f>($P227*(1-(Assumptions!$C$25+0.06*(1-$K227))-Assumptions!$C$27)-Assumptions!$C$28)-MAX(0,($P227*(1-(Assumptions!$C$25+0.06*(1-$K227))-Assumptions!$C$27)-Assumptions!$C$28)*Assumptions!$C$31)+Assumptions!$C$28-Assumptions!$C$29-$P227*Assumptions!$C$30</f>
        <v>117.1855724</v>
      </c>
      <c r="V227" s="143">
        <f>(($Q227/(1+$D227)^1+$R227/(1+$D227)^2+$S227/(1+$D227)^3+$T227/(1+$D227)^4+$U227/(1+$D227)^5+$U227*(1+$E227)/($D227-$E227)/(1+$D227)^5)-Assumptions!$C$37)/Assumptions!$C$40/Assumptions!$C$38</f>
        <v>5.927013516</v>
      </c>
    </row>
    <row r="228" ht="12.0" customHeight="1">
      <c r="B228" s="139">
        <v>176.0</v>
      </c>
      <c r="C228" s="140">
        <f t="shared" si="6"/>
        <v>0.4720957411</v>
      </c>
      <c r="D228" s="141">
        <f t="shared" si="7"/>
        <v>0.09779086611</v>
      </c>
      <c r="E228" s="141">
        <f t="shared" si="8"/>
        <v>0.02715560444</v>
      </c>
      <c r="F228" s="140">
        <f t="shared" si="9"/>
        <v>0.7417932624</v>
      </c>
      <c r="G228" s="141">
        <f t="shared" si="10"/>
        <v>0.06844142566</v>
      </c>
      <c r="H228" s="142">
        <f t="shared" si="11"/>
        <v>1</v>
      </c>
      <c r="I228" s="142">
        <f t="shared" si="12"/>
        <v>1</v>
      </c>
      <c r="J228" s="142">
        <f t="shared" si="13"/>
        <v>1</v>
      </c>
      <c r="K228" s="142">
        <f t="shared" si="14"/>
        <v>0</v>
      </c>
      <c r="L228" s="139">
        <f>Assumptions!$C$6*Assumptions!$C$7*(1+$G228-0.05*(1-1))^1+Assumptions!$C$6*Assumptions!$C$8*(1+Assumptions!$C$11)^1+Assumptions!$C$16*1+Assumptions!$C$6*Assumptions!$C$9*(1+Assumptions!$C$12)^1</f>
        <v>749.5053839</v>
      </c>
      <c r="M228" s="139">
        <f>Assumptions!$C$6*Assumptions!$C$7*(1+$G228-0.05*(1-$H228))^2+Assumptions!$C$6*Assumptions!$C$8*(1+Assumptions!$C$11)^2+Assumptions!$C$16*$H228+Assumptions!$C$6*Assumptions!$C$9*(1+Assumptions!$C$12)^2</f>
        <v>780.7168391</v>
      </c>
      <c r="N228" s="139">
        <f>Assumptions!$C$6*Assumptions!$C$7*(1+$G228-0.05*(1-$I228))^3+Assumptions!$C$6*Assumptions!$C$8*(1+Assumptions!$C$11)^3+Assumptions!$C$16*$I228+Assumptions!$C$6*Assumptions!$C$9*(1+Assumptions!$C$12)^3</f>
        <v>813.7448654</v>
      </c>
      <c r="O228" s="139">
        <f>Assumptions!$C$6*Assumptions!$C$7*(1+$G228-0.05*(1-$J228))^4+Assumptions!$C$6*Assumptions!$C$8*(1+Assumptions!$C$11)^4+Assumptions!$C$16*$J228+Assumptions!$C$6*Assumptions!$C$9*(1+Assumptions!$C$12)^4</f>
        <v>848.7073996</v>
      </c>
      <c r="P228" s="139">
        <f>Assumptions!$C$6*Assumptions!$C$7*(1+$G228-0.05*(1-$K228))^5+Assumptions!$C$6*Assumptions!$C$8*(1+Assumptions!$C$11)^5+Assumptions!$C$16*$K228+Assumptions!$C$6*Assumptions!$C$9*(1+Assumptions!$C$12)^5</f>
        <v>725.862687</v>
      </c>
      <c r="Q228" s="139">
        <f>($L228*(1-(Assumptions!$C$25+0.06*(1-1))-Assumptions!$C$27)-Assumptions!$C$28)-MAX(0,($L228*(1-(Assumptions!$C$25+0.06*(1-1))-Assumptions!$C$27)-Assumptions!$C$28)*Assumptions!$C$31)+Assumptions!$C$28-Assumptions!$C$29-$L228*Assumptions!$C$30</f>
        <v>93.64365753</v>
      </c>
      <c r="R228" s="139">
        <f>($M228*(1-(Assumptions!$C$25+0.06*(1-$H228))-Assumptions!$C$27)-Assumptions!$C$28)-MAX(0,($M228*(1-(Assumptions!$C$25+0.06*(1-$H228))-Assumptions!$C$27)-Assumptions!$C$28)*Assumptions!$C$31)+Assumptions!$C$28-Assumptions!$C$29-$M228*Assumptions!$C$30</f>
        <v>100.3541204</v>
      </c>
      <c r="S228" s="139">
        <f>($N228*(1-(Assumptions!$C$25+0.06*(1-$I228))-Assumptions!$C$27)-Assumptions!$C$28)-MAX(0,($N228*(1-(Assumptions!$C$25+0.06*(1-$I228))-Assumptions!$C$27)-Assumptions!$C$28)*Assumptions!$C$31)+Assumptions!$C$28-Assumptions!$C$29-$N228*Assumptions!$C$30</f>
        <v>107.4551461</v>
      </c>
      <c r="T228" s="139">
        <f>($O228*(1-(Assumptions!$C$25+0.06*(1-$J228))-Assumptions!$C$27)-Assumptions!$C$28)-MAX(0,($O228*(1-(Assumptions!$C$25+0.06*(1-$J228))-Assumptions!$C$27)-Assumptions!$C$28)*Assumptions!$C$31)+Assumptions!$C$28-Assumptions!$C$29-$O228*Assumptions!$C$30</f>
        <v>114.9720909</v>
      </c>
      <c r="U228" s="139">
        <f>($P228*(1-(Assumptions!$C$25+0.06*(1-$K228))-Assumptions!$C$27)-Assumptions!$C$28)-MAX(0,($P228*(1-(Assumptions!$C$25+0.06*(1-$K228))-Assumptions!$C$27)-Assumptions!$C$28)*Assumptions!$C$31)+Assumptions!$C$28-Assumptions!$C$29-$P228*Assumptions!$C$30</f>
        <v>46.94841802</v>
      </c>
      <c r="V228" s="143">
        <f>(($Q228/(1+$D228)^1+$R228/(1+$D228)^2+$S228/(1+$D228)^3+$T228/(1+$D228)^4+$U228/(1+$D228)^5+$U228*(1+$E228)/($D228-$E228)/(1+$D228)^5)-Assumptions!$C$37)/Assumptions!$C$40/Assumptions!$C$38</f>
        <v>0.7405388412</v>
      </c>
    </row>
    <row r="229" ht="12.0" customHeight="1">
      <c r="B229" s="139">
        <v>177.0</v>
      </c>
      <c r="C229" s="140">
        <f t="shared" si="6"/>
        <v>0.7251810498</v>
      </c>
      <c r="D229" s="141">
        <f t="shared" si="7"/>
        <v>0.1025833406</v>
      </c>
      <c r="E229" s="141">
        <f t="shared" si="8"/>
        <v>0.01705453904</v>
      </c>
      <c r="F229" s="140">
        <f t="shared" si="9"/>
        <v>0.5593691852</v>
      </c>
      <c r="G229" s="141">
        <f t="shared" si="10"/>
        <v>0.06183733914</v>
      </c>
      <c r="H229" s="142">
        <f t="shared" si="11"/>
        <v>0</v>
      </c>
      <c r="I229" s="142">
        <f t="shared" si="12"/>
        <v>1</v>
      </c>
      <c r="J229" s="142">
        <f t="shared" si="13"/>
        <v>1</v>
      </c>
      <c r="K229" s="142">
        <f t="shared" si="14"/>
        <v>0</v>
      </c>
      <c r="L229" s="139">
        <f>Assumptions!$C$6*Assumptions!$C$7*(1+$G229-0.05*(1-1))^1+Assumptions!$C$6*Assumptions!$C$8*(1+Assumptions!$C$11)^1+Assumptions!$C$16*1+Assumptions!$C$6*Assumptions!$C$9*(1+Assumptions!$C$12)^1</f>
        <v>747.2824484</v>
      </c>
      <c r="M229" s="139">
        <f>Assumptions!$C$6*Assumptions!$C$7*(1+$G229-0.05*(1-$H229))^2+Assumptions!$C$6*Assumptions!$C$8*(1+Assumptions!$C$11)^2+Assumptions!$C$16*$H229+Assumptions!$C$6*Assumptions!$C$9*(1+Assumptions!$C$12)^2</f>
        <v>681.081422</v>
      </c>
      <c r="N229" s="139">
        <f>Assumptions!$C$6*Assumptions!$C$7*(1+$G229-0.05*(1-$I229))^3+Assumptions!$C$6*Assumptions!$C$8*(1+Assumptions!$C$11)^3+Assumptions!$C$16*$I229+Assumptions!$C$6*Assumptions!$C$9*(1+Assumptions!$C$12)^3</f>
        <v>806.178934</v>
      </c>
      <c r="O229" s="139">
        <f>Assumptions!$C$6*Assumptions!$C$7*(1+$G229-0.05*(1-$J229))^4+Assumptions!$C$6*Assumptions!$C$8*(1+Assumptions!$C$11)^4+Assumptions!$C$16*$J229+Assumptions!$C$6*Assumptions!$C$9*(1+Assumptions!$C$12)^4</f>
        <v>837.9623022</v>
      </c>
      <c r="P229" s="139">
        <f>Assumptions!$C$6*Assumptions!$C$7*(1+$G229-0.05*(1-$K229))^5+Assumptions!$C$6*Assumptions!$C$8*(1+Assumptions!$C$11)^5+Assumptions!$C$16*$K229+Assumptions!$C$6*Assumptions!$C$9*(1+Assumptions!$C$12)^5</f>
        <v>714.0592424</v>
      </c>
      <c r="Q229" s="139">
        <f>($L229*(1-(Assumptions!$C$25+0.06*(1-1))-Assumptions!$C$27)-Assumptions!$C$28)-MAX(0,($L229*(1-(Assumptions!$C$25+0.06*(1-1))-Assumptions!$C$27)-Assumptions!$C$28)*Assumptions!$C$31)+Assumptions!$C$28-Assumptions!$C$29-$L229*Assumptions!$C$30</f>
        <v>93.1657264</v>
      </c>
      <c r="R229" s="139">
        <f>($M229*(1-(Assumptions!$C$25+0.06*(1-$H229))-Assumptions!$C$27)-Assumptions!$C$28)-MAX(0,($M229*(1-(Assumptions!$C$25+0.06*(1-$H229))-Assumptions!$C$27)-Assumptions!$C$28)*Assumptions!$C$31)+Assumptions!$C$28-Assumptions!$C$29-$M229*Assumptions!$C$30</f>
        <v>36.64872705</v>
      </c>
      <c r="S229" s="139">
        <f>($N229*(1-(Assumptions!$C$25+0.06*(1-$I229))-Assumptions!$C$27)-Assumptions!$C$28)-MAX(0,($N229*(1-(Assumptions!$C$25+0.06*(1-$I229))-Assumptions!$C$27)-Assumptions!$C$28)*Assumptions!$C$31)+Assumptions!$C$28-Assumptions!$C$29-$N229*Assumptions!$C$30</f>
        <v>105.8284708</v>
      </c>
      <c r="T229" s="139">
        <f>($O229*(1-(Assumptions!$C$25+0.06*(1-$J229))-Assumptions!$C$27)-Assumptions!$C$28)-MAX(0,($O229*(1-(Assumptions!$C$25+0.06*(1-$J229))-Assumptions!$C$27)-Assumptions!$C$28)*Assumptions!$C$31)+Assumptions!$C$28-Assumptions!$C$29-$O229*Assumptions!$C$30</f>
        <v>112.661895</v>
      </c>
      <c r="U229" s="139">
        <f>($P229*(1-(Assumptions!$C$25+0.06*(1-$K229))-Assumptions!$C$27)-Assumptions!$C$28)-MAX(0,($P229*(1-(Assumptions!$C$25+0.06*(1-$K229))-Assumptions!$C$27)-Assumptions!$C$28)*Assumptions!$C$31)+Assumptions!$C$28-Assumptions!$C$29-$P229*Assumptions!$C$30</f>
        <v>44.23362576</v>
      </c>
      <c r="V229" s="143">
        <f>(($Q229/(1+$D229)^1+$R229/(1+$D229)^2+$S229/(1+$D229)^3+$T229/(1+$D229)^4+$U229/(1+$D229)^5+$U229*(1+$E229)/($D229-$E229)/(1+$D229)^5)-Assumptions!$C$37)/Assumptions!$C$40/Assumptions!$C$38</f>
        <v>-0.5613494038</v>
      </c>
    </row>
    <row r="230" ht="12.0" customHeight="1">
      <c r="B230" s="139">
        <v>178.0</v>
      </c>
      <c r="C230" s="140">
        <f t="shared" si="6"/>
        <v>0.3561305251</v>
      </c>
      <c r="D230" s="141">
        <f t="shared" si="7"/>
        <v>0.09598764069</v>
      </c>
      <c r="E230" s="141">
        <f t="shared" si="8"/>
        <v>0.01870041134</v>
      </c>
      <c r="F230" s="140">
        <f t="shared" si="9"/>
        <v>0.5035087203</v>
      </c>
      <c r="G230" s="141">
        <f t="shared" si="10"/>
        <v>0.06010544693</v>
      </c>
      <c r="H230" s="142">
        <f t="shared" si="11"/>
        <v>0</v>
      </c>
      <c r="I230" s="142">
        <f t="shared" si="12"/>
        <v>1</v>
      </c>
      <c r="J230" s="142">
        <f t="shared" si="13"/>
        <v>0</v>
      </c>
      <c r="K230" s="142">
        <f t="shared" si="14"/>
        <v>1</v>
      </c>
      <c r="L230" s="139">
        <f>Assumptions!$C$6*Assumptions!$C$7*(1+$G230-0.05*(1-1))^1+Assumptions!$C$6*Assumptions!$C$8*(1+Assumptions!$C$11)^1+Assumptions!$C$16*1+Assumptions!$C$6*Assumptions!$C$9*(1+Assumptions!$C$12)^1</f>
        <v>746.6994934</v>
      </c>
      <c r="M230" s="139">
        <f>Assumptions!$C$6*Assumptions!$C$7*(1+$G230-0.05*(1-$H230))^2+Assumptions!$C$6*Assumptions!$C$8*(1+Assumptions!$C$11)^2+Assumptions!$C$16*$H230+Assumptions!$C$6*Assumptions!$C$9*(1+Assumptions!$C$12)^2</f>
        <v>679.9027205</v>
      </c>
      <c r="N230" s="139">
        <f>Assumptions!$C$6*Assumptions!$C$7*(1+$G230-0.05*(1-$I230))^3+Assumptions!$C$6*Assumptions!$C$8*(1+Assumptions!$C$11)^3+Assumptions!$C$16*$I230+Assumptions!$C$6*Assumptions!$C$9*(1+Assumptions!$C$12)^3</f>
        <v>804.210306</v>
      </c>
      <c r="O230" s="139">
        <f>Assumptions!$C$6*Assumptions!$C$7*(1+$G230-0.05*(1-$J230))^4+Assumptions!$C$6*Assumptions!$C$8*(1+Assumptions!$C$11)^4+Assumptions!$C$16*$J230+Assumptions!$C$6*Assumptions!$C$9*(1+Assumptions!$C$12)^4</f>
        <v>700.4721689</v>
      </c>
      <c r="P230" s="139">
        <f>Assumptions!$C$6*Assumptions!$C$7*(1+$G230-0.05*(1-$K230))^5+Assumptions!$C$6*Assumptions!$C$8*(1+Assumptions!$C$11)^5+Assumptions!$C$16*$K230+Assumptions!$C$6*Assumptions!$C$9*(1+Assumptions!$C$12)^5</f>
        <v>867.730554</v>
      </c>
      <c r="Q230" s="139">
        <f>($L230*(1-(Assumptions!$C$25+0.06*(1-1))-Assumptions!$C$27)-Assumptions!$C$28)-MAX(0,($L230*(1-(Assumptions!$C$25+0.06*(1-1))-Assumptions!$C$27)-Assumptions!$C$28)*Assumptions!$C$31)+Assumptions!$C$28-Assumptions!$C$29-$L230*Assumptions!$C$30</f>
        <v>93.04039109</v>
      </c>
      <c r="R230" s="139">
        <f>($M230*(1-(Assumptions!$C$25+0.06*(1-$H230))-Assumptions!$C$27)-Assumptions!$C$28)-MAX(0,($M230*(1-(Assumptions!$C$25+0.06*(1-$H230))-Assumptions!$C$27)-Assumptions!$C$28)*Assumptions!$C$31)+Assumptions!$C$28-Assumptions!$C$29-$M230*Assumptions!$C$30</f>
        <v>36.37762571</v>
      </c>
      <c r="S230" s="139">
        <f>($N230*(1-(Assumptions!$C$25+0.06*(1-$I230))-Assumptions!$C$27)-Assumptions!$C$28)-MAX(0,($N230*(1-(Assumptions!$C$25+0.06*(1-$I230))-Assumptions!$C$27)-Assumptions!$C$28)*Assumptions!$C$31)+Assumptions!$C$28-Assumptions!$C$29-$N230*Assumptions!$C$30</f>
        <v>105.4052158</v>
      </c>
      <c r="T230" s="139">
        <f>($O230*(1-(Assumptions!$C$25+0.06*(1-$J230))-Assumptions!$C$27)-Assumptions!$C$28)-MAX(0,($O230*(1-(Assumptions!$C$25+0.06*(1-$J230))-Assumptions!$C$27)-Assumptions!$C$28)*Assumptions!$C$31)+Assumptions!$C$28-Assumptions!$C$29-$O230*Assumptions!$C$30</f>
        <v>41.10859885</v>
      </c>
      <c r="U230" s="139">
        <f>($P230*(1-(Assumptions!$C$25+0.06*(1-$K230))-Assumptions!$C$27)-Assumptions!$C$28)-MAX(0,($P230*(1-(Assumptions!$C$25+0.06*(1-$K230))-Assumptions!$C$27)-Assumptions!$C$28)*Assumptions!$C$31)+Assumptions!$C$28-Assumptions!$C$29-$P230*Assumptions!$C$30</f>
        <v>119.0620691</v>
      </c>
      <c r="V230" s="143">
        <f>(($Q230/(1+$D230)^1+$R230/(1+$D230)^2+$S230/(1+$D230)^3+$T230/(1+$D230)^4+$U230/(1+$D230)^5+$U230*(1+$E230)/($D230-$E230)/(1+$D230)^5)-Assumptions!$C$37)/Assumptions!$C$40/Assumptions!$C$38</f>
        <v>4.680177229</v>
      </c>
    </row>
    <row r="231" ht="12.0" customHeight="1">
      <c r="B231" s="139">
        <v>179.0</v>
      </c>
      <c r="C231" s="140">
        <f t="shared" si="6"/>
        <v>0.415104193</v>
      </c>
      <c r="D231" s="141">
        <f t="shared" si="7"/>
        <v>0.09688573635</v>
      </c>
      <c r="E231" s="141">
        <f t="shared" si="8"/>
        <v>0.02658072129</v>
      </c>
      <c r="F231" s="140">
        <f t="shared" si="9"/>
        <v>0.5850392759</v>
      </c>
      <c r="G231" s="141">
        <f t="shared" si="10"/>
        <v>0.06266999262</v>
      </c>
      <c r="H231" s="142">
        <f t="shared" si="11"/>
        <v>0</v>
      </c>
      <c r="I231" s="142">
        <f t="shared" si="12"/>
        <v>1</v>
      </c>
      <c r="J231" s="142">
        <f t="shared" si="13"/>
        <v>0</v>
      </c>
      <c r="K231" s="142">
        <f t="shared" si="14"/>
        <v>1</v>
      </c>
      <c r="L231" s="139">
        <f>Assumptions!$C$6*Assumptions!$C$7*(1+$G231-0.05*(1-1))^1+Assumptions!$C$6*Assumptions!$C$8*(1+Assumptions!$C$11)^1+Assumptions!$C$16*1+Assumptions!$C$6*Assumptions!$C$9*(1+Assumptions!$C$12)^1</f>
        <v>747.5627195</v>
      </c>
      <c r="M231" s="139">
        <f>Assumptions!$C$6*Assumptions!$C$7*(1+$G231-0.05*(1-$H231))^2+Assumptions!$C$6*Assumptions!$C$8*(1+Assumptions!$C$11)^2+Assumptions!$C$16*$H231+Assumptions!$C$6*Assumptions!$C$9*(1+Assumptions!$C$12)^2</f>
        <v>681.648833</v>
      </c>
      <c r="N231" s="139">
        <f>Assumptions!$C$6*Assumptions!$C$7*(1+$G231-0.05*(1-$I231))^3+Assumptions!$C$6*Assumptions!$C$8*(1+Assumptions!$C$11)^3+Assumptions!$C$16*$I231+Assumptions!$C$6*Assumptions!$C$9*(1+Assumptions!$C$12)^3</f>
        <v>807.1276936</v>
      </c>
      <c r="O231" s="139">
        <f>Assumptions!$C$6*Assumptions!$C$7*(1+$G231-0.05*(1-$J231))^4+Assumptions!$C$6*Assumptions!$C$8*(1+Assumptions!$C$11)^4+Assumptions!$C$16*$J231+Assumptions!$C$6*Assumptions!$C$9*(1+Assumptions!$C$12)^4</f>
        <v>704.0443895</v>
      </c>
      <c r="P231" s="139">
        <f>Assumptions!$C$6*Assumptions!$C$7*(1+$G231-0.05*(1-$K231))^5+Assumptions!$C$6*Assumptions!$C$8*(1+Assumptions!$C$11)^5+Assumptions!$C$16*$K231+Assumptions!$C$6*Assumptions!$C$9*(1+Assumptions!$C$12)^5</f>
        <v>873.208176</v>
      </c>
      <c r="Q231" s="139">
        <f>($L231*(1-(Assumptions!$C$25+0.06*(1-1))-Assumptions!$C$27)-Assumptions!$C$28)-MAX(0,($L231*(1-(Assumptions!$C$25+0.06*(1-1))-Assumptions!$C$27)-Assumptions!$C$28)*Assumptions!$C$31)+Assumptions!$C$28-Assumptions!$C$29-$L231*Assumptions!$C$30</f>
        <v>93.2259847</v>
      </c>
      <c r="R231" s="139">
        <f>($M231*(1-(Assumptions!$C$25+0.06*(1-$H231))-Assumptions!$C$27)-Assumptions!$C$28)-MAX(0,($M231*(1-(Assumptions!$C$25+0.06*(1-$H231))-Assumptions!$C$27)-Assumptions!$C$28)*Assumptions!$C$31)+Assumptions!$C$28-Assumptions!$C$29-$M231*Assumptions!$C$30</f>
        <v>36.77923159</v>
      </c>
      <c r="S231" s="139">
        <f>($N231*(1-(Assumptions!$C$25+0.06*(1-$I231))-Assumptions!$C$27)-Assumptions!$C$28)-MAX(0,($N231*(1-(Assumptions!$C$25+0.06*(1-$I231))-Assumptions!$C$27)-Assumptions!$C$28)*Assumptions!$C$31)+Assumptions!$C$28-Assumptions!$C$29-$N231*Assumptions!$C$30</f>
        <v>106.0324541</v>
      </c>
      <c r="T231" s="139">
        <f>($O231*(1-(Assumptions!$C$25+0.06*(1-$J231))-Assumptions!$C$27)-Assumptions!$C$28)-MAX(0,($O231*(1-(Assumptions!$C$25+0.06*(1-$J231))-Assumptions!$C$27)-Assumptions!$C$28)*Assumptions!$C$31)+Assumptions!$C$28-Assumptions!$C$29-$O231*Assumptions!$C$30</f>
        <v>41.93020959</v>
      </c>
      <c r="U231" s="139">
        <f>($P231*(1-(Assumptions!$C$25+0.06*(1-$K231))-Assumptions!$C$27)-Assumptions!$C$28)-MAX(0,($P231*(1-(Assumptions!$C$25+0.06*(1-$K231))-Assumptions!$C$27)-Assumptions!$C$28)*Assumptions!$C$31)+Assumptions!$C$28-Assumptions!$C$29-$P231*Assumptions!$C$30</f>
        <v>120.2397578</v>
      </c>
      <c r="V231" s="143">
        <f>(($Q231/(1+$D231)^1+$R231/(1+$D231)^2+$S231/(1+$D231)^3+$T231/(1+$D231)^4+$U231/(1+$D231)^5+$U231*(1+$E231)/($D231-$E231)/(1+$D231)^5)-Assumptions!$C$37)/Assumptions!$C$40/Assumptions!$C$38</f>
        <v>5.576889188</v>
      </c>
    </row>
    <row r="232" ht="12.0" customHeight="1">
      <c r="B232" s="139">
        <v>180.0</v>
      </c>
      <c r="C232" s="140">
        <f t="shared" si="6"/>
        <v>0.7910807284</v>
      </c>
      <c r="D232" s="141">
        <f t="shared" si="7"/>
        <v>0.1041739337</v>
      </c>
      <c r="E232" s="141">
        <f t="shared" si="8"/>
        <v>0.01732049053</v>
      </c>
      <c r="F232" s="140">
        <f t="shared" si="9"/>
        <v>0.8111781077</v>
      </c>
      <c r="G232" s="141">
        <f t="shared" si="10"/>
        <v>0.07156418143</v>
      </c>
      <c r="H232" s="142">
        <f t="shared" si="11"/>
        <v>1</v>
      </c>
      <c r="I232" s="142">
        <f t="shared" si="12"/>
        <v>1</v>
      </c>
      <c r="J232" s="142">
        <f t="shared" si="13"/>
        <v>1</v>
      </c>
      <c r="K232" s="142">
        <f t="shared" si="14"/>
        <v>0</v>
      </c>
      <c r="L232" s="139">
        <f>Assumptions!$C$6*Assumptions!$C$7*(1+$G232-0.05*(1-1))^1+Assumptions!$C$6*Assumptions!$C$8*(1+Assumptions!$C$11)^1+Assumptions!$C$16*1+Assumptions!$C$6*Assumptions!$C$9*(1+Assumptions!$C$12)^1</f>
        <v>750.5565035</v>
      </c>
      <c r="M232" s="139">
        <f>Assumptions!$C$6*Assumptions!$C$7*(1+$G232-0.05*(1-$H232))^2+Assumptions!$C$6*Assumptions!$C$8*(1+Assumptions!$C$11)^2+Assumptions!$C$16*$H232+Assumptions!$C$6*Assumptions!$C$9*(1+Assumptions!$C$12)^2</f>
        <v>782.966241</v>
      </c>
      <c r="N232" s="139">
        <f>Assumptions!$C$6*Assumptions!$C$7*(1+$G232-0.05*(1-$I232))^3+Assumptions!$C$6*Assumptions!$C$8*(1+Assumptions!$C$11)^3+Assumptions!$C$16*$I232+Assumptions!$C$6*Assumptions!$C$9*(1+Assumptions!$C$12)^3</f>
        <v>817.3551673</v>
      </c>
      <c r="O232" s="139">
        <f>Assumptions!$C$6*Assumptions!$C$7*(1+$G232-0.05*(1-$J232))^4+Assumptions!$C$6*Assumptions!$C$8*(1+Assumptions!$C$11)^4+Assumptions!$C$16*$J232+Assumptions!$C$6*Assumptions!$C$9*(1+Assumptions!$C$12)^4</f>
        <v>853.8581179</v>
      </c>
      <c r="P232" s="139">
        <f>Assumptions!$C$6*Assumptions!$C$7*(1+$G232-0.05*(1-$K232))^5+Assumptions!$C$6*Assumptions!$C$8*(1+Assumptions!$C$11)^5+Assumptions!$C$16*$K232+Assumptions!$C$6*Assumptions!$C$9*(1+Assumptions!$C$12)^5</f>
        <v>731.5516045</v>
      </c>
      <c r="Q232" s="139">
        <f>($L232*(1-(Assumptions!$C$25+0.06*(1-1))-Assumptions!$C$27)-Assumptions!$C$28)-MAX(0,($L232*(1-(Assumptions!$C$25+0.06*(1-1))-Assumptions!$C$27)-Assumptions!$C$28)*Assumptions!$C$31)+Assumptions!$C$28-Assumptions!$C$29-$L232*Assumptions!$C$30</f>
        <v>93.86964825</v>
      </c>
      <c r="R232" s="139">
        <f>($M232*(1-(Assumptions!$C$25+0.06*(1-$H232))-Assumptions!$C$27)-Assumptions!$C$28)-MAX(0,($M232*(1-(Assumptions!$C$25+0.06*(1-$H232))-Assumptions!$C$27)-Assumptions!$C$28)*Assumptions!$C$31)+Assumptions!$C$28-Assumptions!$C$29-$M232*Assumptions!$C$30</f>
        <v>100.8377418</v>
      </c>
      <c r="S232" s="139">
        <f>($N232*(1-(Assumptions!$C$25+0.06*(1-$I232))-Assumptions!$C$27)-Assumptions!$C$28)-MAX(0,($N232*(1-(Assumptions!$C$25+0.06*(1-$I232))-Assumptions!$C$27)-Assumptions!$C$28)*Assumptions!$C$31)+Assumptions!$C$28-Assumptions!$C$29-$N232*Assumptions!$C$30</f>
        <v>108.231361</v>
      </c>
      <c r="T232" s="139">
        <f>($O232*(1-(Assumptions!$C$25+0.06*(1-$J232))-Assumptions!$C$27)-Assumptions!$C$28)-MAX(0,($O232*(1-(Assumptions!$C$25+0.06*(1-$J232))-Assumptions!$C$27)-Assumptions!$C$28)*Assumptions!$C$31)+Assumptions!$C$28-Assumptions!$C$29-$O232*Assumptions!$C$30</f>
        <v>116.0794953</v>
      </c>
      <c r="U232" s="139">
        <f>($P232*(1-(Assumptions!$C$25+0.06*(1-$K232))-Assumptions!$C$27)-Assumptions!$C$28)-MAX(0,($P232*(1-(Assumptions!$C$25+0.06*(1-$K232))-Assumptions!$C$27)-Assumptions!$C$28)*Assumptions!$C$31)+Assumptions!$C$28-Assumptions!$C$29-$P232*Assumptions!$C$30</f>
        <v>48.25686904</v>
      </c>
      <c r="V232" s="143">
        <f>(($Q232/(1+$D232)^1+$R232/(1+$D232)^2+$S232/(1+$D232)^3+$T232/(1+$D232)^4+$U232/(1+$D232)^5+$U232*(1+$E232)/($D232-$E232)/(1+$D232)^5)-Assumptions!$C$37)/Assumptions!$C$40/Assumptions!$C$38</f>
        <v>0.0647399708</v>
      </c>
    </row>
    <row r="233" ht="12.0" customHeight="1">
      <c r="B233" s="139">
        <v>181.0</v>
      </c>
      <c r="C233" s="140">
        <f t="shared" si="6"/>
        <v>0.8042072565</v>
      </c>
      <c r="D233" s="141">
        <f t="shared" si="7"/>
        <v>0.1045195549</v>
      </c>
      <c r="E233" s="141">
        <f t="shared" si="8"/>
        <v>0.01447980162</v>
      </c>
      <c r="F233" s="140">
        <f t="shared" si="9"/>
        <v>0.2265349676</v>
      </c>
      <c r="G233" s="141">
        <f t="shared" si="10"/>
        <v>0.05019314096</v>
      </c>
      <c r="H233" s="142">
        <f t="shared" si="11"/>
        <v>1</v>
      </c>
      <c r="I233" s="142">
        <f t="shared" si="12"/>
        <v>1</v>
      </c>
      <c r="J233" s="142">
        <f t="shared" si="13"/>
        <v>1</v>
      </c>
      <c r="K233" s="142">
        <f t="shared" si="14"/>
        <v>1</v>
      </c>
      <c r="L233" s="139">
        <f>Assumptions!$C$6*Assumptions!$C$7*(1+$G233-0.05*(1-1))^1+Assumptions!$C$6*Assumptions!$C$8*(1+Assumptions!$C$11)^1+Assumptions!$C$16*1+Assumptions!$C$6*Assumptions!$C$9*(1+Assumptions!$C$12)^1</f>
        <v>743.3630112</v>
      </c>
      <c r="M233" s="139">
        <f>Assumptions!$C$6*Assumptions!$C$7*(1+$G233-0.05*(1-$H233))^2+Assumptions!$C$6*Assumptions!$C$8*(1+Assumptions!$C$11)^2+Assumptions!$C$16*$H233+Assumptions!$C$6*Assumptions!$C$9*(1+Assumptions!$C$12)^2</f>
        <v>767.7033962</v>
      </c>
      <c r="N233" s="139">
        <f>Assumptions!$C$6*Assumptions!$C$7*(1+$G233-0.05*(1-$I233))^3+Assumptions!$C$6*Assumptions!$C$8*(1+Assumptions!$C$11)^3+Assumptions!$C$16*$I233+Assumptions!$C$6*Assumptions!$C$9*(1+Assumptions!$C$12)^3</f>
        <v>793.0663065</v>
      </c>
      <c r="O233" s="139">
        <f>Assumptions!$C$6*Assumptions!$C$7*(1+$G233-0.05*(1-$J233))^4+Assumptions!$C$6*Assumptions!$C$8*(1+Assumptions!$C$11)^4+Assumptions!$C$16*$J233+Assumptions!$C$6*Assumptions!$C$9*(1+Assumptions!$C$12)^4</f>
        <v>819.4990819</v>
      </c>
      <c r="P233" s="139">
        <f>Assumptions!$C$6*Assumptions!$C$7*(1+$G233-0.05*(1-$K233))^5+Assumptions!$C$6*Assumptions!$C$8*(1+Assumptions!$C$11)^5+Assumptions!$C$16*$K233+Assumptions!$C$6*Assumptions!$C$9*(1+Assumptions!$C$12)^5</f>
        <v>847.051359</v>
      </c>
      <c r="Q233" s="139">
        <f>($L233*(1-(Assumptions!$C$25+0.06*(1-1))-Assumptions!$C$27)-Assumptions!$C$28)-MAX(0,($L233*(1-(Assumptions!$C$25+0.06*(1-1))-Assumptions!$C$27)-Assumptions!$C$28)*Assumptions!$C$31)+Assumptions!$C$28-Assumptions!$C$29-$L233*Assumptions!$C$30</f>
        <v>92.32304742</v>
      </c>
      <c r="R233" s="139">
        <f>($M233*(1-(Assumptions!$C$25+0.06*(1-$H233))-Assumptions!$C$27)-Assumptions!$C$28)-MAX(0,($M233*(1-(Assumptions!$C$25+0.06*(1-$H233))-Assumptions!$C$27)-Assumptions!$C$28)*Assumptions!$C$31)+Assumptions!$C$28-Assumptions!$C$29-$M233*Assumptions!$C$30</f>
        <v>97.55623018</v>
      </c>
      <c r="S233" s="139">
        <f>($N233*(1-(Assumptions!$C$25+0.06*(1-$I233))-Assumptions!$C$27)-Assumptions!$C$28)-MAX(0,($N233*(1-(Assumptions!$C$25+0.06*(1-$I233))-Assumptions!$C$27)-Assumptions!$C$28)*Assumptions!$C$31)+Assumptions!$C$28-Assumptions!$C$29-$N233*Assumptions!$C$30</f>
        <v>103.0092559</v>
      </c>
      <c r="T233" s="139">
        <f>($O233*(1-(Assumptions!$C$25+0.06*(1-$J233))-Assumptions!$C$27)-Assumptions!$C$28)-MAX(0,($O233*(1-(Assumptions!$C$25+0.06*(1-$J233))-Assumptions!$C$27)-Assumptions!$C$28)*Assumptions!$C$31)+Assumptions!$C$28-Assumptions!$C$29-$O233*Assumptions!$C$30</f>
        <v>108.6923026</v>
      </c>
      <c r="U233" s="139">
        <f>($P233*(1-(Assumptions!$C$25+0.06*(1-$K233))-Assumptions!$C$27)-Assumptions!$C$28)-MAX(0,($P233*(1-(Assumptions!$C$25+0.06*(1-$K233))-Assumptions!$C$27)-Assumptions!$C$28)*Assumptions!$C$31)+Assumptions!$C$28-Assumptions!$C$29-$P233*Assumptions!$C$30</f>
        <v>114.6160422</v>
      </c>
      <c r="V233" s="143">
        <f>(($Q233/(1+$D233)^1+$R233/(1+$D233)^2+$S233/(1+$D233)^3+$T233/(1+$D233)^4+$U233/(1+$D233)^5+$U233*(1+$E233)/($D233-$E233)/(1+$D233)^5)-Assumptions!$C$37)/Assumptions!$C$40/Assumptions!$C$38</f>
        <v>3.719588224</v>
      </c>
    </row>
    <row r="234" ht="12.0" customHeight="1">
      <c r="B234" s="139">
        <v>182.0</v>
      </c>
      <c r="C234" s="140">
        <f t="shared" si="6"/>
        <v>0.4088859243</v>
      </c>
      <c r="D234" s="141">
        <f t="shared" si="7"/>
        <v>0.09678970081</v>
      </c>
      <c r="E234" s="141">
        <f t="shared" si="8"/>
        <v>0.02917174588</v>
      </c>
      <c r="F234" s="140">
        <f t="shared" si="9"/>
        <v>0.8616302505</v>
      </c>
      <c r="G234" s="141">
        <f t="shared" si="10"/>
        <v>0.0742181893</v>
      </c>
      <c r="H234" s="142">
        <f t="shared" si="11"/>
        <v>0</v>
      </c>
      <c r="I234" s="142">
        <f t="shared" si="12"/>
        <v>0</v>
      </c>
      <c r="J234" s="142">
        <f t="shared" si="13"/>
        <v>0</v>
      </c>
      <c r="K234" s="142">
        <f t="shared" si="14"/>
        <v>1</v>
      </c>
      <c r="L234" s="139">
        <f>Assumptions!$C$6*Assumptions!$C$7*(1+$G234-0.05*(1-1))^1+Assumptions!$C$6*Assumptions!$C$8*(1+Assumptions!$C$11)^1+Assumptions!$C$16*1+Assumptions!$C$6*Assumptions!$C$9*(1+Assumptions!$C$12)^1</f>
        <v>751.4498425</v>
      </c>
      <c r="M234" s="139">
        <f>Assumptions!$C$6*Assumptions!$C$7*(1+$G234-0.05*(1-$H234))^2+Assumptions!$C$6*Assumptions!$C$8*(1+Assumptions!$C$11)^2+Assumptions!$C$16*$H234+Assumptions!$C$6*Assumptions!$C$9*(1+Assumptions!$C$12)^2</f>
        <v>689.5664679</v>
      </c>
      <c r="N234" s="139">
        <f>Assumptions!$C$6*Assumptions!$C$7*(1+$G234-0.05*(1-$I234))^3+Assumptions!$C$6*Assumptions!$C$8*(1+Assumptions!$C$11)^3+Assumptions!$C$16*$I234+Assumptions!$C$6*Assumptions!$C$9*(1+Assumptions!$C$12)^3</f>
        <v>704.8472446</v>
      </c>
      <c r="O234" s="139">
        <f>Assumptions!$C$6*Assumptions!$C$7*(1+$G234-0.05*(1-$J234))^4+Assumptions!$C$6*Assumptions!$C$8*(1+Assumptions!$C$11)^4+Assumptions!$C$16*$J234+Assumptions!$C$6*Assumptions!$C$9*(1+Assumptions!$C$12)^4</f>
        <v>720.4697085</v>
      </c>
      <c r="P234" s="139">
        <f>Assumptions!$C$6*Assumptions!$C$7*(1+$G234-0.05*(1-$K234))^5+Assumptions!$C$6*Assumptions!$C$8*(1+Assumptions!$C$11)^5+Assumptions!$C$16*$K234+Assumptions!$C$6*Assumptions!$C$9*(1+Assumptions!$C$12)^5</f>
        <v>898.5379235</v>
      </c>
      <c r="Q234" s="139">
        <f>($L234*(1-(Assumptions!$C$25+0.06*(1-1))-Assumptions!$C$27)-Assumptions!$C$28)-MAX(0,($L234*(1-(Assumptions!$C$25+0.06*(1-1))-Assumptions!$C$27)-Assumptions!$C$28)*Assumptions!$C$31)+Assumptions!$C$28-Assumptions!$C$29-$L234*Assumptions!$C$30</f>
        <v>94.06171614</v>
      </c>
      <c r="R234" s="139">
        <f>($M234*(1-(Assumptions!$C$25+0.06*(1-$H234))-Assumptions!$C$27)-Assumptions!$C$28)-MAX(0,($M234*(1-(Assumptions!$C$25+0.06*(1-$H234))-Assumptions!$C$27)-Assumptions!$C$28)*Assumptions!$C$31)+Assumptions!$C$28-Assumptions!$C$29-$M234*Assumptions!$C$30</f>
        <v>38.60028762</v>
      </c>
      <c r="S234" s="139">
        <f>($N234*(1-(Assumptions!$C$25+0.06*(1-$I234))-Assumptions!$C$27)-Assumptions!$C$28)-MAX(0,($N234*(1-(Assumptions!$C$25+0.06*(1-$I234))-Assumptions!$C$27)-Assumptions!$C$28)*Assumptions!$C$31)+Assumptions!$C$28-Assumptions!$C$29-$N234*Assumptions!$C$30</f>
        <v>42.11486625</v>
      </c>
      <c r="T234" s="139">
        <f>($O234*(1-(Assumptions!$C$25+0.06*(1-$J234))-Assumptions!$C$27)-Assumptions!$C$28)-MAX(0,($O234*(1-(Assumptions!$C$25+0.06*(1-$J234))-Assumptions!$C$27)-Assumptions!$C$28)*Assumptions!$C$31)+Assumptions!$C$28-Assumptions!$C$29-$O234*Assumptions!$C$30</f>
        <v>45.70803295</v>
      </c>
      <c r="U234" s="139">
        <f>($P234*(1-(Assumptions!$C$25+0.06*(1-$K234))-Assumptions!$C$27)-Assumptions!$C$28)-MAX(0,($P234*(1-(Assumptions!$C$25+0.06*(1-$K234))-Assumptions!$C$27)-Assumptions!$C$28)*Assumptions!$C$31)+Assumptions!$C$28-Assumptions!$C$29-$P234*Assumptions!$C$30</f>
        <v>125.6856536</v>
      </c>
      <c r="V234" s="143">
        <f>(($Q234/(1+$D234)^1+$R234/(1+$D234)^2+$S234/(1+$D234)^3+$T234/(1+$D234)^4+$U234/(1+$D234)^5+$U234*(1+$E234)/($D234-$E234)/(1+$D234)^5)-Assumptions!$C$37)/Assumptions!$C$40/Assumptions!$C$38</f>
        <v>6.041392488</v>
      </c>
    </row>
    <row r="235" ht="12.0" customHeight="1">
      <c r="B235" s="139">
        <v>183.0</v>
      </c>
      <c r="C235" s="140">
        <f t="shared" si="6"/>
        <v>0.7930944102</v>
      </c>
      <c r="D235" s="141">
        <f t="shared" si="7"/>
        <v>0.1042262339</v>
      </c>
      <c r="E235" s="141">
        <f t="shared" si="8"/>
        <v>0.02709704357</v>
      </c>
      <c r="F235" s="140">
        <f t="shared" si="9"/>
        <v>0.9307233027</v>
      </c>
      <c r="G235" s="141">
        <f t="shared" si="10"/>
        <v>0.07883317166</v>
      </c>
      <c r="H235" s="142">
        <f t="shared" si="11"/>
        <v>0</v>
      </c>
      <c r="I235" s="142">
        <f t="shared" si="12"/>
        <v>1</v>
      </c>
      <c r="J235" s="142">
        <f t="shared" si="13"/>
        <v>0</v>
      </c>
      <c r="K235" s="142">
        <f t="shared" si="14"/>
        <v>1</v>
      </c>
      <c r="L235" s="139">
        <f>Assumptions!$C$6*Assumptions!$C$7*(1+$G235-0.05*(1-1))^1+Assumptions!$C$6*Assumptions!$C$8*(1+Assumptions!$C$11)^1+Assumptions!$C$16*1+Assumptions!$C$6*Assumptions!$C$9*(1+Assumptions!$C$12)^1</f>
        <v>753.0032456</v>
      </c>
      <c r="M235" s="139">
        <f>Assumptions!$C$6*Assumptions!$C$7*(1+$G235-0.05*(1-$H235))^2+Assumptions!$C$6*Assumptions!$C$8*(1+Assumptions!$C$11)^2+Assumptions!$C$16*$H235+Assumptions!$C$6*Assumptions!$C$9*(1+Assumptions!$C$12)^2</f>
        <v>692.7556842</v>
      </c>
      <c r="N235" s="139">
        <f>Assumptions!$C$6*Assumptions!$C$7*(1+$G235-0.05*(1-$I235))^3+Assumptions!$C$6*Assumptions!$C$8*(1+Assumptions!$C$11)^3+Assumptions!$C$16*$I235+Assumptions!$C$6*Assumptions!$C$9*(1+Assumptions!$C$12)^3</f>
        <v>825.8408844</v>
      </c>
      <c r="O235" s="139">
        <f>Assumptions!$C$6*Assumptions!$C$7*(1+$G235-0.05*(1-$J235))^4+Assumptions!$C$6*Assumptions!$C$8*(1+Assumptions!$C$11)^4+Assumptions!$C$16*$J235+Assumptions!$C$6*Assumptions!$C$9*(1+Assumptions!$C$12)^4</f>
        <v>727.1910475</v>
      </c>
      <c r="P235" s="139">
        <f>Assumptions!$C$6*Assumptions!$C$7*(1+$G235-0.05*(1-$K235))^5+Assumptions!$C$6*Assumptions!$C$8*(1+Assumptions!$C$11)^5+Assumptions!$C$16*$K235+Assumptions!$C$6*Assumptions!$C$9*(1+Assumptions!$C$12)^5</f>
        <v>908.9696389</v>
      </c>
      <c r="Q235" s="139">
        <f>($L235*(1-(Assumptions!$C$25+0.06*(1-1))-Assumptions!$C$27)-Assumptions!$C$28)-MAX(0,($L235*(1-(Assumptions!$C$25+0.06*(1-1))-Assumptions!$C$27)-Assumptions!$C$28)*Assumptions!$C$31)+Assumptions!$C$28-Assumptions!$C$29-$L235*Assumptions!$C$30</f>
        <v>94.3956978</v>
      </c>
      <c r="R235" s="139">
        <f>($M235*(1-(Assumptions!$C$25+0.06*(1-$H235))-Assumptions!$C$27)-Assumptions!$C$28)-MAX(0,($M235*(1-(Assumptions!$C$25+0.06*(1-$H235))-Assumptions!$C$27)-Assumptions!$C$28)*Assumptions!$C$31)+Assumptions!$C$28-Assumptions!$C$29-$M235*Assumptions!$C$30</f>
        <v>39.33380736</v>
      </c>
      <c r="S235" s="139">
        <f>($N235*(1-(Assumptions!$C$25+0.06*(1-$I235))-Assumptions!$C$27)-Assumptions!$C$28)-MAX(0,($N235*(1-(Assumptions!$C$25+0.06*(1-$I235))-Assumptions!$C$27)-Assumptions!$C$28)*Assumptions!$C$31)+Assumptions!$C$28-Assumptions!$C$29-$N235*Assumptions!$C$30</f>
        <v>110.0557901</v>
      </c>
      <c r="T235" s="139">
        <f>($O235*(1-(Assumptions!$C$25+0.06*(1-$J235))-Assumptions!$C$27)-Assumptions!$C$28)-MAX(0,($O235*(1-(Assumptions!$C$25+0.06*(1-$J235))-Assumptions!$C$27)-Assumptions!$C$28)*Assumptions!$C$31)+Assumptions!$C$28-Assumptions!$C$29-$O235*Assumptions!$C$30</f>
        <v>47.25394092</v>
      </c>
      <c r="U235" s="139">
        <f>($P235*(1-(Assumptions!$C$25+0.06*(1-$K235))-Assumptions!$C$27)-Assumptions!$C$28)-MAX(0,($P235*(1-(Assumptions!$C$25+0.06*(1-$K235))-Assumptions!$C$27)-Assumptions!$C$28)*Assumptions!$C$31)+Assumptions!$C$28-Assumptions!$C$29-$P235*Assumptions!$C$30</f>
        <v>127.9284724</v>
      </c>
      <c r="V235" s="143">
        <f>(($Q235/(1+$D235)^1+$R235/(1+$D235)^2+$S235/(1+$D235)^3+$T235/(1+$D235)^4+$U235/(1+$D235)^5+$U235*(1+$E235)/($D235-$E235)/(1+$D235)^5)-Assumptions!$C$37)/Assumptions!$C$40/Assumptions!$C$38</f>
        <v>5.113072277</v>
      </c>
    </row>
    <row r="236" ht="12.0" customHeight="1">
      <c r="B236" s="139">
        <v>184.0</v>
      </c>
      <c r="C236" s="140">
        <f t="shared" si="6"/>
        <v>0.8758794497</v>
      </c>
      <c r="D236" s="141">
        <f t="shared" si="7"/>
        <v>0.1066554432</v>
      </c>
      <c r="E236" s="141">
        <f t="shared" si="8"/>
        <v>0.01908866602</v>
      </c>
      <c r="F236" s="140">
        <f t="shared" si="9"/>
        <v>0.8138361812</v>
      </c>
      <c r="G236" s="141">
        <f t="shared" si="10"/>
        <v>0.07169440321</v>
      </c>
      <c r="H236" s="142">
        <f t="shared" si="11"/>
        <v>1</v>
      </c>
      <c r="I236" s="142">
        <f t="shared" si="12"/>
        <v>1</v>
      </c>
      <c r="J236" s="142">
        <f t="shared" si="13"/>
        <v>1</v>
      </c>
      <c r="K236" s="142">
        <f t="shared" si="14"/>
        <v>0</v>
      </c>
      <c r="L236" s="139">
        <f>Assumptions!$C$6*Assumptions!$C$7*(1+$G236-0.05*(1-1))^1+Assumptions!$C$6*Assumptions!$C$8*(1+Assumptions!$C$11)^1+Assumptions!$C$16*1+Assumptions!$C$6*Assumptions!$C$9*(1+Assumptions!$C$12)^1</f>
        <v>750.6003361</v>
      </c>
      <c r="M236" s="139">
        <f>Assumptions!$C$6*Assumptions!$C$7*(1+$G236-0.05*(1-$H236))^2+Assumptions!$C$6*Assumptions!$C$8*(1+Assumptions!$C$11)^2+Assumptions!$C$16*$H236+Assumptions!$C$6*Assumptions!$C$9*(1+Assumptions!$C$12)^2</f>
        <v>783.0601857</v>
      </c>
      <c r="N236" s="139">
        <f>Assumptions!$C$6*Assumptions!$C$7*(1+$G236-0.05*(1-$I236))^3+Assumptions!$C$6*Assumptions!$C$8*(1+Assumptions!$C$11)^3+Assumptions!$C$16*$I236+Assumptions!$C$6*Assumptions!$C$9*(1+Assumptions!$C$12)^3</f>
        <v>817.5061782</v>
      </c>
      <c r="O236" s="139">
        <f>Assumptions!$C$6*Assumptions!$C$7*(1+$G236-0.05*(1-$J236))^4+Assumptions!$C$6*Assumptions!$C$8*(1+Assumptions!$C$11)^4+Assumptions!$C$16*$J236+Assumptions!$C$6*Assumptions!$C$9*(1+Assumptions!$C$12)^4</f>
        <v>854.0738881</v>
      </c>
      <c r="P236" s="139">
        <f>Assumptions!$C$6*Assumptions!$C$7*(1+$G236-0.05*(1-$K236))^5+Assumptions!$C$6*Assumptions!$C$8*(1+Assumptions!$C$11)^5+Assumptions!$C$16*$K236+Assumptions!$C$6*Assumptions!$C$9*(1+Assumptions!$C$12)^5</f>
        <v>731.7903532</v>
      </c>
      <c r="Q236" s="139">
        <f>($L236*(1-(Assumptions!$C$25+0.06*(1-1))-Assumptions!$C$27)-Assumptions!$C$28)-MAX(0,($L236*(1-(Assumptions!$C$25+0.06*(1-1))-Assumptions!$C$27)-Assumptions!$C$28)*Assumptions!$C$31)+Assumptions!$C$28-Assumptions!$C$29-$L236*Assumptions!$C$30</f>
        <v>93.87907227</v>
      </c>
      <c r="R236" s="139">
        <f>($M236*(1-(Assumptions!$C$25+0.06*(1-$H236))-Assumptions!$C$27)-Assumptions!$C$28)-MAX(0,($M236*(1-(Assumptions!$C$25+0.06*(1-$H236))-Assumptions!$C$27)-Assumptions!$C$28)*Assumptions!$C$31)+Assumptions!$C$28-Assumptions!$C$29-$M236*Assumptions!$C$30</f>
        <v>100.8579399</v>
      </c>
      <c r="S236" s="139">
        <f>($N236*(1-(Assumptions!$C$25+0.06*(1-$I236))-Assumptions!$C$27)-Assumptions!$C$28)-MAX(0,($N236*(1-(Assumptions!$C$25+0.06*(1-$I236))-Assumptions!$C$27)-Assumptions!$C$28)*Assumptions!$C$31)+Assumptions!$C$28-Assumptions!$C$29-$N236*Assumptions!$C$30</f>
        <v>108.2638283</v>
      </c>
      <c r="T236" s="139">
        <f>($O236*(1-(Assumptions!$C$25+0.06*(1-$J236))-Assumptions!$C$27)-Assumptions!$C$28)-MAX(0,($O236*(1-(Assumptions!$C$25+0.06*(1-$J236))-Assumptions!$C$27)-Assumptions!$C$28)*Assumptions!$C$31)+Assumptions!$C$28-Assumptions!$C$29-$O236*Assumptions!$C$30</f>
        <v>116.1258859</v>
      </c>
      <c r="U236" s="139">
        <f>($P236*(1-(Assumptions!$C$25+0.06*(1-$K236))-Assumptions!$C$27)-Assumptions!$C$28)-MAX(0,($P236*(1-(Assumptions!$C$25+0.06*(1-$K236))-Assumptions!$C$27)-Assumptions!$C$28)*Assumptions!$C$31)+Assumptions!$C$28-Assumptions!$C$29-$P236*Assumptions!$C$30</f>
        <v>48.31178125</v>
      </c>
      <c r="V236" s="143">
        <f>(($Q236/(1+$D236)^1+$R236/(1+$D236)^2+$S236/(1+$D236)^3+$T236/(1+$D236)^4+$U236/(1+$D236)^5+$U236*(1+$E236)/($D236-$E236)/(1+$D236)^5)-Assumptions!$C$37)/Assumptions!$C$40/Assumptions!$C$38</f>
        <v>0.004962231104</v>
      </c>
    </row>
    <row r="237" ht="12.0" customHeight="1">
      <c r="B237" s="139">
        <v>185.0</v>
      </c>
      <c r="C237" s="140">
        <f t="shared" si="6"/>
        <v>0.3672883125</v>
      </c>
      <c r="D237" s="141">
        <f t="shared" si="7"/>
        <v>0.09615843797</v>
      </c>
      <c r="E237" s="141">
        <f t="shared" si="8"/>
        <v>0.02380381323</v>
      </c>
      <c r="F237" s="140">
        <f t="shared" si="9"/>
        <v>0.7879846329</v>
      </c>
      <c r="G237" s="141">
        <f t="shared" si="10"/>
        <v>0.0704647073</v>
      </c>
      <c r="H237" s="142">
        <f t="shared" si="11"/>
        <v>0</v>
      </c>
      <c r="I237" s="142">
        <f t="shared" si="12"/>
        <v>1</v>
      </c>
      <c r="J237" s="142">
        <f t="shared" si="13"/>
        <v>0</v>
      </c>
      <c r="K237" s="142">
        <f t="shared" si="14"/>
        <v>1</v>
      </c>
      <c r="L237" s="139">
        <f>Assumptions!$C$6*Assumptions!$C$7*(1+$G237-0.05*(1-1))^1+Assumptions!$C$6*Assumptions!$C$8*(1+Assumptions!$C$11)^1+Assumptions!$C$16*1+Assumptions!$C$6*Assumptions!$C$9*(1+Assumptions!$C$12)^1</f>
        <v>750.1864205</v>
      </c>
      <c r="M237" s="139">
        <f>Assumptions!$C$6*Assumptions!$C$7*(1+$G237-0.05*(1-$H237))^2+Assumptions!$C$6*Assumptions!$C$8*(1+Assumptions!$C$11)^2+Assumptions!$C$16*$H237+Assumptions!$C$6*Assumptions!$C$9*(1+Assumptions!$C$12)^2</f>
        <v>686.9831705</v>
      </c>
      <c r="N237" s="139">
        <f>Assumptions!$C$6*Assumptions!$C$7*(1+$G237-0.05*(1-$I237))^3+Assumptions!$C$6*Assumptions!$C$8*(1+Assumptions!$C$11)^3+Assumptions!$C$16*$I237+Assumptions!$C$6*Assumptions!$C$9*(1+Assumptions!$C$12)^3</f>
        <v>816.0816318</v>
      </c>
      <c r="O237" s="139">
        <f>Assumptions!$C$6*Assumptions!$C$7*(1+$G237-0.05*(1-$J237))^4+Assumptions!$C$6*Assumptions!$C$8*(1+Assumptions!$C$11)^4+Assumptions!$C$16*$J237+Assumptions!$C$6*Assumptions!$C$9*(1+Assumptions!$C$12)^4</f>
        <v>715.0696581</v>
      </c>
      <c r="P237" s="139">
        <f>Assumptions!$C$6*Assumptions!$C$7*(1+$G237-0.05*(1-$K237))^5+Assumptions!$C$6*Assumptions!$C$8*(1+Assumptions!$C$11)^5+Assumptions!$C$16*$K237+Assumptions!$C$6*Assumptions!$C$9*(1+Assumptions!$C$12)^5</f>
        <v>890.1847119</v>
      </c>
      <c r="Q237" s="139">
        <f>($L237*(1-(Assumptions!$C$25+0.06*(1-1))-Assumptions!$C$27)-Assumptions!$C$28)-MAX(0,($L237*(1-(Assumptions!$C$25+0.06*(1-1))-Assumptions!$C$27)-Assumptions!$C$28)*Assumptions!$C$31)+Assumptions!$C$28-Assumptions!$C$29-$L237*Assumptions!$C$30</f>
        <v>93.7900804</v>
      </c>
      <c r="R237" s="139">
        <f>($M237*(1-(Assumptions!$C$25+0.06*(1-$H237))-Assumptions!$C$27)-Assumptions!$C$28)-MAX(0,($M237*(1-(Assumptions!$C$25+0.06*(1-$H237))-Assumptions!$C$27)-Assumptions!$C$28)*Assumptions!$C$31)+Assumptions!$C$28-Assumptions!$C$29-$M237*Assumptions!$C$30</f>
        <v>38.00612921</v>
      </c>
      <c r="S237" s="139">
        <f>($N237*(1-(Assumptions!$C$25+0.06*(1-$I237))-Assumptions!$C$27)-Assumptions!$C$28)-MAX(0,($N237*(1-(Assumptions!$C$25+0.06*(1-$I237))-Assumptions!$C$27)-Assumptions!$C$28)*Assumptions!$C$31)+Assumptions!$C$28-Assumptions!$C$29-$N237*Assumptions!$C$30</f>
        <v>107.9575508</v>
      </c>
      <c r="T237" s="139">
        <f>($O237*(1-(Assumptions!$C$25+0.06*(1-$J237))-Assumptions!$C$27)-Assumptions!$C$28)-MAX(0,($O237*(1-(Assumptions!$C$25+0.06*(1-$J237))-Assumptions!$C$27)-Assumptions!$C$28)*Assumptions!$C$31)+Assumptions!$C$28-Assumptions!$C$29-$O237*Assumptions!$C$30</f>
        <v>44.46602137</v>
      </c>
      <c r="U237" s="139">
        <f>($P237*(1-(Assumptions!$C$25+0.06*(1-$K237))-Assumptions!$C$27)-Assumptions!$C$28)-MAX(0,($P237*(1-(Assumptions!$C$25+0.06*(1-$K237))-Assumptions!$C$27)-Assumptions!$C$28)*Assumptions!$C$31)+Assumptions!$C$28-Assumptions!$C$29-$P237*Assumptions!$C$30</f>
        <v>123.8897131</v>
      </c>
      <c r="V237" s="143">
        <f>(($Q237/(1+$D237)^1+$R237/(1+$D237)^2+$S237/(1+$D237)^3+$T237/(1+$D237)^4+$U237/(1+$D237)^5+$U237*(1+$E237)/($D237-$E237)/(1+$D237)^5)-Assumptions!$C$37)/Assumptions!$C$40/Assumptions!$C$38</f>
        <v>5.651889243</v>
      </c>
    </row>
    <row r="238" ht="12.0" customHeight="1">
      <c r="B238" s="139">
        <v>186.0</v>
      </c>
      <c r="C238" s="140">
        <f t="shared" si="6"/>
        <v>0.2465720338</v>
      </c>
      <c r="D238" s="141">
        <f t="shared" si="7"/>
        <v>0.09414264292</v>
      </c>
      <c r="E238" s="141">
        <f t="shared" si="8"/>
        <v>0.02792194503</v>
      </c>
      <c r="F238" s="140">
        <f t="shared" si="9"/>
        <v>0.3546214769</v>
      </c>
      <c r="G238" s="141">
        <f t="shared" si="10"/>
        <v>0.055264969</v>
      </c>
      <c r="H238" s="142">
        <f t="shared" si="11"/>
        <v>0</v>
      </c>
      <c r="I238" s="142">
        <f t="shared" si="12"/>
        <v>0</v>
      </c>
      <c r="J238" s="142">
        <f t="shared" si="13"/>
        <v>0</v>
      </c>
      <c r="K238" s="142">
        <f t="shared" si="14"/>
        <v>1</v>
      </c>
      <c r="L238" s="139">
        <f>Assumptions!$C$6*Assumptions!$C$7*(1+$G238-0.05*(1-1))^1+Assumptions!$C$6*Assumptions!$C$8*(1+Assumptions!$C$11)^1+Assumptions!$C$16*1+Assumptions!$C$6*Assumptions!$C$9*(1+Assumptions!$C$12)^1</f>
        <v>745.0701886</v>
      </c>
      <c r="M238" s="139">
        <f>Assumptions!$C$6*Assumptions!$C$7*(1+$G238-0.05*(1-$H238))^2+Assumptions!$C$6*Assumptions!$C$8*(1+Assumptions!$C$11)^2+Assumptions!$C$16*$H238+Assumptions!$C$6*Assumptions!$C$9*(1+Assumptions!$C$12)^2</f>
        <v>676.6190676</v>
      </c>
      <c r="N238" s="139">
        <f>Assumptions!$C$6*Assumptions!$C$7*(1+$G238-0.05*(1-$I238))^3+Assumptions!$C$6*Assumptions!$C$8*(1+Assumptions!$C$11)^3+Assumptions!$C$16*$I238+Assumptions!$C$6*Assumptions!$C$9*(1+Assumptions!$C$12)^3</f>
        <v>685.1392736</v>
      </c>
      <c r="O238" s="139">
        <f>Assumptions!$C$6*Assumptions!$C$7*(1+$G238-0.05*(1-$J238))^4+Assumptions!$C$6*Assumptions!$C$8*(1+Assumptions!$C$11)^4+Assumptions!$C$16*$J238+Assumptions!$C$6*Assumptions!$C$9*(1+Assumptions!$C$12)^4</f>
        <v>693.8034947</v>
      </c>
      <c r="P238" s="139">
        <f>Assumptions!$C$6*Assumptions!$C$7*(1+$G238-0.05*(1-$K238))^5+Assumptions!$C$6*Assumptions!$C$8*(1+Assumptions!$C$11)^5+Assumptions!$C$16*$K238+Assumptions!$C$6*Assumptions!$C$9*(1+Assumptions!$C$12)^5</f>
        <v>857.5351924</v>
      </c>
      <c r="Q238" s="139">
        <f>($L238*(1-(Assumptions!$C$25+0.06*(1-1))-Assumptions!$C$27)-Assumptions!$C$28)-MAX(0,($L238*(1-(Assumptions!$C$25+0.06*(1-1))-Assumptions!$C$27)-Assumptions!$C$28)*Assumptions!$C$31)+Assumptions!$C$28-Assumptions!$C$29-$L238*Assumptions!$C$30</f>
        <v>92.69009054</v>
      </c>
      <c r="R238" s="139">
        <f>($M238*(1-(Assumptions!$C$25+0.06*(1-$H238))-Assumptions!$C$27)-Assumptions!$C$28)-MAX(0,($M238*(1-(Assumptions!$C$25+0.06*(1-$H238))-Assumptions!$C$27)-Assumptions!$C$28)*Assumptions!$C$31)+Assumptions!$C$28-Assumptions!$C$29-$M238*Assumptions!$C$30</f>
        <v>35.62238556</v>
      </c>
      <c r="S238" s="139">
        <f>($N238*(1-(Assumptions!$C$25+0.06*(1-$I238))-Assumptions!$C$27)-Assumptions!$C$28)-MAX(0,($N238*(1-(Assumptions!$C$25+0.06*(1-$I238))-Assumptions!$C$27)-Assumptions!$C$28)*Assumptions!$C$31)+Assumptions!$C$28-Assumptions!$C$29-$N238*Assumptions!$C$30</f>
        <v>37.58203292</v>
      </c>
      <c r="T238" s="139">
        <f>($O238*(1-(Assumptions!$C$25+0.06*(1-$J238))-Assumptions!$C$27)-Assumptions!$C$28)-MAX(0,($O238*(1-(Assumptions!$C$25+0.06*(1-$J238))-Assumptions!$C$27)-Assumptions!$C$28)*Assumptions!$C$31)+Assumptions!$C$28-Assumptions!$C$29-$O238*Assumptions!$C$30</f>
        <v>39.57480377</v>
      </c>
      <c r="U238" s="139">
        <f>($P238*(1-(Assumptions!$C$25+0.06*(1-$K238))-Assumptions!$C$27)-Assumptions!$C$28)-MAX(0,($P238*(1-(Assumptions!$C$25+0.06*(1-$K238))-Assumptions!$C$27)-Assumptions!$C$28)*Assumptions!$C$31)+Assumptions!$C$28-Assumptions!$C$29-$P238*Assumptions!$C$30</f>
        <v>116.8700664</v>
      </c>
      <c r="V238" s="143">
        <f>(($Q238/(1+$D238)^1+$R238/(1+$D238)^2+$S238/(1+$D238)^3+$T238/(1+$D238)^4+$U238/(1+$D238)^5+$U238*(1+$E238)/($D238-$E238)/(1+$D238)^5)-Assumptions!$C$37)/Assumptions!$C$40/Assumptions!$C$38</f>
        <v>5.544854994</v>
      </c>
    </row>
    <row r="239" ht="12.0" customHeight="1">
      <c r="B239" s="139">
        <v>187.0</v>
      </c>
      <c r="C239" s="140">
        <f t="shared" si="6"/>
        <v>0.3889550871</v>
      </c>
      <c r="D239" s="141">
        <f t="shared" si="7"/>
        <v>0.09648524383</v>
      </c>
      <c r="E239" s="141">
        <f t="shared" si="8"/>
        <v>0.01843331969</v>
      </c>
      <c r="F239" s="140">
        <f t="shared" si="9"/>
        <v>0.8646258263</v>
      </c>
      <c r="G239" s="141">
        <f t="shared" si="10"/>
        <v>0.07438995475</v>
      </c>
      <c r="H239" s="142">
        <f t="shared" si="11"/>
        <v>1</v>
      </c>
      <c r="I239" s="142">
        <f t="shared" si="12"/>
        <v>1</v>
      </c>
      <c r="J239" s="142">
        <f t="shared" si="13"/>
        <v>1</v>
      </c>
      <c r="K239" s="142">
        <f t="shared" si="14"/>
        <v>0</v>
      </c>
      <c r="L239" s="139">
        <f>Assumptions!$C$6*Assumptions!$C$7*(1+$G239-0.05*(1-1))^1+Assumptions!$C$6*Assumptions!$C$8*(1+Assumptions!$C$11)^1+Assumptions!$C$16*1+Assumptions!$C$6*Assumptions!$C$9*(1+Assumptions!$C$12)^1</f>
        <v>751.5076588</v>
      </c>
      <c r="M239" s="139">
        <f>Assumptions!$C$6*Assumptions!$C$7*(1+$G239-0.05*(1-$H239))^2+Assumptions!$C$6*Assumptions!$C$8*(1+Assumptions!$C$11)^2+Assumptions!$C$16*$H239+Assumptions!$C$6*Assumptions!$C$9*(1+Assumptions!$C$12)^2</f>
        <v>785.0073766</v>
      </c>
      <c r="N239" s="139">
        <f>Assumptions!$C$6*Assumptions!$C$7*(1+$G239-0.05*(1-$I239))^3+Assumptions!$C$6*Assumptions!$C$8*(1+Assumptions!$C$11)^3+Assumptions!$C$16*$I239+Assumptions!$C$6*Assumptions!$C$9*(1+Assumptions!$C$12)^3</f>
        <v>820.6403069</v>
      </c>
      <c r="O239" s="139">
        <f>Assumptions!$C$6*Assumptions!$C$7*(1+$G239-0.05*(1-$J239))^4+Assumptions!$C$6*Assumptions!$C$8*(1+Assumptions!$C$11)^4+Assumptions!$C$16*$J239+Assumptions!$C$6*Assumptions!$C$9*(1+Assumptions!$C$12)^4</f>
        <v>858.5579624</v>
      </c>
      <c r="P239" s="139">
        <f>Assumptions!$C$6*Assumptions!$C$7*(1+$G239-0.05*(1-$K239))^5+Assumptions!$C$6*Assumptions!$C$8*(1+Assumptions!$C$11)^5+Assumptions!$C$16*$K239+Assumptions!$C$6*Assumptions!$C$9*(1+Assumptions!$C$12)^5</f>
        <v>736.7597929</v>
      </c>
      <c r="Q239" s="139">
        <f>($L239*(1-(Assumptions!$C$25+0.06*(1-1))-Assumptions!$C$27)-Assumptions!$C$28)-MAX(0,($L239*(1-(Assumptions!$C$25+0.06*(1-1))-Assumptions!$C$27)-Assumptions!$C$28)*Assumptions!$C$31)+Assumptions!$C$28-Assumptions!$C$29-$L239*Assumptions!$C$30</f>
        <v>94.07414664</v>
      </c>
      <c r="R239" s="139">
        <f>($M239*(1-(Assumptions!$C$25+0.06*(1-$H239))-Assumptions!$C$27)-Assumptions!$C$28)-MAX(0,($M239*(1-(Assumptions!$C$25+0.06*(1-$H239))-Assumptions!$C$27)-Assumptions!$C$28)*Assumptions!$C$31)+Assumptions!$C$28-Assumptions!$C$29-$M239*Assumptions!$C$30</f>
        <v>101.276586</v>
      </c>
      <c r="S239" s="139">
        <f>($N239*(1-(Assumptions!$C$25+0.06*(1-$I239))-Assumptions!$C$27)-Assumptions!$C$28)-MAX(0,($N239*(1-(Assumptions!$C$25+0.06*(1-$I239))-Assumptions!$C$27)-Assumptions!$C$28)*Assumptions!$C$31)+Assumptions!$C$28-Assumptions!$C$29-$N239*Assumptions!$C$30</f>
        <v>108.937666</v>
      </c>
      <c r="T239" s="139">
        <f>($O239*(1-(Assumptions!$C$25+0.06*(1-$J239))-Assumptions!$C$27)-Assumptions!$C$28)-MAX(0,($O239*(1-(Assumptions!$C$25+0.06*(1-$J239))-Assumptions!$C$27)-Assumptions!$C$28)*Assumptions!$C$31)+Assumptions!$C$28-Assumptions!$C$29-$O239*Assumptions!$C$30</f>
        <v>117.0899619</v>
      </c>
      <c r="U239" s="139">
        <f>($P239*(1-(Assumptions!$C$25+0.06*(1-$K239))-Assumptions!$C$27)-Assumptions!$C$28)-MAX(0,($P239*(1-(Assumptions!$C$25+0.06*(1-$K239))-Assumptions!$C$27)-Assumptions!$C$28)*Assumptions!$C$31)+Assumptions!$C$28-Assumptions!$C$29-$P239*Assumptions!$C$30</f>
        <v>49.45475237</v>
      </c>
      <c r="V239" s="143">
        <f>(($Q239/(1+$D239)^1+$R239/(1+$D239)^2+$S239/(1+$D239)^3+$T239/(1+$D239)^4+$U239/(1+$D239)^5+$U239*(1+$E239)/($D239-$E239)/(1+$D239)^5)-Assumptions!$C$37)/Assumptions!$C$40/Assumptions!$C$38</f>
        <v>0.6267818586</v>
      </c>
    </row>
    <row r="240" ht="12.0" customHeight="1">
      <c r="B240" s="139">
        <v>188.0</v>
      </c>
      <c r="C240" s="140">
        <f t="shared" si="6"/>
        <v>0.604084913</v>
      </c>
      <c r="D240" s="141">
        <f t="shared" si="7"/>
        <v>0.1000966996</v>
      </c>
      <c r="E240" s="141">
        <f t="shared" si="8"/>
        <v>0.01015280184</v>
      </c>
      <c r="F240" s="140">
        <f t="shared" si="9"/>
        <v>0.02303815752</v>
      </c>
      <c r="G240" s="141">
        <f t="shared" si="10"/>
        <v>0.03643961828</v>
      </c>
      <c r="H240" s="142">
        <f t="shared" si="11"/>
        <v>1</v>
      </c>
      <c r="I240" s="142">
        <f t="shared" si="12"/>
        <v>0</v>
      </c>
      <c r="J240" s="142">
        <f t="shared" si="13"/>
        <v>0</v>
      </c>
      <c r="K240" s="142">
        <f t="shared" si="14"/>
        <v>1</v>
      </c>
      <c r="L240" s="139">
        <f>Assumptions!$C$6*Assumptions!$C$7*(1+$G240-0.05*(1-1))^1+Assumptions!$C$6*Assumptions!$C$8*(1+Assumptions!$C$11)^1+Assumptions!$C$16*1+Assumptions!$C$6*Assumptions!$C$9*(1+Assumptions!$C$12)^1</f>
        <v>738.7335755</v>
      </c>
      <c r="M240" s="139">
        <f>Assumptions!$C$6*Assumptions!$C$7*(1+$G240-0.05*(1-$H240))^2+Assumptions!$C$6*Assumptions!$C$8*(1+Assumptions!$C$11)^2+Assumptions!$C$16*$H240+Assumptions!$C$6*Assumptions!$C$9*(1+Assumptions!$C$12)^2</f>
        <v>758.0434639</v>
      </c>
      <c r="N240" s="139">
        <f>Assumptions!$C$6*Assumptions!$C$7*(1+$G240-0.05*(1-$I240))^3+Assumptions!$C$6*Assumptions!$C$8*(1+Assumptions!$C$11)^3+Assumptions!$C$16*$I240+Assumptions!$C$6*Assumptions!$C$9*(1+Assumptions!$C$12)^3</f>
        <v>666.2862404</v>
      </c>
      <c r="O240" s="139">
        <f>Assumptions!$C$6*Assumptions!$C$7*(1+$G240-0.05*(1-$J240))^4+Assumptions!$C$6*Assumptions!$C$8*(1+Assumptions!$C$11)^4+Assumptions!$C$16*$J240+Assumptions!$C$6*Assumptions!$C$9*(1+Assumptions!$C$12)^4</f>
        <v>668.7688887</v>
      </c>
      <c r="P240" s="139">
        <f>Assumptions!$C$6*Assumptions!$C$7*(1+$G240-0.05*(1-$K240))^5+Assumptions!$C$6*Assumptions!$C$8*(1+Assumptions!$C$11)^5+Assumptions!$C$16*$K240+Assumptions!$C$6*Assumptions!$C$9*(1+Assumptions!$C$12)^5</f>
        <v>819.6229952</v>
      </c>
      <c r="Q240" s="139">
        <f>($L240*(1-(Assumptions!$C$25+0.06*(1-1))-Assumptions!$C$27)-Assumptions!$C$28)-MAX(0,($L240*(1-(Assumptions!$C$25+0.06*(1-1))-Assumptions!$C$27)-Assumptions!$C$28)*Assumptions!$C$31)+Assumptions!$C$28-Assumptions!$C$29-$L240*Assumptions!$C$30</f>
        <v>91.32771873</v>
      </c>
      <c r="R240" s="139">
        <f>($M240*(1-(Assumptions!$C$25+0.06*(1-$H240))-Assumptions!$C$27)-Assumptions!$C$28)-MAX(0,($M240*(1-(Assumptions!$C$25+0.06*(1-$H240))-Assumptions!$C$27)-Assumptions!$C$28)*Assumptions!$C$31)+Assumptions!$C$28-Assumptions!$C$29-$M240*Assumptions!$C$30</f>
        <v>95.47934474</v>
      </c>
      <c r="S240" s="139">
        <f>($N240*(1-(Assumptions!$C$25+0.06*(1-$I240))-Assumptions!$C$27)-Assumptions!$C$28)-MAX(0,($N240*(1-(Assumptions!$C$25+0.06*(1-$I240))-Assumptions!$C$27)-Assumptions!$C$28)*Assumptions!$C$31)+Assumptions!$C$28-Assumptions!$C$29-$N240*Assumptions!$C$30</f>
        <v>33.2458353</v>
      </c>
      <c r="T240" s="139">
        <f>($O240*(1-(Assumptions!$C$25+0.06*(1-$J240))-Assumptions!$C$27)-Assumptions!$C$28)-MAX(0,($O240*(1-(Assumptions!$C$25+0.06*(1-$J240))-Assumptions!$C$27)-Assumptions!$C$28)*Assumptions!$C$31)+Assumptions!$C$28-Assumptions!$C$29-$O240*Assumptions!$C$30</f>
        <v>33.8168444</v>
      </c>
      <c r="U240" s="139">
        <f>($P240*(1-(Assumptions!$C$25+0.06*(1-$K240))-Assumptions!$C$27)-Assumptions!$C$28)-MAX(0,($P240*(1-(Assumptions!$C$25+0.06*(1-$K240))-Assumptions!$C$27)-Assumptions!$C$28)*Assumptions!$C$31)+Assumptions!$C$28-Assumptions!$C$29-$P240*Assumptions!$C$30</f>
        <v>108.718944</v>
      </c>
      <c r="V240" s="143">
        <f>(($Q240/(1+$D240)^1+$R240/(1+$D240)^2+$S240/(1+$D240)^3+$T240/(1+$D240)^4+$U240/(1+$D240)^5+$U240*(1+$E240)/($D240-$E240)/(1+$D240)^5)-Assumptions!$C$37)/Assumptions!$C$40/Assumptions!$C$38</f>
        <v>2.681207705</v>
      </c>
    </row>
    <row r="241" ht="12.0" customHeight="1">
      <c r="B241" s="139">
        <v>189.0</v>
      </c>
      <c r="C241" s="140">
        <f t="shared" si="6"/>
        <v>0.154197808</v>
      </c>
      <c r="D241" s="141">
        <f t="shared" si="7"/>
        <v>0.09223001085</v>
      </c>
      <c r="E241" s="141">
        <f t="shared" si="8"/>
        <v>0.01500151335</v>
      </c>
      <c r="F241" s="140">
        <f t="shared" si="9"/>
        <v>0.2066025291</v>
      </c>
      <c r="G241" s="141">
        <f t="shared" si="10"/>
        <v>0.04928430845</v>
      </c>
      <c r="H241" s="142">
        <f t="shared" si="11"/>
        <v>0</v>
      </c>
      <c r="I241" s="142">
        <f t="shared" si="12"/>
        <v>1</v>
      </c>
      <c r="J241" s="142">
        <f t="shared" si="13"/>
        <v>1</v>
      </c>
      <c r="K241" s="142">
        <f t="shared" si="14"/>
        <v>1</v>
      </c>
      <c r="L241" s="139">
        <f>Assumptions!$C$6*Assumptions!$C$7*(1+$G241-0.05*(1-1))^1+Assumptions!$C$6*Assumptions!$C$8*(1+Assumptions!$C$11)^1+Assumptions!$C$16*1+Assumptions!$C$6*Assumptions!$C$9*(1+Assumptions!$C$12)^1</f>
        <v>743.0570982</v>
      </c>
      <c r="M241" s="139">
        <f>Assumptions!$C$6*Assumptions!$C$7*(1+$G241-0.05*(1-$H241))^2+Assumptions!$C$6*Assumptions!$C$8*(1+Assumptions!$C$11)^2+Assumptions!$C$16*$H241+Assumptions!$C$6*Assumptions!$C$9*(1+Assumptions!$C$12)^2</f>
        <v>672.5837289</v>
      </c>
      <c r="N241" s="139">
        <f>Assumptions!$C$6*Assumptions!$C$7*(1+$G241-0.05*(1-$I241))^3+Assumptions!$C$6*Assumptions!$C$8*(1+Assumptions!$C$11)^3+Assumptions!$C$16*$I241+Assumptions!$C$6*Assumptions!$C$9*(1+Assumptions!$C$12)^3</f>
        <v>792.0550025</v>
      </c>
      <c r="O241" s="139">
        <f>Assumptions!$C$6*Assumptions!$C$7*(1+$G241-0.05*(1-$J241))^4+Assumptions!$C$6*Assumptions!$C$8*(1+Assumptions!$C$11)^4+Assumptions!$C$16*$J241+Assumptions!$C$6*Assumptions!$C$9*(1+Assumptions!$C$12)^4</f>
        <v>818.0836086</v>
      </c>
      <c r="P241" s="139">
        <f>Assumptions!$C$6*Assumptions!$C$7*(1+$G241-0.05*(1-$K241))^5+Assumptions!$C$6*Assumptions!$C$8*(1+Assumptions!$C$11)^5+Assumptions!$C$16*$K241+Assumptions!$C$6*Assumptions!$C$9*(1+Assumptions!$C$12)^5</f>
        <v>845.1940121</v>
      </c>
      <c r="Q241" s="139">
        <f>($L241*(1-(Assumptions!$C$25+0.06*(1-1))-Assumptions!$C$27)-Assumptions!$C$28)-MAX(0,($L241*(1-(Assumptions!$C$25+0.06*(1-1))-Assumptions!$C$27)-Assumptions!$C$28)*Assumptions!$C$31)+Assumptions!$C$28-Assumptions!$C$29-$L241*Assumptions!$C$30</f>
        <v>92.25727612</v>
      </c>
      <c r="R241" s="139">
        <f>($M241*(1-(Assumptions!$C$25+0.06*(1-$H241))-Assumptions!$C$27)-Assumptions!$C$28)-MAX(0,($M241*(1-(Assumptions!$C$25+0.06*(1-$H241))-Assumptions!$C$27)-Assumptions!$C$28)*Assumptions!$C$31)+Assumptions!$C$28-Assumptions!$C$29-$M241*Assumptions!$C$30</f>
        <v>34.69425764</v>
      </c>
      <c r="S241" s="139">
        <f>($N241*(1-(Assumptions!$C$25+0.06*(1-$I241))-Assumptions!$C$27)-Assumptions!$C$28)-MAX(0,($N241*(1-(Assumptions!$C$25+0.06*(1-$I241))-Assumptions!$C$27)-Assumptions!$C$28)*Assumptions!$C$31)+Assumptions!$C$28-Assumptions!$C$29-$N241*Assumptions!$C$30</f>
        <v>102.7918255</v>
      </c>
      <c r="T241" s="139">
        <f>($O241*(1-(Assumptions!$C$25+0.06*(1-$J241))-Assumptions!$C$27)-Assumptions!$C$28)-MAX(0,($O241*(1-(Assumptions!$C$25+0.06*(1-$J241))-Assumptions!$C$27)-Assumptions!$C$28)*Assumptions!$C$31)+Assumptions!$C$28-Assumptions!$C$29-$O241*Assumptions!$C$30</f>
        <v>108.3879758</v>
      </c>
      <c r="U241" s="139">
        <f>($P241*(1-(Assumptions!$C$25+0.06*(1-$K241))-Assumptions!$C$27)-Assumptions!$C$28)-MAX(0,($P241*(1-(Assumptions!$C$25+0.06*(1-$K241))-Assumptions!$C$27)-Assumptions!$C$28)*Assumptions!$C$31)+Assumptions!$C$28-Assumptions!$C$29-$P241*Assumptions!$C$30</f>
        <v>114.2167126</v>
      </c>
      <c r="V241" s="143">
        <f>(($Q241/(1+$D241)^1+$R241/(1+$D241)^2+$S241/(1+$D241)^3+$T241/(1+$D241)^4+$U241/(1+$D241)^5+$U241*(1+$E241)/($D241-$E241)/(1+$D241)^5)-Assumptions!$C$37)/Assumptions!$C$40/Assumptions!$C$38</f>
        <v>4.807940215</v>
      </c>
    </row>
    <row r="242" ht="12.0" customHeight="1">
      <c r="B242" s="139">
        <v>190.0</v>
      </c>
      <c r="C242" s="140">
        <f t="shared" si="6"/>
        <v>0.534411392</v>
      </c>
      <c r="D242" s="141">
        <f t="shared" si="7"/>
        <v>0.09883846514</v>
      </c>
      <c r="E242" s="141">
        <f t="shared" si="8"/>
        <v>0.01333212775</v>
      </c>
      <c r="F242" s="140">
        <f t="shared" si="9"/>
        <v>0.1676313612</v>
      </c>
      <c r="G242" s="141">
        <f t="shared" si="10"/>
        <v>0.04737056275</v>
      </c>
      <c r="H242" s="142">
        <f t="shared" si="11"/>
        <v>0</v>
      </c>
      <c r="I242" s="142">
        <f t="shared" si="12"/>
        <v>0</v>
      </c>
      <c r="J242" s="142">
        <f t="shared" si="13"/>
        <v>1</v>
      </c>
      <c r="K242" s="142">
        <f t="shared" si="14"/>
        <v>1</v>
      </c>
      <c r="L242" s="139">
        <f>Assumptions!$C$6*Assumptions!$C$7*(1+$G242-0.05*(1-1))^1+Assumptions!$C$6*Assumptions!$C$8*(1+Assumptions!$C$11)^1+Assumptions!$C$16*1+Assumptions!$C$6*Assumptions!$C$9*(1+Assumptions!$C$12)^1</f>
        <v>742.4129314</v>
      </c>
      <c r="M242" s="139">
        <f>Assumptions!$C$6*Assumptions!$C$7*(1+$G242-0.05*(1-$H242))^2+Assumptions!$C$6*Assumptions!$C$8*(1+Assumptions!$C$11)^2+Assumptions!$C$16*$H242+Assumptions!$C$6*Assumptions!$C$9*(1+Assumptions!$C$12)^2</f>
        <v>671.2975501</v>
      </c>
      <c r="N242" s="139">
        <f>Assumptions!$C$6*Assumptions!$C$7*(1+$G242-0.05*(1-$I242))^3+Assumptions!$C$6*Assumptions!$C$8*(1+Assumptions!$C$11)^3+Assumptions!$C$16*$I242+Assumptions!$C$6*Assumptions!$C$9*(1+Assumptions!$C$12)^3</f>
        <v>677.146437</v>
      </c>
      <c r="O242" s="139">
        <f>Assumptions!$C$6*Assumptions!$C$7*(1+$G242-0.05*(1-$J242))^4+Assumptions!$C$6*Assumptions!$C$8*(1+Assumptions!$C$11)^4+Assumptions!$C$16*$J242+Assumptions!$C$6*Assumptions!$C$9*(1+Assumptions!$C$12)^4</f>
        <v>815.1150232</v>
      </c>
      <c r="P242" s="139">
        <f>Assumptions!$C$6*Assumptions!$C$7*(1+$G242-0.05*(1-$K242))^5+Assumptions!$C$6*Assumptions!$C$8*(1+Assumptions!$C$11)^5+Assumptions!$C$16*$K242+Assumptions!$C$6*Assumptions!$C$9*(1+Assumptions!$C$12)^5</f>
        <v>841.303947</v>
      </c>
      <c r="Q242" s="139">
        <f>($L242*(1-(Assumptions!$C$25+0.06*(1-1))-Assumptions!$C$27)-Assumptions!$C$28)-MAX(0,($L242*(1-(Assumptions!$C$25+0.06*(1-1))-Assumptions!$C$27)-Assumptions!$C$28)*Assumptions!$C$31)+Assumptions!$C$28-Assumptions!$C$29-$L242*Assumptions!$C$30</f>
        <v>92.11878026</v>
      </c>
      <c r="R242" s="139">
        <f>($M242*(1-(Assumptions!$C$25+0.06*(1-$H242))-Assumptions!$C$27)-Assumptions!$C$28)-MAX(0,($M242*(1-(Assumptions!$C$25+0.06*(1-$H242))-Assumptions!$C$27)-Assumptions!$C$28)*Assumptions!$C$31)+Assumptions!$C$28-Assumptions!$C$29-$M242*Assumptions!$C$30</f>
        <v>34.39843652</v>
      </c>
      <c r="S242" s="139">
        <f>($N242*(1-(Assumptions!$C$25+0.06*(1-$I242))-Assumptions!$C$27)-Assumptions!$C$28)-MAX(0,($N242*(1-(Assumptions!$C$25+0.06*(1-$I242))-Assumptions!$C$27)-Assumptions!$C$28)*Assumptions!$C$31)+Assumptions!$C$28-Assumptions!$C$29-$N242*Assumptions!$C$30</f>
        <v>35.74368052</v>
      </c>
      <c r="T242" s="139">
        <f>($O242*(1-(Assumptions!$C$25+0.06*(1-$J242))-Assumptions!$C$27)-Assumptions!$C$28)-MAX(0,($O242*(1-(Assumptions!$C$25+0.06*(1-$J242))-Assumptions!$C$27)-Assumptions!$C$28)*Assumptions!$C$31)+Assumptions!$C$28-Assumptions!$C$29-$O242*Assumptions!$C$30</f>
        <v>107.74973</v>
      </c>
      <c r="U242" s="139">
        <f>($P242*(1-(Assumptions!$C$25+0.06*(1-$K242))-Assumptions!$C$27)-Assumptions!$C$28)-MAX(0,($P242*(1-(Assumptions!$C$25+0.06*(1-$K242))-Assumptions!$C$27)-Assumptions!$C$28)*Assumptions!$C$31)+Assumptions!$C$28-Assumptions!$C$29-$P242*Assumptions!$C$30</f>
        <v>113.3803486</v>
      </c>
      <c r="V242" s="143">
        <f>(($Q242/(1+$D242)^1+$R242/(1+$D242)^2+$S242/(1+$D242)^3+$T242/(1+$D242)^4+$U242/(1+$D242)^5+$U242*(1+$E242)/($D242-$E242)/(1+$D242)^5)-Assumptions!$C$37)/Assumptions!$C$40/Assumptions!$C$38</f>
        <v>3.363278542</v>
      </c>
    </row>
    <row r="243" ht="12.0" customHeight="1">
      <c r="B243" s="139">
        <v>191.0</v>
      </c>
      <c r="C243" s="140">
        <f t="shared" si="6"/>
        <v>0.4466392241</v>
      </c>
      <c r="D243" s="141">
        <f t="shared" si="7"/>
        <v>0.09738082308</v>
      </c>
      <c r="E243" s="141">
        <f t="shared" si="8"/>
        <v>0.01346189922</v>
      </c>
      <c r="F243" s="140">
        <f t="shared" si="9"/>
        <v>0.8518696319</v>
      </c>
      <c r="G243" s="141">
        <f t="shared" si="10"/>
        <v>0.07367104833</v>
      </c>
      <c r="H243" s="142">
        <f t="shared" si="11"/>
        <v>1</v>
      </c>
      <c r="I243" s="142">
        <f t="shared" si="12"/>
        <v>0</v>
      </c>
      <c r="J243" s="142">
        <f t="shared" si="13"/>
        <v>0</v>
      </c>
      <c r="K243" s="142">
        <f t="shared" si="14"/>
        <v>1</v>
      </c>
      <c r="L243" s="139">
        <f>Assumptions!$C$6*Assumptions!$C$7*(1+$G243-0.05*(1-1))^1+Assumptions!$C$6*Assumptions!$C$8*(1+Assumptions!$C$11)^1+Assumptions!$C$16*1+Assumptions!$C$6*Assumptions!$C$9*(1+Assumptions!$C$12)^1</f>
        <v>751.2656749</v>
      </c>
      <c r="M243" s="139">
        <f>Assumptions!$C$6*Assumptions!$C$7*(1+$G243-0.05*(1-$H243))^2+Assumptions!$C$6*Assumptions!$C$8*(1+Assumptions!$C$11)^2+Assumptions!$C$16*$H243+Assumptions!$C$6*Assumptions!$C$9*(1+Assumptions!$C$12)^2</f>
        <v>784.4875804</v>
      </c>
      <c r="N243" s="139">
        <f>Assumptions!$C$6*Assumptions!$C$7*(1+$G243-0.05*(1-$I243))^3+Assumptions!$C$6*Assumptions!$C$8*(1+Assumptions!$C$11)^3+Assumptions!$C$16*$I243+Assumptions!$C$6*Assumptions!$C$9*(1+Assumptions!$C$12)^3</f>
        <v>704.2679659</v>
      </c>
      <c r="O243" s="139">
        <f>Assumptions!$C$6*Assumptions!$C$7*(1+$G243-0.05*(1-$J243))^4+Assumptions!$C$6*Assumptions!$C$8*(1+Assumptions!$C$11)^4+Assumptions!$C$16*$J243+Assumptions!$C$6*Assumptions!$C$9*(1+Assumptions!$C$12)^4</f>
        <v>719.6788427</v>
      </c>
      <c r="P243" s="139">
        <f>Assumptions!$C$6*Assumptions!$C$7*(1+$G243-0.05*(1-$K243))^5+Assumptions!$C$6*Assumptions!$C$8*(1+Assumptions!$C$11)^5+Assumptions!$C$16*$K243+Assumptions!$C$6*Assumptions!$C$9*(1+Assumptions!$C$12)^5</f>
        <v>897.3129944</v>
      </c>
      <c r="Q243" s="139">
        <f>($L243*(1-(Assumptions!$C$25+0.06*(1-1))-Assumptions!$C$27)-Assumptions!$C$28)-MAX(0,($L243*(1-(Assumptions!$C$25+0.06*(1-1))-Assumptions!$C$27)-Assumptions!$C$28)*Assumptions!$C$31)+Assumptions!$C$28-Assumptions!$C$29-$L243*Assumptions!$C$30</f>
        <v>94.0221201</v>
      </c>
      <c r="R243" s="139">
        <f>($M243*(1-(Assumptions!$C$25+0.06*(1-$H243))-Assumptions!$C$27)-Assumptions!$C$28)-MAX(0,($M243*(1-(Assumptions!$C$25+0.06*(1-$H243))-Assumptions!$C$27)-Assumptions!$C$28)*Assumptions!$C$31)+Assumptions!$C$28-Assumptions!$C$29-$M243*Assumptions!$C$30</f>
        <v>101.1648298</v>
      </c>
      <c r="S243" s="139">
        <f>($N243*(1-(Assumptions!$C$25+0.06*(1-$I243))-Assumptions!$C$27)-Assumptions!$C$28)-MAX(0,($N243*(1-(Assumptions!$C$25+0.06*(1-$I243))-Assumptions!$C$27)-Assumptions!$C$28)*Assumptions!$C$31)+Assumptions!$C$28-Assumptions!$C$29-$N243*Assumptions!$C$30</f>
        <v>41.98163215</v>
      </c>
      <c r="T243" s="139">
        <f>($O243*(1-(Assumptions!$C$25+0.06*(1-$J243))-Assumptions!$C$27)-Assumptions!$C$28)-MAX(0,($O243*(1-(Assumptions!$C$25+0.06*(1-$J243))-Assumptions!$C$27)-Assumptions!$C$28)*Assumptions!$C$31)+Assumptions!$C$28-Assumptions!$C$29-$O243*Assumptions!$C$30</f>
        <v>45.52613383</v>
      </c>
      <c r="U243" s="139">
        <f>($P243*(1-(Assumptions!$C$25+0.06*(1-$K243))-Assumptions!$C$27)-Assumptions!$C$28)-MAX(0,($P243*(1-(Assumptions!$C$25+0.06*(1-$K243))-Assumptions!$C$27)-Assumptions!$C$28)*Assumptions!$C$31)+Assumptions!$C$28-Assumptions!$C$29-$P243*Assumptions!$C$30</f>
        <v>125.4222938</v>
      </c>
      <c r="V243" s="143">
        <f>(($Q243/(1+$D243)^1+$R243/(1+$D243)^2+$S243/(1+$D243)^3+$T243/(1+$D243)^4+$U243/(1+$D243)^5+$U243*(1+$E243)/($D243-$E243)/(1+$D243)^5)-Assumptions!$C$37)/Assumptions!$C$40/Assumptions!$C$38</f>
        <v>4.461798885</v>
      </c>
    </row>
    <row r="244" ht="12.0" customHeight="1">
      <c r="B244" s="139">
        <v>192.0</v>
      </c>
      <c r="C244" s="140">
        <f t="shared" si="6"/>
        <v>0.3053280648</v>
      </c>
      <c r="D244" s="141">
        <f t="shared" si="7"/>
        <v>0.09517380037</v>
      </c>
      <c r="E244" s="141">
        <f t="shared" si="8"/>
        <v>0.0197726626</v>
      </c>
      <c r="F244" s="140">
        <f t="shared" si="9"/>
        <v>0.9908268229</v>
      </c>
      <c r="G244" s="141">
        <f t="shared" si="10"/>
        <v>0.08593653858</v>
      </c>
      <c r="H244" s="142">
        <f t="shared" si="11"/>
        <v>1</v>
      </c>
      <c r="I244" s="142">
        <f t="shared" si="12"/>
        <v>0</v>
      </c>
      <c r="J244" s="142">
        <f t="shared" si="13"/>
        <v>1</v>
      </c>
      <c r="K244" s="142">
        <f t="shared" si="14"/>
        <v>1</v>
      </c>
      <c r="L244" s="139">
        <f>Assumptions!$C$6*Assumptions!$C$7*(1+$G244-0.05*(1-1))^1+Assumptions!$C$6*Assumptions!$C$8*(1+Assumptions!$C$11)^1+Assumptions!$C$16*1+Assumptions!$C$6*Assumptions!$C$9*(1+Assumptions!$C$12)^1</f>
        <v>755.3942389</v>
      </c>
      <c r="M244" s="139">
        <f>Assumptions!$C$6*Assumptions!$C$7*(1+$G244-0.05*(1-$H244))^2+Assumptions!$C$6*Assumptions!$C$8*(1+Assumptions!$C$11)^2+Assumptions!$C$16*$H244+Assumptions!$C$6*Assumptions!$C$9*(1+Assumptions!$C$12)^2</f>
        <v>793.4036586</v>
      </c>
      <c r="N244" s="139">
        <f>Assumptions!$C$6*Assumptions!$C$7*(1+$G244-0.05*(1-$I244))^3+Assumptions!$C$6*Assumptions!$C$8*(1+Assumptions!$C$11)^3+Assumptions!$C$16*$I244+Assumptions!$C$6*Assumptions!$C$9*(1+Assumptions!$C$12)^3</f>
        <v>717.4030962</v>
      </c>
      <c r="O244" s="139">
        <f>Assumptions!$C$6*Assumptions!$C$7*(1+$G244-0.05*(1-$J244))^4+Assumptions!$C$6*Assumptions!$C$8*(1+Assumptions!$C$11)^4+Assumptions!$C$16*$J244+Assumptions!$C$6*Assumptions!$C$9*(1+Assumptions!$C$12)^4</f>
        <v>878.1512905</v>
      </c>
      <c r="P244" s="139">
        <f>Assumptions!$C$6*Assumptions!$C$7*(1+$G244-0.05*(1-$K244))^5+Assumptions!$C$6*Assumptions!$C$8*(1+Assumptions!$C$11)^5+Assumptions!$C$16*$K244+Assumptions!$C$6*Assumptions!$C$9*(1+Assumptions!$C$12)^5</f>
        <v>925.3787307</v>
      </c>
      <c r="Q244" s="139">
        <f>($L244*(1-(Assumptions!$C$25+0.06*(1-1))-Assumptions!$C$27)-Assumptions!$C$28)-MAX(0,($L244*(1-(Assumptions!$C$25+0.06*(1-1))-Assumptions!$C$27)-Assumptions!$C$28)*Assumptions!$C$31)+Assumptions!$C$28-Assumptions!$C$29-$L244*Assumptions!$C$30</f>
        <v>94.90976136</v>
      </c>
      <c r="R244" s="139">
        <f>($M244*(1-(Assumptions!$C$25+0.06*(1-$H244))-Assumptions!$C$27)-Assumptions!$C$28)-MAX(0,($M244*(1-(Assumptions!$C$25+0.06*(1-$H244))-Assumptions!$C$27)-Assumptions!$C$28)*Assumptions!$C$31)+Assumptions!$C$28-Assumptions!$C$29-$M244*Assumptions!$C$30</f>
        <v>103.0817866</v>
      </c>
      <c r="S244" s="139">
        <f>($N244*(1-(Assumptions!$C$25+0.06*(1-$I244))-Assumptions!$C$27)-Assumptions!$C$28)-MAX(0,($N244*(1-(Assumptions!$C$25+0.06*(1-$I244))-Assumptions!$C$27)-Assumptions!$C$28)*Assumptions!$C$31)+Assumptions!$C$28-Assumptions!$C$29-$N244*Assumptions!$C$30</f>
        <v>45.00271213</v>
      </c>
      <c r="T244" s="139">
        <f>($O244*(1-(Assumptions!$C$25+0.06*(1-$J244))-Assumptions!$C$27)-Assumptions!$C$28)-MAX(0,($O244*(1-(Assumptions!$C$25+0.06*(1-$J244))-Assumptions!$C$27)-Assumptions!$C$28)*Assumptions!$C$31)+Assumptions!$C$28-Assumptions!$C$29-$O244*Assumptions!$C$30</f>
        <v>121.3025275</v>
      </c>
      <c r="U244" s="139">
        <f>($P244*(1-(Assumptions!$C$25+0.06*(1-$K244))-Assumptions!$C$27)-Assumptions!$C$28)-MAX(0,($P244*(1-(Assumptions!$C$25+0.06*(1-$K244))-Assumptions!$C$27)-Assumptions!$C$28)*Assumptions!$C$31)+Assumptions!$C$28-Assumptions!$C$29-$P244*Assumptions!$C$30</f>
        <v>131.4564271</v>
      </c>
      <c r="V244" s="143">
        <f>(($Q244/(1+$D244)^1+$R244/(1+$D244)^2+$S244/(1+$D244)^3+$T244/(1+$D244)^4+$U244/(1+$D244)^5+$U244*(1+$E244)/($D244-$E244)/(1+$D244)^5)-Assumptions!$C$37)/Assumptions!$C$40/Assumptions!$C$38</f>
        <v>6.332146553</v>
      </c>
    </row>
    <row r="245" ht="12.0" customHeight="1">
      <c r="B245" s="139">
        <v>193.0</v>
      </c>
      <c r="C245" s="140">
        <f t="shared" si="6"/>
        <v>0.3258919267</v>
      </c>
      <c r="D245" s="141">
        <f t="shared" si="7"/>
        <v>0.09551082124</v>
      </c>
      <c r="E245" s="141">
        <f t="shared" si="8"/>
        <v>0.01665935287</v>
      </c>
      <c r="F245" s="140">
        <f t="shared" si="9"/>
        <v>0.863059241</v>
      </c>
      <c r="G245" s="141">
        <f t="shared" si="10"/>
        <v>0.0742998928</v>
      </c>
      <c r="H245" s="142">
        <f t="shared" si="11"/>
        <v>1</v>
      </c>
      <c r="I245" s="142">
        <f t="shared" si="12"/>
        <v>0</v>
      </c>
      <c r="J245" s="142">
        <f t="shared" si="13"/>
        <v>1</v>
      </c>
      <c r="K245" s="142">
        <f t="shared" si="14"/>
        <v>0</v>
      </c>
      <c r="L245" s="139">
        <f>Assumptions!$C$6*Assumptions!$C$7*(1+$G245-0.05*(1-1))^1+Assumptions!$C$6*Assumptions!$C$8*(1+Assumptions!$C$11)^1+Assumptions!$C$16*1+Assumptions!$C$6*Assumptions!$C$9*(1+Assumptions!$C$12)^1</f>
        <v>751.4773439</v>
      </c>
      <c r="M245" s="139">
        <f>Assumptions!$C$6*Assumptions!$C$7*(1+$G245-0.05*(1-$H245))^2+Assumptions!$C$6*Assumptions!$C$8*(1+Assumptions!$C$11)^2+Assumptions!$C$16*$H245+Assumptions!$C$6*Assumptions!$C$9*(1+Assumptions!$C$12)^2</f>
        <v>784.9422394</v>
      </c>
      <c r="N245" s="139">
        <f>Assumptions!$C$6*Assumptions!$C$7*(1+$G245-0.05*(1-$I245))^3+Assumptions!$C$6*Assumptions!$C$8*(1+Assumptions!$C$11)^3+Assumptions!$C$16*$I245+Assumptions!$C$6*Assumptions!$C$9*(1+Assumptions!$C$12)^3</f>
        <v>704.9338003</v>
      </c>
      <c r="O245" s="139">
        <f>Assumptions!$C$6*Assumptions!$C$7*(1+$G245-0.05*(1-$J245))^4+Assumptions!$C$6*Assumptions!$C$8*(1+Assumptions!$C$11)^4+Assumptions!$C$16*$J245+Assumptions!$C$6*Assumptions!$C$9*(1+Assumptions!$C$12)^4</f>
        <v>858.4075975</v>
      </c>
      <c r="P245" s="139">
        <f>Assumptions!$C$6*Assumptions!$C$7*(1+$G245-0.05*(1-$K245))^5+Assumptions!$C$6*Assumptions!$C$8*(1+Assumptions!$C$11)^5+Assumptions!$C$16*$K245+Assumptions!$C$6*Assumptions!$C$9*(1+Assumptions!$C$12)^5</f>
        <v>736.5929106</v>
      </c>
      <c r="Q245" s="139">
        <f>($L245*(1-(Assumptions!$C$25+0.06*(1-1))-Assumptions!$C$27)-Assumptions!$C$28)-MAX(0,($L245*(1-(Assumptions!$C$25+0.06*(1-1))-Assumptions!$C$27)-Assumptions!$C$28)*Assumptions!$C$31)+Assumptions!$C$28-Assumptions!$C$29-$L245*Assumptions!$C$30</f>
        <v>94.06762894</v>
      </c>
      <c r="R245" s="139">
        <f>($M245*(1-(Assumptions!$C$25+0.06*(1-$H245))-Assumptions!$C$27)-Assumptions!$C$28)-MAX(0,($M245*(1-(Assumptions!$C$25+0.06*(1-$H245))-Assumptions!$C$27)-Assumptions!$C$28)*Assumptions!$C$31)+Assumptions!$C$28-Assumptions!$C$29-$M245*Assumptions!$C$30</f>
        <v>101.2625815</v>
      </c>
      <c r="S245" s="139">
        <f>($N245*(1-(Assumptions!$C$25+0.06*(1-$I245))-Assumptions!$C$27)-Assumptions!$C$28)-MAX(0,($N245*(1-(Assumptions!$C$25+0.06*(1-$I245))-Assumptions!$C$27)-Assumptions!$C$28)*Assumptions!$C$31)+Assumptions!$C$28-Assumptions!$C$29-$N245*Assumptions!$C$30</f>
        <v>42.13477406</v>
      </c>
      <c r="T245" s="139">
        <f>($O245*(1-(Assumptions!$C$25+0.06*(1-$J245))-Assumptions!$C$27)-Assumptions!$C$28)-MAX(0,($O245*(1-(Assumptions!$C$25+0.06*(1-$J245))-Assumptions!$C$27)-Assumptions!$C$28)*Assumptions!$C$31)+Assumptions!$C$28-Assumptions!$C$29-$O245*Assumptions!$C$30</f>
        <v>117.0576335</v>
      </c>
      <c r="U245" s="139">
        <f>($P245*(1-(Assumptions!$C$25+0.06*(1-$K245))-Assumptions!$C$27)-Assumptions!$C$28)-MAX(0,($P245*(1-(Assumptions!$C$25+0.06*(1-$K245))-Assumptions!$C$27)-Assumptions!$C$28)*Assumptions!$C$31)+Assumptions!$C$28-Assumptions!$C$29-$P245*Assumptions!$C$30</f>
        <v>49.41636943</v>
      </c>
      <c r="V245" s="143">
        <f>(($Q245/(1+$D245)^1+$R245/(1+$D245)^2+$S245/(1+$D245)^3+$T245/(1+$D245)^4+$U245/(1+$D245)^5+$U245*(1+$E245)/($D245-$E245)/(1+$D245)^5)-Assumptions!$C$37)/Assumptions!$C$40/Assumptions!$C$38</f>
        <v>0.2104328805</v>
      </c>
    </row>
    <row r="246" ht="12.0" customHeight="1">
      <c r="B246" s="139">
        <v>194.0</v>
      </c>
      <c r="C246" s="140">
        <f t="shared" si="6"/>
        <v>0.1139141055</v>
      </c>
      <c r="D246" s="141">
        <f t="shared" si="7"/>
        <v>0.09121424829</v>
      </c>
      <c r="E246" s="141">
        <f t="shared" si="8"/>
        <v>0.01545800299</v>
      </c>
      <c r="F246" s="140">
        <f t="shared" si="9"/>
        <v>0.3607121648</v>
      </c>
      <c r="G246" s="141">
        <f t="shared" si="10"/>
        <v>0.05548101051</v>
      </c>
      <c r="H246" s="142">
        <f t="shared" si="11"/>
        <v>0</v>
      </c>
      <c r="I246" s="142">
        <f t="shared" si="12"/>
        <v>1</v>
      </c>
      <c r="J246" s="142">
        <f t="shared" si="13"/>
        <v>0</v>
      </c>
      <c r="K246" s="142">
        <f t="shared" si="14"/>
        <v>0</v>
      </c>
      <c r="L246" s="139">
        <f>Assumptions!$C$6*Assumptions!$C$7*(1+$G246-0.05*(1-1))^1+Assumptions!$C$6*Assumptions!$C$8*(1+Assumptions!$C$11)^1+Assumptions!$C$16*1+Assumptions!$C$6*Assumptions!$C$9*(1+Assumptions!$C$12)^1</f>
        <v>745.1429081</v>
      </c>
      <c r="M246" s="139">
        <f>Assumptions!$C$6*Assumptions!$C$7*(1+$G246-0.05*(1-$H246))^2+Assumptions!$C$6*Assumptions!$C$8*(1+Assumptions!$C$11)^2+Assumptions!$C$16*$H246+Assumptions!$C$6*Assumptions!$C$9*(1+Assumptions!$C$12)^2</f>
        <v>676.7652882</v>
      </c>
      <c r="N246" s="139">
        <f>Assumptions!$C$6*Assumptions!$C$7*(1+$G246-0.05*(1-$I246))^3+Assumptions!$C$6*Assumptions!$C$8*(1+Assumptions!$C$11)^3+Assumptions!$C$16*$I246+Assumptions!$C$6*Assumptions!$C$9*(1+Assumptions!$C$12)^3</f>
        <v>798.985184</v>
      </c>
      <c r="O246" s="139">
        <f>Assumptions!$C$6*Assumptions!$C$7*(1+$G246-0.05*(1-$J246))^4+Assumptions!$C$6*Assumptions!$C$8*(1+Assumptions!$C$11)^4+Assumptions!$C$16*$J246+Assumptions!$C$6*Assumptions!$C$9*(1+Assumptions!$C$12)^4</f>
        <v>694.0990869</v>
      </c>
      <c r="P246" s="139">
        <f>Assumptions!$C$6*Assumptions!$C$7*(1+$G246-0.05*(1-$K246))^5+Assumptions!$C$6*Assumptions!$C$8*(1+Assumptions!$C$11)^5+Assumptions!$C$16*$K246+Assumptions!$C$6*Assumptions!$C$9*(1+Assumptions!$C$12)^5</f>
        <v>702.9859478</v>
      </c>
      <c r="Q246" s="139">
        <f>($L246*(1-(Assumptions!$C$25+0.06*(1-1))-Assumptions!$C$27)-Assumptions!$C$28)-MAX(0,($L246*(1-(Assumptions!$C$25+0.06*(1-1))-Assumptions!$C$27)-Assumptions!$C$28)*Assumptions!$C$31)+Assumptions!$C$28-Assumptions!$C$29-$L246*Assumptions!$C$30</f>
        <v>92.70572525</v>
      </c>
      <c r="R246" s="139">
        <f>($M246*(1-(Assumptions!$C$25+0.06*(1-$H246))-Assumptions!$C$27)-Assumptions!$C$28)-MAX(0,($M246*(1-(Assumptions!$C$25+0.06*(1-$H246))-Assumptions!$C$27)-Assumptions!$C$28)*Assumptions!$C$31)+Assumptions!$C$28-Assumptions!$C$29-$M246*Assumptions!$C$30</f>
        <v>35.65601629</v>
      </c>
      <c r="S246" s="139">
        <f>($N246*(1-(Assumptions!$C$25+0.06*(1-$I246))-Assumptions!$C$27)-Assumptions!$C$28)-MAX(0,($N246*(1-(Assumptions!$C$25+0.06*(1-$I246))-Assumptions!$C$27)-Assumptions!$C$28)*Assumptions!$C$31)+Assumptions!$C$28-Assumptions!$C$29-$N246*Assumptions!$C$30</f>
        <v>104.2818146</v>
      </c>
      <c r="T246" s="139">
        <f>($O246*(1-(Assumptions!$C$25+0.06*(1-$J246))-Assumptions!$C$27)-Assumptions!$C$28)-MAX(0,($O246*(1-(Assumptions!$C$25+0.06*(1-$J246))-Assumptions!$C$27)-Assumptions!$C$28)*Assumptions!$C$31)+Assumptions!$C$28-Assumptions!$C$29-$O246*Assumptions!$C$30</f>
        <v>39.64278998</v>
      </c>
      <c r="U246" s="139">
        <f>($P246*(1-(Assumptions!$C$25+0.06*(1-$K246))-Assumptions!$C$27)-Assumptions!$C$28)-MAX(0,($P246*(1-(Assumptions!$C$25+0.06*(1-$K246))-Assumptions!$C$27)-Assumptions!$C$28)*Assumptions!$C$31)+Assumptions!$C$28-Assumptions!$C$29-$P246*Assumptions!$C$30</f>
        <v>41.686768</v>
      </c>
      <c r="V246" s="143">
        <f>(($Q246/(1+$D246)^1+$R246/(1+$D246)^2+$S246/(1+$D246)^3+$T246/(1+$D246)^4+$U246/(1+$D246)^5+$U246*(1+$E246)/($D246-$E246)/(1+$D246)^5)-Assumptions!$C$37)/Assumptions!$C$40/Assumptions!$C$38</f>
        <v>-0.628121752</v>
      </c>
    </row>
    <row r="247" ht="12.0" customHeight="1">
      <c r="B247" s="139">
        <v>195.0</v>
      </c>
      <c r="C247" s="140">
        <f t="shared" si="6"/>
        <v>0.1005773745</v>
      </c>
      <c r="D247" s="141">
        <f t="shared" si="7"/>
        <v>0.0908391549</v>
      </c>
      <c r="E247" s="141">
        <f t="shared" si="8"/>
        <v>0.01701870652</v>
      </c>
      <c r="F247" s="140">
        <f t="shared" si="9"/>
        <v>0.8088163592</v>
      </c>
      <c r="G247" s="141">
        <f t="shared" si="10"/>
        <v>0.07144924386</v>
      </c>
      <c r="H247" s="142">
        <f t="shared" si="11"/>
        <v>1</v>
      </c>
      <c r="I247" s="142">
        <f t="shared" si="12"/>
        <v>0</v>
      </c>
      <c r="J247" s="142">
        <f t="shared" si="13"/>
        <v>1</v>
      </c>
      <c r="K247" s="142">
        <f t="shared" si="14"/>
        <v>0</v>
      </c>
      <c r="L247" s="139">
        <f>Assumptions!$C$6*Assumptions!$C$7*(1+$G247-0.05*(1-1))^1+Assumptions!$C$6*Assumptions!$C$8*(1+Assumptions!$C$11)^1+Assumptions!$C$16*1+Assumptions!$C$6*Assumptions!$C$9*(1+Assumptions!$C$12)^1</f>
        <v>750.5178155</v>
      </c>
      <c r="M247" s="139">
        <f>Assumptions!$C$6*Assumptions!$C$7*(1+$G247-0.05*(1-$H247))^2+Assumptions!$C$6*Assumptions!$C$8*(1+Assumptions!$C$11)^2+Assumptions!$C$16*$H247+Assumptions!$C$6*Assumptions!$C$9*(1+Assumptions!$C$12)^2</f>
        <v>782.8833321</v>
      </c>
      <c r="N247" s="139">
        <f>Assumptions!$C$6*Assumptions!$C$7*(1+$G247-0.05*(1-$I247))^3+Assumptions!$C$6*Assumptions!$C$8*(1+Assumptions!$C$11)^3+Assumptions!$C$16*$I247+Assumptions!$C$6*Assumptions!$C$9*(1+Assumptions!$C$12)^3</f>
        <v>701.922014</v>
      </c>
      <c r="O247" s="139">
        <f>Assumptions!$C$6*Assumptions!$C$7*(1+$G247-0.05*(1-$J247))^4+Assumptions!$C$6*Assumptions!$C$8*(1+Assumptions!$C$11)^4+Assumptions!$C$16*$J247+Assumptions!$C$6*Assumptions!$C$9*(1+Assumptions!$C$12)^4</f>
        <v>853.6677381</v>
      </c>
      <c r="P247" s="139">
        <f>Assumptions!$C$6*Assumptions!$C$7*(1+$G247-0.05*(1-$K247))^5+Assumptions!$C$6*Assumptions!$C$8*(1+Assumptions!$C$11)^5+Assumptions!$C$16*$K247+Assumptions!$C$6*Assumptions!$C$9*(1+Assumptions!$C$12)^5</f>
        <v>731.340979</v>
      </c>
      <c r="Q247" s="139">
        <f>($L247*(1-(Assumptions!$C$25+0.06*(1-1))-Assumptions!$C$27)-Assumptions!$C$28)-MAX(0,($L247*(1-(Assumptions!$C$25+0.06*(1-1))-Assumptions!$C$27)-Assumptions!$C$28)*Assumptions!$C$31)+Assumptions!$C$28-Assumptions!$C$29-$L247*Assumptions!$C$30</f>
        <v>93.86133033</v>
      </c>
      <c r="R247" s="139">
        <f>($M247*(1-(Assumptions!$C$25+0.06*(1-$H247))-Assumptions!$C$27)-Assumptions!$C$28)-MAX(0,($M247*(1-(Assumptions!$C$25+0.06*(1-$H247))-Assumptions!$C$27)-Assumptions!$C$28)*Assumptions!$C$31)+Assumptions!$C$28-Assumptions!$C$29-$M247*Assumptions!$C$30</f>
        <v>100.8199164</v>
      </c>
      <c r="S247" s="139">
        <f>($N247*(1-(Assumptions!$C$25+0.06*(1-$I247))-Assumptions!$C$27)-Assumptions!$C$28)-MAX(0,($N247*(1-(Assumptions!$C$25+0.06*(1-$I247))-Assumptions!$C$27)-Assumptions!$C$28)*Assumptions!$C$31)+Assumptions!$C$28-Assumptions!$C$29-$N247*Assumptions!$C$30</f>
        <v>41.44206322</v>
      </c>
      <c r="T247" s="139">
        <f>($O247*(1-(Assumptions!$C$25+0.06*(1-$J247))-Assumptions!$C$27)-Assumptions!$C$28)-MAX(0,($O247*(1-(Assumptions!$C$25+0.06*(1-$J247))-Assumptions!$C$27)-Assumptions!$C$28)*Assumptions!$C$31)+Assumptions!$C$28-Assumptions!$C$29-$O247*Assumptions!$C$30</f>
        <v>116.0385637</v>
      </c>
      <c r="U247" s="139">
        <f>($P247*(1-(Assumptions!$C$25+0.06*(1-$K247))-Assumptions!$C$27)-Assumptions!$C$28)-MAX(0,($P247*(1-(Assumptions!$C$25+0.06*(1-$K247))-Assumptions!$C$27)-Assumptions!$C$28)*Assumptions!$C$31)+Assumptions!$C$28-Assumptions!$C$29-$P247*Assumptions!$C$30</f>
        <v>48.20842516</v>
      </c>
      <c r="V247" s="143">
        <f>(($Q247/(1+$D247)^1+$R247/(1+$D247)^2+$S247/(1+$D247)^3+$T247/(1+$D247)^4+$U247/(1+$D247)^5+$U247*(1+$E247)/($D247-$E247)/(1+$D247)^5)-Assumptions!$C$37)/Assumptions!$C$40/Assumptions!$C$38</f>
        <v>0.4227149984</v>
      </c>
    </row>
    <row r="248" ht="12.0" customHeight="1">
      <c r="B248" s="139">
        <v>196.0</v>
      </c>
      <c r="C248" s="140">
        <f t="shared" si="6"/>
        <v>0.2505584556</v>
      </c>
      <c r="D248" s="141">
        <f t="shared" si="7"/>
        <v>0.09421625284</v>
      </c>
      <c r="E248" s="141">
        <f t="shared" si="8"/>
        <v>0.01399914646</v>
      </c>
      <c r="F248" s="140">
        <f t="shared" si="9"/>
        <v>0.3888792911</v>
      </c>
      <c r="G248" s="141">
        <f t="shared" si="10"/>
        <v>0.05645718662</v>
      </c>
      <c r="H248" s="142">
        <f t="shared" si="11"/>
        <v>1</v>
      </c>
      <c r="I248" s="142">
        <f t="shared" si="12"/>
        <v>1</v>
      </c>
      <c r="J248" s="142">
        <f t="shared" si="13"/>
        <v>1</v>
      </c>
      <c r="K248" s="142">
        <f t="shared" si="14"/>
        <v>0</v>
      </c>
      <c r="L248" s="139">
        <f>Assumptions!$C$6*Assumptions!$C$7*(1+$G248-0.05*(1-1))^1+Assumptions!$C$6*Assumptions!$C$8*(1+Assumptions!$C$11)^1+Assumptions!$C$16*1+Assumptions!$C$6*Assumptions!$C$9*(1+Assumptions!$C$12)^1</f>
        <v>745.471489</v>
      </c>
      <c r="M248" s="139">
        <f>Assumptions!$C$6*Assumptions!$C$7*(1+$G248-0.05*(1-$H248))^2+Assumptions!$C$6*Assumptions!$C$8*(1+Assumptions!$C$11)^2+Assumptions!$C$16*$H248+Assumptions!$C$6*Assumptions!$C$9*(1+Assumptions!$C$12)^2</f>
        <v>772.1452216</v>
      </c>
      <c r="N248" s="139">
        <f>Assumptions!$C$6*Assumptions!$C$7*(1+$G248-0.05*(1-$I248))^3+Assumptions!$C$6*Assumptions!$C$8*(1+Assumptions!$C$11)^3+Assumptions!$C$16*$I248+Assumptions!$C$6*Assumptions!$C$9*(1+Assumptions!$C$12)^3</f>
        <v>800.0843568</v>
      </c>
      <c r="O248" s="139">
        <f>Assumptions!$C$6*Assumptions!$C$7*(1+$G248-0.05*(1-$J248))^4+Assumptions!$C$6*Assumptions!$C$8*(1+Assumptions!$C$11)^4+Assumptions!$C$16*$J248+Assumptions!$C$6*Assumptions!$C$9*(1+Assumptions!$C$12)^4</f>
        <v>829.3555254</v>
      </c>
      <c r="P248" s="139">
        <f>Assumptions!$C$6*Assumptions!$C$7*(1+$G248-0.05*(1-$K248))^5+Assumptions!$C$6*Assumptions!$C$8*(1+Assumptions!$C$11)^5+Assumptions!$C$16*$K248+Assumptions!$C$6*Assumptions!$C$9*(1+Assumptions!$C$12)^5</f>
        <v>704.6684323</v>
      </c>
      <c r="Q248" s="139">
        <f>($L248*(1-(Assumptions!$C$25+0.06*(1-1))-Assumptions!$C$27)-Assumptions!$C$28)-MAX(0,($L248*(1-(Assumptions!$C$25+0.06*(1-1))-Assumptions!$C$27)-Assumptions!$C$28)*Assumptions!$C$31)+Assumptions!$C$28-Assumptions!$C$29-$L248*Assumptions!$C$30</f>
        <v>92.77637014</v>
      </c>
      <c r="R248" s="139">
        <f>($M248*(1-(Assumptions!$C$25+0.06*(1-$H248))-Assumptions!$C$27)-Assumptions!$C$28)-MAX(0,($M248*(1-(Assumptions!$C$25+0.06*(1-$H248))-Assumptions!$C$27)-Assumptions!$C$28)*Assumptions!$C$31)+Assumptions!$C$28-Assumptions!$C$29-$M248*Assumptions!$C$30</f>
        <v>98.51122264</v>
      </c>
      <c r="S248" s="139">
        <f>($N248*(1-(Assumptions!$C$25+0.06*(1-$I248))-Assumptions!$C$27)-Assumptions!$C$28)-MAX(0,($N248*(1-(Assumptions!$C$25+0.06*(1-$I248))-Assumptions!$C$27)-Assumptions!$C$28)*Assumptions!$C$31)+Assumptions!$C$28-Assumptions!$C$29-$N248*Assumptions!$C$30</f>
        <v>104.5181367</v>
      </c>
      <c r="T248" s="139">
        <f>($O248*(1-(Assumptions!$C$25+0.06*(1-$J248))-Assumptions!$C$27)-Assumptions!$C$28)-MAX(0,($O248*(1-(Assumptions!$C$25+0.06*(1-$J248))-Assumptions!$C$27)-Assumptions!$C$28)*Assumptions!$C$31)+Assumptions!$C$28-Assumptions!$C$29-$O248*Assumptions!$C$30</f>
        <v>110.811438</v>
      </c>
      <c r="U248" s="139">
        <f>($P248*(1-(Assumptions!$C$25+0.06*(1-$K248))-Assumptions!$C$27)-Assumptions!$C$28)-MAX(0,($P248*(1-(Assumptions!$C$25+0.06*(1-$K248))-Assumptions!$C$27)-Assumptions!$C$28)*Assumptions!$C$31)+Assumptions!$C$28-Assumptions!$C$29-$P248*Assumptions!$C$30</f>
        <v>42.07373942</v>
      </c>
      <c r="V248" s="143">
        <f>(($Q248/(1+$D248)^1+$R248/(1+$D248)^2+$S248/(1+$D248)^3+$T248/(1+$D248)^4+$U248/(1+$D248)^5+$U248*(1+$E248)/($D248-$E248)/(1+$D248)^5)-Assumptions!$C$37)/Assumptions!$C$40/Assumptions!$C$38</f>
        <v>-0.01314530286</v>
      </c>
    </row>
    <row r="249" ht="12.0" customHeight="1">
      <c r="B249" s="139">
        <v>197.0</v>
      </c>
      <c r="C249" s="140">
        <f t="shared" si="6"/>
        <v>0.5851562092</v>
      </c>
      <c r="D249" s="141">
        <f t="shared" si="7"/>
        <v>0.09974459549</v>
      </c>
      <c r="E249" s="141">
        <f t="shared" si="8"/>
        <v>0.02178594467</v>
      </c>
      <c r="F249" s="140">
        <f t="shared" si="9"/>
        <v>0.6413516816</v>
      </c>
      <c r="G249" s="141">
        <f t="shared" si="10"/>
        <v>0.06459198998</v>
      </c>
      <c r="H249" s="142">
        <f t="shared" si="11"/>
        <v>1</v>
      </c>
      <c r="I249" s="142">
        <f t="shared" si="12"/>
        <v>0</v>
      </c>
      <c r="J249" s="142">
        <f t="shared" si="13"/>
        <v>1</v>
      </c>
      <c r="K249" s="142">
        <f t="shared" si="14"/>
        <v>0</v>
      </c>
      <c r="L249" s="139">
        <f>Assumptions!$C$6*Assumptions!$C$7*(1+$G249-0.05*(1-1))^1+Assumptions!$C$6*Assumptions!$C$8*(1+Assumptions!$C$11)^1+Assumptions!$C$16*1+Assumptions!$C$6*Assumptions!$C$9*(1+Assumptions!$C$12)^1</f>
        <v>748.2096638</v>
      </c>
      <c r="M249" s="139">
        <f>Assumptions!$C$6*Assumptions!$C$7*(1+$G249-0.05*(1-$H249))^2+Assumptions!$C$6*Assumptions!$C$8*(1+Assumptions!$C$11)^2+Assumptions!$C$16*$H249+Assumptions!$C$6*Assumptions!$C$9*(1+Assumptions!$C$12)^2</f>
        <v>777.953025</v>
      </c>
      <c r="N249" s="139">
        <f>Assumptions!$C$6*Assumptions!$C$7*(1+$G249-0.05*(1-$I249))^3+Assumptions!$C$6*Assumptions!$C$8*(1+Assumptions!$C$11)^3+Assumptions!$C$16*$I249+Assumptions!$C$6*Assumptions!$C$9*(1+Assumptions!$C$12)^3</f>
        <v>694.7457174</v>
      </c>
      <c r="O249" s="139">
        <f>Assumptions!$C$6*Assumptions!$C$7*(1+$G249-0.05*(1-$J249))^4+Assumptions!$C$6*Assumptions!$C$8*(1+Assumptions!$C$11)^4+Assumptions!$C$16*$J249+Assumptions!$C$6*Assumptions!$C$9*(1+Assumptions!$C$12)^4</f>
        <v>842.4199347</v>
      </c>
      <c r="P249" s="139">
        <f>Assumptions!$C$6*Assumptions!$C$7*(1+$G249-0.05*(1-$K249))^5+Assumptions!$C$6*Assumptions!$C$8*(1+Assumptions!$C$11)^5+Assumptions!$C$16*$K249+Assumptions!$C$6*Assumptions!$C$9*(1+Assumptions!$C$12)^5</f>
        <v>718.9452951</v>
      </c>
      <c r="Q249" s="139">
        <f>($L249*(1-(Assumptions!$C$25+0.06*(1-1))-Assumptions!$C$27)-Assumptions!$C$28)-MAX(0,($L249*(1-(Assumptions!$C$25+0.06*(1-1))-Assumptions!$C$27)-Assumptions!$C$28)*Assumptions!$C$31)+Assumptions!$C$28-Assumptions!$C$29-$L249*Assumptions!$C$30</f>
        <v>93.36507772</v>
      </c>
      <c r="R249" s="139">
        <f>($M249*(1-(Assumptions!$C$25+0.06*(1-$H249))-Assumptions!$C$27)-Assumptions!$C$28)-MAX(0,($M249*(1-(Assumptions!$C$25+0.06*(1-$H249))-Assumptions!$C$27)-Assumptions!$C$28)*Assumptions!$C$31)+Assumptions!$C$28-Assumptions!$C$29-$M249*Assumptions!$C$30</f>
        <v>99.75990037</v>
      </c>
      <c r="S249" s="139">
        <f>($N249*(1-(Assumptions!$C$25+0.06*(1-$I249))-Assumptions!$C$27)-Assumptions!$C$28)-MAX(0,($N249*(1-(Assumptions!$C$25+0.06*(1-$I249))-Assumptions!$C$27)-Assumptions!$C$28)*Assumptions!$C$31)+Assumptions!$C$28-Assumptions!$C$29-$N249*Assumptions!$C$30</f>
        <v>39.79151499</v>
      </c>
      <c r="T249" s="139">
        <f>($O249*(1-(Assumptions!$C$25+0.06*(1-$J249))-Assumptions!$C$27)-Assumptions!$C$28)-MAX(0,($O249*(1-(Assumptions!$C$25+0.06*(1-$J249))-Assumptions!$C$27)-Assumptions!$C$28)*Assumptions!$C$31)+Assumptions!$C$28-Assumptions!$C$29-$O249*Assumptions!$C$30</f>
        <v>113.620286</v>
      </c>
      <c r="U249" s="139">
        <f>($P249*(1-(Assumptions!$C$25+0.06*(1-$K249))-Assumptions!$C$27)-Assumptions!$C$28)-MAX(0,($P249*(1-(Assumptions!$C$25+0.06*(1-$K249))-Assumptions!$C$27)-Assumptions!$C$28)*Assumptions!$C$31)+Assumptions!$C$28-Assumptions!$C$29-$P249*Assumptions!$C$30</f>
        <v>45.35741788</v>
      </c>
      <c r="V249" s="143">
        <f>(($Q249/(1+$D249)^1+$R249/(1+$D249)^2+$S249/(1+$D249)^3+$T249/(1+$D249)^4+$U249/(1+$D249)^5+$U249*(1+$E249)/($D249-$E249)/(1+$D249)^5)-Assumptions!$C$37)/Assumptions!$C$40/Assumptions!$C$38</f>
        <v>-0.148036747</v>
      </c>
    </row>
    <row r="250" ht="12.0" customHeight="1">
      <c r="B250" s="139">
        <v>198.0</v>
      </c>
      <c r="C250" s="140">
        <f t="shared" si="6"/>
        <v>0.2139532586</v>
      </c>
      <c r="D250" s="141">
        <f t="shared" si="7"/>
        <v>0.09351646374</v>
      </c>
      <c r="E250" s="141">
        <f t="shared" si="8"/>
        <v>0.01515574356</v>
      </c>
      <c r="F250" s="140">
        <f t="shared" si="9"/>
        <v>0.5206486706</v>
      </c>
      <c r="G250" s="141">
        <f t="shared" si="10"/>
        <v>0.0606259912</v>
      </c>
      <c r="H250" s="142">
        <f t="shared" si="11"/>
        <v>0</v>
      </c>
      <c r="I250" s="142">
        <f t="shared" si="12"/>
        <v>1</v>
      </c>
      <c r="J250" s="142">
        <f t="shared" si="13"/>
        <v>0</v>
      </c>
      <c r="K250" s="142">
        <f t="shared" si="14"/>
        <v>1</v>
      </c>
      <c r="L250" s="139">
        <f>Assumptions!$C$6*Assumptions!$C$7*(1+$G250-0.05*(1-1))^1+Assumptions!$C$6*Assumptions!$C$8*(1+Assumptions!$C$11)^1+Assumptions!$C$16*1+Assumptions!$C$6*Assumptions!$C$9*(1+Assumptions!$C$12)^1</f>
        <v>746.8747086</v>
      </c>
      <c r="M250" s="139">
        <f>Assumptions!$C$6*Assumptions!$C$7*(1+$G250-0.05*(1-$H250))^2+Assumptions!$C$6*Assumptions!$C$8*(1+Assumptions!$C$11)^2+Assumptions!$C$16*$H250+Assumptions!$C$6*Assumptions!$C$9*(1+Assumptions!$C$12)^2</f>
        <v>680.2567834</v>
      </c>
      <c r="N250" s="139">
        <f>Assumptions!$C$6*Assumptions!$C$7*(1+$G250-0.05*(1-$I250))^3+Assumptions!$C$6*Assumptions!$C$8*(1+Assumptions!$C$11)^3+Assumptions!$C$16*$I250+Assumptions!$C$6*Assumptions!$C$9*(1+Assumptions!$C$12)^3</f>
        <v>804.801329</v>
      </c>
      <c r="O250" s="139">
        <f>Assumptions!$C$6*Assumptions!$C$7*(1+$G250-0.05*(1-$J250))^4+Assumptions!$C$6*Assumptions!$C$8*(1+Assumptions!$C$11)^4+Assumptions!$C$16*$J250+Assumptions!$C$6*Assumptions!$C$9*(1+Assumptions!$C$12)^4</f>
        <v>701.1950512</v>
      </c>
      <c r="P250" s="139">
        <f>Assumptions!$C$6*Assumptions!$C$7*(1+$G250-0.05*(1-$K250))^5+Assumptions!$C$6*Assumptions!$C$8*(1+Assumptions!$C$11)^5+Assumptions!$C$16*$K250+Assumptions!$C$6*Assumptions!$C$9*(1+Assumptions!$C$12)^5</f>
        <v>868.8381071</v>
      </c>
      <c r="Q250" s="139">
        <f>($L250*(1-(Assumptions!$C$25+0.06*(1-1))-Assumptions!$C$27)-Assumptions!$C$28)-MAX(0,($L250*(1-(Assumptions!$C$25+0.06*(1-1))-Assumptions!$C$27)-Assumptions!$C$28)*Assumptions!$C$31)+Assumptions!$C$28-Assumptions!$C$29-$L250*Assumptions!$C$30</f>
        <v>93.07806236</v>
      </c>
      <c r="R250" s="139">
        <f>($M250*(1-(Assumptions!$C$25+0.06*(1-$H250))-Assumptions!$C$27)-Assumptions!$C$28)-MAX(0,($M250*(1-(Assumptions!$C$25+0.06*(1-$H250))-Assumptions!$C$27)-Assumptions!$C$28)*Assumptions!$C$31)+Assumptions!$C$28-Assumptions!$C$29-$M250*Assumptions!$C$30</f>
        <v>36.45906017</v>
      </c>
      <c r="S250" s="139">
        <f>($N250*(1-(Assumptions!$C$25+0.06*(1-$I250))-Assumptions!$C$27)-Assumptions!$C$28)-MAX(0,($N250*(1-(Assumptions!$C$25+0.06*(1-$I250))-Assumptions!$C$27)-Assumptions!$C$28)*Assumptions!$C$31)+Assumptions!$C$28-Assumptions!$C$29-$N250*Assumptions!$C$30</f>
        <v>105.5322857</v>
      </c>
      <c r="T250" s="139">
        <f>($O250*(1-(Assumptions!$C$25+0.06*(1-$J250))-Assumptions!$C$27)-Assumptions!$C$28)-MAX(0,($O250*(1-(Assumptions!$C$25+0.06*(1-$J250))-Assumptions!$C$27)-Assumptions!$C$28)*Assumptions!$C$31)+Assumptions!$C$28-Assumptions!$C$29-$O250*Assumptions!$C$30</f>
        <v>41.27486179</v>
      </c>
      <c r="U250" s="139">
        <f>($P250*(1-(Assumptions!$C$25+0.06*(1-$K250))-Assumptions!$C$27)-Assumptions!$C$28)-MAX(0,($P250*(1-(Assumptions!$C$25+0.06*(1-$K250))-Assumptions!$C$27)-Assumptions!$C$28)*Assumptions!$C$31)+Assumptions!$C$28-Assumptions!$C$29-$P250*Assumptions!$C$30</f>
        <v>119.300193</v>
      </c>
      <c r="V250" s="143">
        <f>(($Q250/(1+$D250)^1+$R250/(1+$D250)^2+$S250/(1+$D250)^3+$T250/(1+$D250)^4+$U250/(1+$D250)^5+$U250*(1+$E250)/($D250-$E250)/(1+$D250)^5)-Assumptions!$C$37)/Assumptions!$C$40/Assumptions!$C$38</f>
        <v>4.668449962</v>
      </c>
    </row>
    <row r="251" ht="12.0" customHeight="1">
      <c r="B251" s="139">
        <v>199.0</v>
      </c>
      <c r="C251" s="140">
        <f t="shared" si="6"/>
        <v>0.07894760215</v>
      </c>
      <c r="D251" s="141">
        <f t="shared" si="7"/>
        <v>0.09017331974</v>
      </c>
      <c r="E251" s="141">
        <f t="shared" si="8"/>
        <v>0.0201027963</v>
      </c>
      <c r="F251" s="140">
        <f t="shared" si="9"/>
        <v>0.4155775673</v>
      </c>
      <c r="G251" s="141">
        <f t="shared" si="10"/>
        <v>0.057350313</v>
      </c>
      <c r="H251" s="142">
        <f t="shared" si="11"/>
        <v>1</v>
      </c>
      <c r="I251" s="142">
        <f t="shared" si="12"/>
        <v>1</v>
      </c>
      <c r="J251" s="142">
        <f t="shared" si="13"/>
        <v>0</v>
      </c>
      <c r="K251" s="142">
        <f t="shared" si="14"/>
        <v>1</v>
      </c>
      <c r="L251" s="139">
        <f>Assumptions!$C$6*Assumptions!$C$7*(1+$G251-0.05*(1-1))^1+Assumptions!$C$6*Assumptions!$C$8*(1+Assumptions!$C$11)^1+Assumptions!$C$16*1+Assumptions!$C$6*Assumptions!$C$9*(1+Assumptions!$C$12)^1</f>
        <v>745.7721154</v>
      </c>
      <c r="M251" s="139">
        <f>Assumptions!$C$6*Assumptions!$C$7*(1+$G251-0.05*(1-$H251))^2+Assumptions!$C$6*Assumptions!$C$8*(1+Assumptions!$C$11)^2+Assumptions!$C$16*$H251+Assumptions!$C$6*Assumptions!$C$9*(1+Assumptions!$C$12)^2</f>
        <v>772.7806878</v>
      </c>
      <c r="N251" s="139">
        <f>Assumptions!$C$6*Assumptions!$C$7*(1+$G251-0.05*(1-$I251))^3+Assumptions!$C$6*Assumptions!$C$8*(1+Assumptions!$C$11)^3+Assumptions!$C$16*$I251+Assumptions!$C$6*Assumptions!$C$9*(1+Assumptions!$C$12)^3</f>
        <v>801.0917968</v>
      </c>
      <c r="O251" s="139">
        <f>Assumptions!$C$6*Assumptions!$C$7*(1+$G251-0.05*(1-$J251))^4+Assumptions!$C$6*Assumptions!$C$8*(1+Assumptions!$C$11)^4+Assumptions!$C$16*$J251+Assumptions!$C$6*Assumptions!$C$9*(1+Assumptions!$C$12)^4</f>
        <v>696.6646708</v>
      </c>
      <c r="P251" s="139">
        <f>Assumptions!$C$6*Assumptions!$C$7*(1+$G251-0.05*(1-$K251))^5+Assumptions!$C$6*Assumptions!$C$8*(1+Assumptions!$C$11)^5+Assumptions!$C$16*$K251+Assumptions!$C$6*Assumptions!$C$9*(1+Assumptions!$C$12)^5</f>
        <v>861.9046181</v>
      </c>
      <c r="Q251" s="139">
        <f>($L251*(1-(Assumptions!$C$25+0.06*(1-1))-Assumptions!$C$27)-Assumptions!$C$28)-MAX(0,($L251*(1-(Assumptions!$C$25+0.06*(1-1))-Assumptions!$C$27)-Assumptions!$C$28)*Assumptions!$C$31)+Assumptions!$C$28-Assumptions!$C$29-$L251*Assumptions!$C$30</f>
        <v>92.8410048</v>
      </c>
      <c r="R251" s="139">
        <f>($M251*(1-(Assumptions!$C$25+0.06*(1-$H251))-Assumptions!$C$27)-Assumptions!$C$28)-MAX(0,($M251*(1-(Assumptions!$C$25+0.06*(1-$H251))-Assumptions!$C$27)-Assumptions!$C$28)*Assumptions!$C$31)+Assumptions!$C$28-Assumptions!$C$29-$M251*Assumptions!$C$30</f>
        <v>98.64784787</v>
      </c>
      <c r="S251" s="139">
        <f>($N251*(1-(Assumptions!$C$25+0.06*(1-$I251))-Assumptions!$C$27)-Assumptions!$C$28)-MAX(0,($N251*(1-(Assumptions!$C$25+0.06*(1-$I251))-Assumptions!$C$27)-Assumptions!$C$28)*Assumptions!$C$31)+Assumptions!$C$28-Assumptions!$C$29-$N251*Assumptions!$C$30</f>
        <v>104.7347363</v>
      </c>
      <c r="T251" s="139">
        <f>($O251*(1-(Assumptions!$C$25+0.06*(1-$J251))-Assumptions!$C$27)-Assumptions!$C$28)-MAX(0,($O251*(1-(Assumptions!$C$25+0.06*(1-$J251))-Assumptions!$C$27)-Assumptions!$C$28)*Assumptions!$C$31)+Assumptions!$C$28-Assumptions!$C$29-$O251*Assumptions!$C$30</f>
        <v>40.23287427</v>
      </c>
      <c r="U251" s="139">
        <f>($P251*(1-(Assumptions!$C$25+0.06*(1-$K251))-Assumptions!$C$27)-Assumptions!$C$28)-MAX(0,($P251*(1-(Assumptions!$C$25+0.06*(1-$K251))-Assumptions!$C$27)-Assumptions!$C$28)*Assumptions!$C$31)+Assumptions!$C$28-Assumptions!$C$29-$P251*Assumptions!$C$30</f>
        <v>117.8094929</v>
      </c>
      <c r="V251" s="143">
        <f>(($Q251/(1+$D251)^1+$R251/(1+$D251)^2+$S251/(1+$D251)^3+$T251/(1+$D251)^4+$U251/(1+$D251)^5+$U251*(1+$E251)/($D251-$E251)/(1+$D251)^5)-Assumptions!$C$37)/Assumptions!$C$40/Assumptions!$C$38</f>
        <v>6.056673898</v>
      </c>
    </row>
    <row r="252" ht="12.0" customHeight="1">
      <c r="B252" s="139">
        <v>200.0</v>
      </c>
      <c r="C252" s="140">
        <f t="shared" si="6"/>
        <v>0.5534276536</v>
      </c>
      <c r="D252" s="141">
        <f t="shared" si="7"/>
        <v>0.09917195254</v>
      </c>
      <c r="E252" s="141">
        <f t="shared" si="8"/>
        <v>0.01124608672</v>
      </c>
      <c r="F252" s="140">
        <f t="shared" si="9"/>
        <v>0.5384496349</v>
      </c>
      <c r="G252" s="141">
        <f t="shared" si="10"/>
        <v>0.06117656063</v>
      </c>
      <c r="H252" s="142">
        <f t="shared" si="11"/>
        <v>1</v>
      </c>
      <c r="I252" s="142">
        <f t="shared" si="12"/>
        <v>0</v>
      </c>
      <c r="J252" s="142">
        <f t="shared" si="13"/>
        <v>1</v>
      </c>
      <c r="K252" s="142">
        <f t="shared" si="14"/>
        <v>1</v>
      </c>
      <c r="L252" s="139">
        <f>Assumptions!$C$6*Assumptions!$C$7*(1+$G252-0.05*(1-1))^1+Assumptions!$C$6*Assumptions!$C$8*(1+Assumptions!$C$11)^1+Assumptions!$C$16*1+Assumptions!$C$6*Assumptions!$C$9*(1+Assumptions!$C$12)^1</f>
        <v>747.0600303</v>
      </c>
      <c r="M252" s="139">
        <f>Assumptions!$C$6*Assumptions!$C$7*(1+$G252-0.05*(1-$H252))^2+Assumptions!$C$6*Assumptions!$C$8*(1+Assumptions!$C$11)^2+Assumptions!$C$16*$H252+Assumptions!$C$6*Assumptions!$C$9*(1+Assumptions!$C$12)^2</f>
        <v>775.5091702</v>
      </c>
      <c r="N252" s="139">
        <f>Assumptions!$C$6*Assumptions!$C$7*(1+$G252-0.05*(1-$I252))^3+Assumptions!$C$6*Assumptions!$C$8*(1+Assumptions!$C$11)^3+Assumptions!$C$16*$I252+Assumptions!$C$6*Assumptions!$C$9*(1+Assumptions!$C$12)^3</f>
        <v>691.2073677</v>
      </c>
      <c r="O252" s="139">
        <f>Assumptions!$C$6*Assumptions!$C$7*(1+$G252-0.05*(1-$J252))^4+Assumptions!$C$6*Assumptions!$C$8*(1+Assumptions!$C$11)^4+Assumptions!$C$16*$J252+Assumptions!$C$6*Assumptions!$C$9*(1+Assumptions!$C$12)^4</f>
        <v>836.8981626</v>
      </c>
      <c r="P252" s="139">
        <f>Assumptions!$C$6*Assumptions!$C$7*(1+$G252-0.05*(1-$K252))^5+Assumptions!$C$6*Assumptions!$C$8*(1+Assumptions!$C$11)^5+Assumptions!$C$16*$K252+Assumptions!$C$6*Assumptions!$C$9*(1+Assumptions!$C$12)^5</f>
        <v>870.0119126</v>
      </c>
      <c r="Q252" s="139">
        <f>($L252*(1-(Assumptions!$C$25+0.06*(1-1))-Assumptions!$C$27)-Assumptions!$C$28)-MAX(0,($L252*(1-(Assumptions!$C$25+0.06*(1-1))-Assumptions!$C$27)-Assumptions!$C$28)*Assumptions!$C$31)+Assumptions!$C$28-Assumptions!$C$29-$L252*Assumptions!$C$30</f>
        <v>93.11790652</v>
      </c>
      <c r="R252" s="139">
        <f>($M252*(1-(Assumptions!$C$25+0.06*(1-$H252))-Assumptions!$C$27)-Assumptions!$C$28)-MAX(0,($M252*(1-(Assumptions!$C$25+0.06*(1-$H252))-Assumptions!$C$27)-Assumptions!$C$28)*Assumptions!$C$31)+Assumptions!$C$28-Assumptions!$C$29-$M252*Assumptions!$C$30</f>
        <v>99.23447159</v>
      </c>
      <c r="S252" s="139">
        <f>($N252*(1-(Assumptions!$C$25+0.06*(1-$I252))-Assumptions!$C$27)-Assumptions!$C$28)-MAX(0,($N252*(1-(Assumptions!$C$25+0.06*(1-$I252))-Assumptions!$C$27)-Assumptions!$C$28)*Assumptions!$C$31)+Assumptions!$C$28-Assumptions!$C$29-$N252*Assumptions!$C$30</f>
        <v>38.97769458</v>
      </c>
      <c r="T252" s="139">
        <f>($O252*(1-(Assumptions!$C$25+0.06*(1-$J252))-Assumptions!$C$27)-Assumptions!$C$28)-MAX(0,($O252*(1-(Assumptions!$C$25+0.06*(1-$J252))-Assumptions!$C$27)-Assumptions!$C$28)*Assumptions!$C$31)+Assumptions!$C$28-Assumptions!$C$29-$O252*Assumptions!$C$30</f>
        <v>112.433105</v>
      </c>
      <c r="U252" s="139">
        <f>($P252*(1-(Assumptions!$C$25+0.06*(1-$K252))-Assumptions!$C$27)-Assumptions!$C$28)-MAX(0,($P252*(1-(Assumptions!$C$25+0.06*(1-$K252))-Assumptions!$C$27)-Assumptions!$C$28)*Assumptions!$C$31)+Assumptions!$C$28-Assumptions!$C$29-$P252*Assumptions!$C$30</f>
        <v>119.5525612</v>
      </c>
      <c r="V252" s="143">
        <f>(($Q252/(1+$D252)^1+$R252/(1+$D252)^2+$S252/(1+$D252)^3+$T252/(1+$D252)^4+$U252/(1+$D252)^5+$U252*(1+$E252)/($D252-$E252)/(1+$D252)^5)-Assumptions!$C$37)/Assumptions!$C$40/Assumptions!$C$38</f>
        <v>4.003596905</v>
      </c>
    </row>
    <row r="253" ht="12.0" customHeight="1">
      <c r="B253" s="139">
        <v>201.0</v>
      </c>
      <c r="C253" s="140">
        <f t="shared" si="6"/>
        <v>0.55094594</v>
      </c>
      <c r="D253" s="141">
        <f t="shared" si="7"/>
        <v>0.09912803328</v>
      </c>
      <c r="E253" s="141">
        <f t="shared" si="8"/>
        <v>0.01042143456</v>
      </c>
      <c r="F253" s="140">
        <f t="shared" si="9"/>
        <v>0.4131783145</v>
      </c>
      <c r="G253" s="141">
        <f t="shared" si="10"/>
        <v>0.05727124798</v>
      </c>
      <c r="H253" s="142">
        <f t="shared" si="11"/>
        <v>1</v>
      </c>
      <c r="I253" s="142">
        <f t="shared" si="12"/>
        <v>0</v>
      </c>
      <c r="J253" s="142">
        <f t="shared" si="13"/>
        <v>1</v>
      </c>
      <c r="K253" s="142">
        <f t="shared" si="14"/>
        <v>1</v>
      </c>
      <c r="L253" s="139">
        <f>Assumptions!$C$6*Assumptions!$C$7*(1+$G253-0.05*(1-1))^1+Assumptions!$C$6*Assumptions!$C$8*(1+Assumptions!$C$11)^1+Assumptions!$C$16*1+Assumptions!$C$6*Assumptions!$C$9*(1+Assumptions!$C$12)^1</f>
        <v>745.7455021</v>
      </c>
      <c r="M253" s="139">
        <f>Assumptions!$C$6*Assumptions!$C$7*(1+$G253-0.05*(1-$H253))^2+Assumptions!$C$6*Assumptions!$C$8*(1+Assumptions!$C$11)^2+Assumptions!$C$16*$H253+Assumptions!$C$6*Assumptions!$C$9*(1+Assumptions!$C$12)^2</f>
        <v>772.7244107</v>
      </c>
      <c r="N253" s="139">
        <f>Assumptions!$C$6*Assumptions!$C$7*(1+$G253-0.05*(1-$I253))^3+Assumptions!$C$6*Assumptions!$C$8*(1+Assumptions!$C$11)^3+Assumptions!$C$16*$I253+Assumptions!$C$6*Assumptions!$C$9*(1+Assumptions!$C$12)^3</f>
        <v>687.190692</v>
      </c>
      <c r="O253" s="139">
        <f>Assumptions!$C$6*Assumptions!$C$7*(1+$G253-0.05*(1-$J253))^4+Assumptions!$C$6*Assumptions!$C$8*(1+Assumptions!$C$11)^4+Assumptions!$C$16*$J253+Assumptions!$C$6*Assumptions!$C$9*(1+Assumptions!$C$12)^4</f>
        <v>830.6493902</v>
      </c>
      <c r="P253" s="139">
        <f>Assumptions!$C$6*Assumptions!$C$7*(1+$G253-0.05*(1-$K253))^5+Assumptions!$C$6*Assumptions!$C$8*(1+Assumptions!$C$11)^5+Assumptions!$C$16*$K253+Assumptions!$C$6*Assumptions!$C$9*(1+Assumptions!$C$12)^5</f>
        <v>861.7383231</v>
      </c>
      <c r="Q253" s="139">
        <f>($L253*(1-(Assumptions!$C$25+0.06*(1-1))-Assumptions!$C$27)-Assumptions!$C$28)-MAX(0,($L253*(1-(Assumptions!$C$25+0.06*(1-1))-Assumptions!$C$27)-Assumptions!$C$28)*Assumptions!$C$31)+Assumptions!$C$28-Assumptions!$C$29-$L253*Assumptions!$C$30</f>
        <v>92.83528294</v>
      </c>
      <c r="R253" s="139">
        <f>($M253*(1-(Assumptions!$C$25+0.06*(1-$H253))-Assumptions!$C$27)-Assumptions!$C$28)-MAX(0,($M253*(1-(Assumptions!$C$25+0.06*(1-$H253))-Assumptions!$C$27)-Assumptions!$C$28)*Assumptions!$C$31)+Assumptions!$C$28-Assumptions!$C$29-$M253*Assumptions!$C$30</f>
        <v>98.63574831</v>
      </c>
      <c r="S253" s="139">
        <f>($N253*(1-(Assumptions!$C$25+0.06*(1-$I253))-Assumptions!$C$27)-Assumptions!$C$28)-MAX(0,($N253*(1-(Assumptions!$C$25+0.06*(1-$I253))-Assumptions!$C$27)-Assumptions!$C$28)*Assumptions!$C$31)+Assumptions!$C$28-Assumptions!$C$29-$N253*Assumptions!$C$30</f>
        <v>38.05385916</v>
      </c>
      <c r="T253" s="139">
        <f>($O253*(1-(Assumptions!$C$25+0.06*(1-$J253))-Assumptions!$C$27)-Assumptions!$C$28)-MAX(0,($O253*(1-(Assumptions!$C$25+0.06*(1-$J253))-Assumptions!$C$27)-Assumptions!$C$28)*Assumptions!$C$31)+Assumptions!$C$28-Assumptions!$C$29-$O253*Assumptions!$C$30</f>
        <v>111.0896189</v>
      </c>
      <c r="U253" s="139">
        <f>($P253*(1-(Assumptions!$C$25+0.06*(1-$K253))-Assumptions!$C$27)-Assumptions!$C$28)-MAX(0,($P253*(1-(Assumptions!$C$25+0.06*(1-$K253))-Assumptions!$C$27)-Assumptions!$C$28)*Assumptions!$C$31)+Assumptions!$C$28-Assumptions!$C$29-$P253*Assumptions!$C$30</f>
        <v>117.7737395</v>
      </c>
      <c r="V253" s="143">
        <f>(($Q253/(1+$D253)^1+$R253/(1+$D253)^2+$S253/(1+$D253)^3+$T253/(1+$D253)^4+$U253/(1+$D253)^5+$U253*(1+$E253)/($D253-$E253)/(1+$D253)^5)-Assumptions!$C$37)/Assumptions!$C$40/Assumptions!$C$38</f>
        <v>3.815256895</v>
      </c>
    </row>
    <row r="254" ht="12.0" customHeight="1">
      <c r="B254" s="139">
        <v>202.0</v>
      </c>
      <c r="C254" s="140">
        <f t="shared" si="6"/>
        <v>0.7552325743</v>
      </c>
      <c r="D254" s="141">
        <f t="shared" si="7"/>
        <v>0.1032818719</v>
      </c>
      <c r="E254" s="141">
        <f t="shared" si="8"/>
        <v>0.01181032238</v>
      </c>
      <c r="F254" s="140">
        <f t="shared" si="9"/>
        <v>0.3085480413</v>
      </c>
      <c r="G254" s="141">
        <f t="shared" si="10"/>
        <v>0.05356663901</v>
      </c>
      <c r="H254" s="142">
        <f t="shared" si="11"/>
        <v>1</v>
      </c>
      <c r="I254" s="142">
        <f t="shared" si="12"/>
        <v>0</v>
      </c>
      <c r="J254" s="142">
        <f t="shared" si="13"/>
        <v>0</v>
      </c>
      <c r="K254" s="142">
        <f t="shared" si="14"/>
        <v>0</v>
      </c>
      <c r="L254" s="139">
        <f>Assumptions!$C$6*Assumptions!$C$7*(1+$G254-0.05*(1-1))^1+Assumptions!$C$6*Assumptions!$C$8*(1+Assumptions!$C$11)^1+Assumptions!$C$16*1+Assumptions!$C$6*Assumptions!$C$9*(1+Assumptions!$C$12)^1</f>
        <v>744.4985307</v>
      </c>
      <c r="M254" s="139">
        <f>Assumptions!$C$6*Assumptions!$C$7*(1+$G254-0.05*(1-$H254))^2+Assumptions!$C$6*Assumptions!$C$8*(1+Assumptions!$C$11)^2+Assumptions!$C$16*$H254+Assumptions!$C$6*Assumptions!$C$9*(1+Assumptions!$C$12)^2</f>
        <v>770.0922563</v>
      </c>
      <c r="N254" s="139">
        <f>Assumptions!$C$6*Assumptions!$C$7*(1+$G254-0.05*(1-$I254))^3+Assumptions!$C$6*Assumptions!$C$8*(1+Assumptions!$C$11)^3+Assumptions!$C$16*$I254+Assumptions!$C$6*Assumptions!$C$9*(1+Assumptions!$C$12)^3</f>
        <v>683.4091201</v>
      </c>
      <c r="O254" s="139">
        <f>Assumptions!$C$6*Assumptions!$C$7*(1+$G254-0.05*(1-$J254))^4+Assumptions!$C$6*Assumptions!$C$8*(1+Assumptions!$C$11)^4+Assumptions!$C$16*$J254+Assumptions!$C$6*Assumptions!$C$9*(1+Assumptions!$C$12)^4</f>
        <v>691.4864356</v>
      </c>
      <c r="P254" s="139">
        <f>Assumptions!$C$6*Assumptions!$C$7*(1+$G254-0.05*(1-$K254))^5+Assumptions!$C$6*Assumptions!$C$8*(1+Assumptions!$C$11)^5+Assumptions!$C$16*$K254+Assumptions!$C$6*Assumptions!$C$9*(1+Assumptions!$C$12)^5</f>
        <v>699.7053568</v>
      </c>
      <c r="Q254" s="139">
        <f>($L254*(1-(Assumptions!$C$25+0.06*(1-1))-Assumptions!$C$27)-Assumptions!$C$28)-MAX(0,($L254*(1-(Assumptions!$C$25+0.06*(1-1))-Assumptions!$C$27)-Assumptions!$C$28)*Assumptions!$C$31)+Assumptions!$C$28-Assumptions!$C$29-$L254*Assumptions!$C$30</f>
        <v>92.5671841</v>
      </c>
      <c r="R254" s="139">
        <f>($M254*(1-(Assumptions!$C$25+0.06*(1-$H254))-Assumptions!$C$27)-Assumptions!$C$28)-MAX(0,($M254*(1-(Assumptions!$C$25+0.06*(1-$H254))-Assumptions!$C$27)-Assumptions!$C$28)*Assumptions!$C$31)+Assumptions!$C$28-Assumptions!$C$29-$M254*Assumptions!$C$30</f>
        <v>98.06983511</v>
      </c>
      <c r="S254" s="139">
        <f>($N254*(1-(Assumptions!$C$25+0.06*(1-$I254))-Assumptions!$C$27)-Assumptions!$C$28)-MAX(0,($N254*(1-(Assumptions!$C$25+0.06*(1-$I254))-Assumptions!$C$27)-Assumptions!$C$28)*Assumptions!$C$31)+Assumptions!$C$28-Assumptions!$C$29-$N254*Assumptions!$C$30</f>
        <v>37.18409763</v>
      </c>
      <c r="T254" s="139">
        <f>($O254*(1-(Assumptions!$C$25+0.06*(1-$J254))-Assumptions!$C$27)-Assumptions!$C$28)-MAX(0,($O254*(1-(Assumptions!$C$25+0.06*(1-$J254))-Assumptions!$C$27)-Assumptions!$C$28)*Assumptions!$C$31)+Assumptions!$C$28-Assumptions!$C$29-$O254*Assumptions!$C$30</f>
        <v>39.04188019</v>
      </c>
      <c r="U254" s="139">
        <f>($P254*(1-(Assumptions!$C$25+0.06*(1-$K254))-Assumptions!$C$27)-Assumptions!$C$28)-MAX(0,($P254*(1-(Assumptions!$C$25+0.06*(1-$K254))-Assumptions!$C$27)-Assumptions!$C$28)*Assumptions!$C$31)+Assumptions!$C$28-Assumptions!$C$29-$P254*Assumptions!$C$30</f>
        <v>40.93223206</v>
      </c>
      <c r="V254" s="143">
        <f>(($Q254/(1+$D254)^1+$R254/(1+$D254)^2+$S254/(1+$D254)^3+$T254/(1+$D254)^4+$U254/(1+$D254)^5+$U254*(1+$E254)/($D254-$E254)/(1+$D254)^5)-Assumptions!$C$37)/Assumptions!$C$40/Assumptions!$C$38</f>
        <v>-1.335830066</v>
      </c>
    </row>
    <row r="255" ht="12.0" customHeight="1">
      <c r="B255" s="139">
        <v>203.0</v>
      </c>
      <c r="C255" s="140">
        <f t="shared" si="6"/>
        <v>0.297616791</v>
      </c>
      <c r="D255" s="141">
        <f t="shared" si="7"/>
        <v>0.09504450557</v>
      </c>
      <c r="E255" s="141">
        <f t="shared" si="8"/>
        <v>0.01964935813</v>
      </c>
      <c r="F255" s="140">
        <f t="shared" si="9"/>
        <v>0.6303549999</v>
      </c>
      <c r="G255" s="141">
        <f t="shared" si="10"/>
        <v>0.06420540754</v>
      </c>
      <c r="H255" s="142">
        <f t="shared" si="11"/>
        <v>0</v>
      </c>
      <c r="I255" s="142">
        <f t="shared" si="12"/>
        <v>1</v>
      </c>
      <c r="J255" s="142">
        <f t="shared" si="13"/>
        <v>1</v>
      </c>
      <c r="K255" s="142">
        <f t="shared" si="14"/>
        <v>1</v>
      </c>
      <c r="L255" s="139">
        <f>Assumptions!$C$6*Assumptions!$C$7*(1+$G255-0.05*(1-1))^1+Assumptions!$C$6*Assumptions!$C$8*(1+Assumptions!$C$11)^1+Assumptions!$C$16*1+Assumptions!$C$6*Assumptions!$C$9*(1+Assumptions!$C$12)^1</f>
        <v>748.0795402</v>
      </c>
      <c r="M255" s="139">
        <f>Assumptions!$C$6*Assumptions!$C$7*(1+$G255-0.05*(1-$H255))^2+Assumptions!$C$6*Assumptions!$C$8*(1+Assumptions!$C$11)^2+Assumptions!$C$16*$H255+Assumptions!$C$6*Assumptions!$C$9*(1+Assumptions!$C$12)^2</f>
        <v>682.6963641</v>
      </c>
      <c r="N255" s="139">
        <f>Assumptions!$C$6*Assumptions!$C$7*(1+$G255-0.05*(1-$I255))^3+Assumptions!$C$6*Assumptions!$C$8*(1+Assumptions!$C$11)^3+Assumptions!$C$16*$I255+Assumptions!$C$6*Assumptions!$C$9*(1+Assumptions!$C$12)^3</f>
        <v>808.881111</v>
      </c>
      <c r="O255" s="139">
        <f>Assumptions!$C$6*Assumptions!$C$7*(1+$G255-0.05*(1-$J255))^4+Assumptions!$C$6*Assumptions!$C$8*(1+Assumptions!$C$11)^4+Assumptions!$C$16*$J255+Assumptions!$C$6*Assumptions!$C$9*(1+Assumptions!$C$12)^4</f>
        <v>841.7922678</v>
      </c>
      <c r="P255" s="139">
        <f>Assumptions!$C$6*Assumptions!$C$7*(1+$G255-0.05*(1-$K255))^5+Assumptions!$C$6*Assumptions!$C$8*(1+Assumptions!$C$11)^5+Assumptions!$C$16*$K255+Assumptions!$C$6*Assumptions!$C$9*(1+Assumptions!$C$12)^5</f>
        <v>876.5130776</v>
      </c>
      <c r="Q255" s="139">
        <f>($L255*(1-(Assumptions!$C$25+0.06*(1-1))-Assumptions!$C$27)-Assumptions!$C$28)-MAX(0,($L255*(1-(Assumptions!$C$25+0.06*(1-1))-Assumptions!$C$27)-Assumptions!$C$28)*Assumptions!$C$31)+Assumptions!$C$28-Assumptions!$C$29-$L255*Assumptions!$C$30</f>
        <v>93.33710114</v>
      </c>
      <c r="R255" s="139">
        <f>($M255*(1-(Assumptions!$C$25+0.06*(1-$H255))-Assumptions!$C$27)-Assumptions!$C$28)-MAX(0,($M255*(1-(Assumptions!$C$25+0.06*(1-$H255))-Assumptions!$C$27)-Assumptions!$C$28)*Assumptions!$C$31)+Assumptions!$C$28-Assumptions!$C$29-$M255*Assumptions!$C$30</f>
        <v>37.02016374</v>
      </c>
      <c r="S255" s="139">
        <f>($N255*(1-(Assumptions!$C$25+0.06*(1-$I255))-Assumptions!$C$27)-Assumptions!$C$28)-MAX(0,($N255*(1-(Assumptions!$C$25+0.06*(1-$I255))-Assumptions!$C$27)-Assumptions!$C$28)*Assumptions!$C$31)+Assumptions!$C$28-Assumptions!$C$29-$N255*Assumptions!$C$30</f>
        <v>106.4094389</v>
      </c>
      <c r="T255" s="139">
        <f>($O255*(1-(Assumptions!$C$25+0.06*(1-$J255))-Assumptions!$C$27)-Assumptions!$C$28)-MAX(0,($O255*(1-(Assumptions!$C$25+0.06*(1-$J255))-Assumptions!$C$27)-Assumptions!$C$28)*Assumptions!$C$31)+Assumptions!$C$28-Assumptions!$C$29-$O255*Assumptions!$C$30</f>
        <v>113.4853376</v>
      </c>
      <c r="U255" s="139">
        <f>($P255*(1-(Assumptions!$C$25+0.06*(1-$K255))-Assumptions!$C$27)-Assumptions!$C$28)-MAX(0,($P255*(1-(Assumptions!$C$25+0.06*(1-$K255))-Assumptions!$C$27)-Assumptions!$C$28)*Assumptions!$C$31)+Assumptions!$C$28-Assumptions!$C$29-$P255*Assumptions!$C$30</f>
        <v>120.9503117</v>
      </c>
      <c r="V255" s="143">
        <f>(($Q255/(1+$D255)^1+$R255/(1+$D255)^2+$S255/(1+$D255)^3+$T255/(1+$D255)^4+$U255/(1+$D255)^5+$U255*(1+$E255)/($D255-$E255)/(1+$D255)^5)-Assumptions!$C$37)/Assumptions!$C$40/Assumptions!$C$38</f>
        <v>5.463106693</v>
      </c>
    </row>
    <row r="256" ht="12.0" customHeight="1">
      <c r="B256" s="139">
        <v>204.0</v>
      </c>
      <c r="C256" s="140">
        <f t="shared" si="6"/>
        <v>0.7118333107</v>
      </c>
      <c r="D256" s="141">
        <f t="shared" si="7"/>
        <v>0.1022853819</v>
      </c>
      <c r="E256" s="141">
        <f t="shared" si="8"/>
        <v>0.01109129723</v>
      </c>
      <c r="F256" s="140">
        <f t="shared" si="9"/>
        <v>0.8144806755</v>
      </c>
      <c r="G256" s="141">
        <f t="shared" si="10"/>
        <v>0.07172611743</v>
      </c>
      <c r="H256" s="142">
        <f t="shared" si="11"/>
        <v>1</v>
      </c>
      <c r="I256" s="142">
        <f t="shared" si="12"/>
        <v>1</v>
      </c>
      <c r="J256" s="142">
        <f t="shared" si="13"/>
        <v>0</v>
      </c>
      <c r="K256" s="142">
        <f t="shared" si="14"/>
        <v>0</v>
      </c>
      <c r="L256" s="139">
        <f>Assumptions!$C$6*Assumptions!$C$7*(1+$G256-0.05*(1-1))^1+Assumptions!$C$6*Assumptions!$C$8*(1+Assumptions!$C$11)^1+Assumptions!$C$16*1+Assumptions!$C$6*Assumptions!$C$9*(1+Assumptions!$C$12)^1</f>
        <v>750.6110111</v>
      </c>
      <c r="M256" s="139">
        <f>Assumptions!$C$6*Assumptions!$C$7*(1+$G256-0.05*(1-$H256))^2+Assumptions!$C$6*Assumptions!$C$8*(1+Assumptions!$C$11)^2+Assumptions!$C$16*$H256+Assumptions!$C$6*Assumptions!$C$9*(1+Assumptions!$C$12)^2</f>
        <v>783.0830667</v>
      </c>
      <c r="N256" s="139">
        <f>Assumptions!$C$6*Assumptions!$C$7*(1+$G256-0.05*(1-$I256))^3+Assumptions!$C$6*Assumptions!$C$8*(1+Assumptions!$C$11)^3+Assumptions!$C$16*$I256+Assumptions!$C$6*Assumptions!$C$9*(1+Assumptions!$C$12)^3</f>
        <v>817.5429609</v>
      </c>
      <c r="O256" s="139">
        <f>Assumptions!$C$6*Assumptions!$C$7*(1+$G256-0.05*(1-$J256))^4+Assumptions!$C$6*Assumptions!$C$8*(1+Assumptions!$C$11)^4+Assumptions!$C$16*$J256+Assumptions!$C$6*Assumptions!$C$9*(1+Assumptions!$C$12)^4</f>
        <v>716.8777878</v>
      </c>
      <c r="P256" s="139">
        <f>Assumptions!$C$6*Assumptions!$C$7*(1+$G256-0.05*(1-$K256))^5+Assumptions!$C$6*Assumptions!$C$8*(1+Assumptions!$C$11)^5+Assumptions!$C$16*$K256+Assumptions!$C$6*Assumptions!$C$9*(1+Assumptions!$C$12)^5</f>
        <v>731.8485166</v>
      </c>
      <c r="Q256" s="139">
        <f>($L256*(1-(Assumptions!$C$25+0.06*(1-1))-Assumptions!$C$27)-Assumptions!$C$28)-MAX(0,($L256*(1-(Assumptions!$C$25+0.06*(1-1))-Assumptions!$C$27)-Assumptions!$C$28)*Assumptions!$C$31)+Assumptions!$C$28-Assumptions!$C$29-$L256*Assumptions!$C$30</f>
        <v>93.88136739</v>
      </c>
      <c r="R256" s="139">
        <f>($M256*(1-(Assumptions!$C$25+0.06*(1-$H256))-Assumptions!$C$27)-Assumptions!$C$28)-MAX(0,($M256*(1-(Assumptions!$C$25+0.06*(1-$H256))-Assumptions!$C$27)-Assumptions!$C$28)*Assumptions!$C$31)+Assumptions!$C$28-Assumptions!$C$29-$M256*Assumptions!$C$30</f>
        <v>100.8628593</v>
      </c>
      <c r="S256" s="139">
        <f>($N256*(1-(Assumptions!$C$25+0.06*(1-$I256))-Assumptions!$C$27)-Assumptions!$C$28)-MAX(0,($N256*(1-(Assumptions!$C$25+0.06*(1-$I256))-Assumptions!$C$27)-Assumptions!$C$28)*Assumptions!$C$31)+Assumptions!$C$28-Assumptions!$C$29-$N256*Assumptions!$C$30</f>
        <v>108.2717366</v>
      </c>
      <c r="T256" s="139">
        <f>($O256*(1-(Assumptions!$C$25+0.06*(1-$J256))-Assumptions!$C$27)-Assumptions!$C$28)-MAX(0,($O256*(1-(Assumptions!$C$25+0.06*(1-$J256))-Assumptions!$C$27)-Assumptions!$C$28)*Assumptions!$C$31)+Assumptions!$C$28-Assumptions!$C$29-$O256*Assumptions!$C$30</f>
        <v>44.88189118</v>
      </c>
      <c r="U256" s="139">
        <f>($P256*(1-(Assumptions!$C$25+0.06*(1-$K256))-Assumptions!$C$27)-Assumptions!$C$28)-MAX(0,($P256*(1-(Assumptions!$C$25+0.06*(1-$K256))-Assumptions!$C$27)-Assumptions!$C$28)*Assumptions!$C$31)+Assumptions!$C$28-Assumptions!$C$29-$P256*Assumptions!$C$30</f>
        <v>48.32515881</v>
      </c>
      <c r="V256" s="143">
        <f>(($Q256/(1+$D256)^1+$R256/(1+$D256)^2+$S256/(1+$D256)^3+$T256/(1+$D256)^4+$U256/(1+$D256)^5+$U256*(1+$E256)/($D256-$E256)/(1+$D256)^5)-Assumptions!$C$37)/Assumptions!$C$40/Assumptions!$C$38</f>
        <v>-0.4161697705</v>
      </c>
    </row>
    <row r="257" ht="12.0" customHeight="1">
      <c r="B257" s="139">
        <v>205.0</v>
      </c>
      <c r="C257" s="140">
        <f t="shared" si="6"/>
        <v>0.160620363</v>
      </c>
      <c r="D257" s="141">
        <f t="shared" si="7"/>
        <v>0.09237904486</v>
      </c>
      <c r="E257" s="141">
        <f t="shared" si="8"/>
        <v>0.02816242092</v>
      </c>
      <c r="F257" s="140">
        <f t="shared" si="9"/>
        <v>0.1836313557</v>
      </c>
      <c r="G257" s="141">
        <f t="shared" si="10"/>
        <v>0.04818066116</v>
      </c>
      <c r="H257" s="142">
        <f t="shared" si="11"/>
        <v>0</v>
      </c>
      <c r="I257" s="142">
        <f t="shared" si="12"/>
        <v>1</v>
      </c>
      <c r="J257" s="142">
        <f t="shared" si="13"/>
        <v>0</v>
      </c>
      <c r="K257" s="142">
        <f t="shared" si="14"/>
        <v>1</v>
      </c>
      <c r="L257" s="139">
        <f>Assumptions!$C$6*Assumptions!$C$7*(1+$G257-0.05*(1-1))^1+Assumptions!$C$6*Assumptions!$C$8*(1+Assumptions!$C$11)^1+Assumptions!$C$16*1+Assumptions!$C$6*Assumptions!$C$9*(1+Assumptions!$C$12)^1</f>
        <v>742.6856105</v>
      </c>
      <c r="M257" s="139">
        <f>Assumptions!$C$6*Assumptions!$C$7*(1+$G257-0.05*(1-$H257))^2+Assumptions!$C$6*Assumptions!$C$8*(1+Assumptions!$C$11)^2+Assumptions!$C$16*$H257+Assumptions!$C$6*Assumptions!$C$9*(1+Assumptions!$C$12)^2</f>
        <v>671.8416952</v>
      </c>
      <c r="N257" s="139">
        <f>Assumptions!$C$6*Assumptions!$C$7*(1+$G257-0.05*(1-$I257))^3+Assumptions!$C$6*Assumptions!$C$8*(1+Assumptions!$C$11)^3+Assumptions!$C$16*$I257+Assumptions!$C$6*Assumptions!$C$9*(1+Assumptions!$C$12)^3</f>
        <v>790.8292716</v>
      </c>
      <c r="O257" s="139">
        <f>Assumptions!$C$6*Assumptions!$C$7*(1+$G257-0.05*(1-$J257))^4+Assumptions!$C$6*Assumptions!$C$8*(1+Assumptions!$C$11)^4+Assumptions!$C$16*$J257+Assumptions!$C$6*Assumptions!$C$9*(1+Assumptions!$C$12)^4</f>
        <v>684.2156795</v>
      </c>
      <c r="P257" s="139">
        <f>Assumptions!$C$6*Assumptions!$C$7*(1+$G257-0.05*(1-$K257))^5+Assumptions!$C$6*Assumptions!$C$8*(1+Assumptions!$C$11)^5+Assumptions!$C$16*$K257+Assumptions!$C$6*Assumptions!$C$9*(1+Assumptions!$C$12)^5</f>
        <v>842.9471649</v>
      </c>
      <c r="Q257" s="139">
        <f>($L257*(1-(Assumptions!$C$25+0.06*(1-1))-Assumptions!$C$27)-Assumptions!$C$28)-MAX(0,($L257*(1-(Assumptions!$C$25+0.06*(1-1))-Assumptions!$C$27)-Assumptions!$C$28)*Assumptions!$C$31)+Assumptions!$C$28-Assumptions!$C$29-$L257*Assumptions!$C$30</f>
        <v>92.17740627</v>
      </c>
      <c r="R257" s="139">
        <f>($M257*(1-(Assumptions!$C$25+0.06*(1-$H257))-Assumptions!$C$27)-Assumptions!$C$28)-MAX(0,($M257*(1-(Assumptions!$C$25+0.06*(1-$H257))-Assumptions!$C$27)-Assumptions!$C$28)*Assumptions!$C$31)+Assumptions!$C$28-Assumptions!$C$29-$M257*Assumptions!$C$30</f>
        <v>34.5235899</v>
      </c>
      <c r="S257" s="139">
        <f>($N257*(1-(Assumptions!$C$25+0.06*(1-$I257))-Assumptions!$C$27)-Assumptions!$C$28)-MAX(0,($N257*(1-(Assumptions!$C$25+0.06*(1-$I257))-Assumptions!$C$27)-Assumptions!$C$28)*Assumptions!$C$31)+Assumptions!$C$28-Assumptions!$C$29-$N257*Assumptions!$C$30</f>
        <v>102.5282934</v>
      </c>
      <c r="T257" s="139">
        <f>($O257*(1-(Assumptions!$C$25+0.06*(1-$J257))-Assumptions!$C$27)-Assumptions!$C$28)-MAX(0,($O257*(1-(Assumptions!$C$25+0.06*(1-$J257))-Assumptions!$C$27)-Assumptions!$C$28)*Assumptions!$C$31)+Assumptions!$C$28-Assumptions!$C$29-$O257*Assumptions!$C$30</f>
        <v>37.36960628</v>
      </c>
      <c r="U257" s="139">
        <f>($P257*(1-(Assumptions!$C$25+0.06*(1-$K257))-Assumptions!$C$27)-Assumptions!$C$28)-MAX(0,($P257*(1-(Assumptions!$C$25+0.06*(1-$K257))-Assumptions!$C$27)-Assumptions!$C$28)*Assumptions!$C$31)+Assumptions!$C$28-Assumptions!$C$29-$P257*Assumptions!$C$30</f>
        <v>113.7336405</v>
      </c>
      <c r="V257" s="143">
        <f>(($Q257/(1+$D257)^1+$R257/(1+$D257)^2+$S257/(1+$D257)^3+$T257/(1+$D257)^4+$U257/(1+$D257)^5+$U257*(1+$E257)/($D257-$E257)/(1+$D257)^5)-Assumptions!$C$37)/Assumptions!$C$40/Assumptions!$C$38</f>
        <v>6.011429894</v>
      </c>
    </row>
    <row r="258" ht="12.0" customHeight="1">
      <c r="B258" s="139">
        <v>206.0</v>
      </c>
      <c r="C258" s="140">
        <f t="shared" si="6"/>
        <v>0.9923176681</v>
      </c>
      <c r="D258" s="141">
        <f t="shared" si="7"/>
        <v>0.1129239971</v>
      </c>
      <c r="E258" s="141">
        <f t="shared" si="8"/>
        <v>0.02599505593</v>
      </c>
      <c r="F258" s="140">
        <f t="shared" si="9"/>
        <v>0.4168925562</v>
      </c>
      <c r="G258" s="141">
        <f t="shared" si="10"/>
        <v>0.05739355036</v>
      </c>
      <c r="H258" s="142">
        <f t="shared" si="11"/>
        <v>1</v>
      </c>
      <c r="I258" s="142">
        <f t="shared" si="12"/>
        <v>1</v>
      </c>
      <c r="J258" s="142">
        <f t="shared" si="13"/>
        <v>1</v>
      </c>
      <c r="K258" s="142">
        <f t="shared" si="14"/>
        <v>0</v>
      </c>
      <c r="L258" s="139">
        <f>Assumptions!$C$6*Assumptions!$C$7*(1+$G258-0.05*(1-1))^1+Assumptions!$C$6*Assumptions!$C$8*(1+Assumptions!$C$11)^1+Assumptions!$C$16*1+Assumptions!$C$6*Assumptions!$C$9*(1+Assumptions!$C$12)^1</f>
        <v>745.786669</v>
      </c>
      <c r="M258" s="139">
        <f>Assumptions!$C$6*Assumptions!$C$7*(1+$G258-0.05*(1-$H258))^2+Assumptions!$C$6*Assumptions!$C$8*(1+Assumptions!$C$11)^2+Assumptions!$C$16*$H258+Assumptions!$C$6*Assumptions!$C$9*(1+Assumptions!$C$12)^2</f>
        <v>772.8114651</v>
      </c>
      <c r="N258" s="139">
        <f>Assumptions!$C$6*Assumptions!$C$7*(1+$G258-0.05*(1-$I258))^3+Assumptions!$C$6*Assumptions!$C$8*(1+Assumptions!$C$11)^3+Assumptions!$C$16*$I258+Assumptions!$C$6*Assumptions!$C$9*(1+Assumptions!$C$12)^3</f>
        <v>801.1406114</v>
      </c>
      <c r="O258" s="139">
        <f>Assumptions!$C$6*Assumptions!$C$7*(1+$G258-0.05*(1-$J258))^4+Assumptions!$C$6*Assumptions!$C$8*(1+Assumptions!$C$11)^4+Assumptions!$C$16*$J258+Assumptions!$C$6*Assumptions!$C$9*(1+Assumptions!$C$12)^4</f>
        <v>830.8440354</v>
      </c>
      <c r="P258" s="139">
        <f>Assumptions!$C$6*Assumptions!$C$7*(1+$G258-0.05*(1-$K258))^5+Assumptions!$C$6*Assumptions!$C$8*(1+Assumptions!$C$11)^5+Assumptions!$C$16*$K258+Assumptions!$C$6*Assumptions!$C$9*(1+Assumptions!$C$12)^5</f>
        <v>706.2884435</v>
      </c>
      <c r="Q258" s="139">
        <f>($L258*(1-(Assumptions!$C$25+0.06*(1-1))-Assumptions!$C$27)-Assumptions!$C$28)-MAX(0,($L258*(1-(Assumptions!$C$25+0.06*(1-1))-Assumptions!$C$27)-Assumptions!$C$28)*Assumptions!$C$31)+Assumptions!$C$28-Assumptions!$C$29-$L258*Assumptions!$C$30</f>
        <v>92.84413385</v>
      </c>
      <c r="R258" s="139">
        <f>($M258*(1-(Assumptions!$C$25+0.06*(1-$H258))-Assumptions!$C$27)-Assumptions!$C$28)-MAX(0,($M258*(1-(Assumptions!$C$25+0.06*(1-$H258))-Assumptions!$C$27)-Assumptions!$C$28)*Assumptions!$C$31)+Assumptions!$C$28-Assumptions!$C$29-$M258*Assumptions!$C$30</f>
        <v>98.654465</v>
      </c>
      <c r="S258" s="139">
        <f>($N258*(1-(Assumptions!$C$25+0.06*(1-$I258))-Assumptions!$C$27)-Assumptions!$C$28)-MAX(0,($N258*(1-(Assumptions!$C$25+0.06*(1-$I258))-Assumptions!$C$27)-Assumptions!$C$28)*Assumptions!$C$31)+Assumptions!$C$28-Assumptions!$C$29-$N258*Assumptions!$C$30</f>
        <v>104.7452315</v>
      </c>
      <c r="T258" s="139">
        <f>($O258*(1-(Assumptions!$C$25+0.06*(1-$J258))-Assumptions!$C$27)-Assumptions!$C$28)-MAX(0,($O258*(1-(Assumptions!$C$25+0.06*(1-$J258))-Assumptions!$C$27)-Assumptions!$C$28)*Assumptions!$C$31)+Assumptions!$C$28-Assumptions!$C$29-$O258*Assumptions!$C$30</f>
        <v>111.1314676</v>
      </c>
      <c r="U258" s="139">
        <f>($P258*(1-(Assumptions!$C$25+0.06*(1-$K258))-Assumptions!$C$27)-Assumptions!$C$28)-MAX(0,($P258*(1-(Assumptions!$C$25+0.06*(1-$K258))-Assumptions!$C$27)-Assumptions!$C$28)*Assumptions!$C$31)+Assumptions!$C$28-Assumptions!$C$29-$P258*Assumptions!$C$30</f>
        <v>42.446342</v>
      </c>
      <c r="V258" s="143">
        <f>(($Q258/(1+$D258)^1+$R258/(1+$D258)^2+$S258/(1+$D258)^3+$T258/(1+$D258)^4+$U258/(1+$D258)^5+$U258*(1+$E258)/($D258-$E258)/(1+$D258)^5)-Assumptions!$C$37)/Assumptions!$C$40/Assumptions!$C$38</f>
        <v>-0.4831976377</v>
      </c>
    </row>
    <row r="259" ht="12.0" customHeight="1">
      <c r="B259" s="139">
        <v>207.0</v>
      </c>
      <c r="C259" s="140">
        <f t="shared" si="6"/>
        <v>0.06084892753</v>
      </c>
      <c r="D259" s="141">
        <f t="shared" si="7"/>
        <v>0.0895417823</v>
      </c>
      <c r="E259" s="141">
        <f t="shared" si="8"/>
        <v>0.02995587368</v>
      </c>
      <c r="F259" s="140">
        <f t="shared" si="9"/>
        <v>0.4224859381</v>
      </c>
      <c r="G259" s="141">
        <f t="shared" si="10"/>
        <v>0.05757670554</v>
      </c>
      <c r="H259" s="142">
        <f t="shared" si="11"/>
        <v>1</v>
      </c>
      <c r="I259" s="142">
        <f t="shared" si="12"/>
        <v>0</v>
      </c>
      <c r="J259" s="142">
        <f t="shared" si="13"/>
        <v>0</v>
      </c>
      <c r="K259" s="142">
        <f t="shared" si="14"/>
        <v>1</v>
      </c>
      <c r="L259" s="139">
        <f>Assumptions!$C$6*Assumptions!$C$7*(1+$G259-0.05*(1-1))^1+Assumptions!$C$6*Assumptions!$C$8*(1+Assumptions!$C$11)^1+Assumptions!$C$16*1+Assumptions!$C$6*Assumptions!$C$9*(1+Assumptions!$C$12)^1</f>
        <v>745.8483191</v>
      </c>
      <c r="M259" s="139">
        <f>Assumptions!$C$6*Assumptions!$C$7*(1+$G259-0.05*(1-$H259))^2+Assumptions!$C$6*Assumptions!$C$8*(1+Assumptions!$C$11)^2+Assumptions!$C$16*$H259+Assumptions!$C$6*Assumptions!$C$9*(1+Assumptions!$C$12)^2</f>
        <v>772.9418531</v>
      </c>
      <c r="N259" s="139">
        <f>Assumptions!$C$6*Assumptions!$C$7*(1+$G259-0.05*(1-$I259))^3+Assumptions!$C$6*Assumptions!$C$8*(1+Assumptions!$C$11)^3+Assumptions!$C$16*$I259+Assumptions!$C$6*Assumptions!$C$9*(1+Assumptions!$C$12)^3</f>
        <v>687.5037399</v>
      </c>
      <c r="O259" s="139">
        <f>Assumptions!$C$6*Assumptions!$C$7*(1+$G259-0.05*(1-$J259))^4+Assumptions!$C$6*Assumptions!$C$8*(1+Assumptions!$C$11)^4+Assumptions!$C$16*$J259+Assumptions!$C$6*Assumptions!$C$9*(1+Assumptions!$C$12)^4</f>
        <v>696.9763617</v>
      </c>
      <c r="P259" s="139">
        <f>Assumptions!$C$6*Assumptions!$C$7*(1+$G259-0.05*(1-$K259))^5+Assumptions!$C$6*Assumptions!$C$8*(1+Assumptions!$C$11)^5+Assumptions!$C$16*$K259+Assumptions!$C$6*Assumptions!$C$9*(1+Assumptions!$C$12)^5</f>
        <v>862.3810577</v>
      </c>
      <c r="Q259" s="139">
        <f>($L259*(1-(Assumptions!$C$25+0.06*(1-1))-Assumptions!$C$27)-Assumptions!$C$28)-MAX(0,($L259*(1-(Assumptions!$C$25+0.06*(1-1))-Assumptions!$C$27)-Assumptions!$C$28)*Assumptions!$C$31)+Assumptions!$C$28-Assumptions!$C$29-$L259*Assumptions!$C$30</f>
        <v>92.8573886</v>
      </c>
      <c r="R259" s="139">
        <f>($M259*(1-(Assumptions!$C$25+0.06*(1-$H259))-Assumptions!$C$27)-Assumptions!$C$28)-MAX(0,($M259*(1-(Assumptions!$C$25+0.06*(1-$H259))-Assumptions!$C$27)-Assumptions!$C$28)*Assumptions!$C$31)+Assumptions!$C$28-Assumptions!$C$29-$M259*Assumptions!$C$30</f>
        <v>98.68249842</v>
      </c>
      <c r="S259" s="139">
        <f>($N259*(1-(Assumptions!$C$25+0.06*(1-$I259))-Assumptions!$C$27)-Assumptions!$C$28)-MAX(0,($N259*(1-(Assumptions!$C$25+0.06*(1-$I259))-Assumptions!$C$27)-Assumptions!$C$28)*Assumptions!$C$31)+Assumptions!$C$28-Assumptions!$C$29-$N259*Assumptions!$C$30</f>
        <v>38.12586018</v>
      </c>
      <c r="T259" s="139">
        <f>($O259*(1-(Assumptions!$C$25+0.06*(1-$J259))-Assumptions!$C$27)-Assumptions!$C$28)-MAX(0,($O259*(1-(Assumptions!$C$25+0.06*(1-$J259))-Assumptions!$C$27)-Assumptions!$C$28)*Assumptions!$C$31)+Assumptions!$C$28-Assumptions!$C$29-$O259*Assumptions!$C$30</f>
        <v>40.30456319</v>
      </c>
      <c r="U259" s="139">
        <f>($P259*(1-(Assumptions!$C$25+0.06*(1-$K259))-Assumptions!$C$27)-Assumptions!$C$28)-MAX(0,($P259*(1-(Assumptions!$C$25+0.06*(1-$K259))-Assumptions!$C$27)-Assumptions!$C$28)*Assumptions!$C$31)+Assumptions!$C$28-Assumptions!$C$29-$P259*Assumptions!$C$30</f>
        <v>117.9119274</v>
      </c>
      <c r="V259" s="143">
        <f>(($Q259/(1+$D259)^1+$R259/(1+$D259)^2+$S259/(1+$D259)^3+$T259/(1+$D259)^4+$U259/(1+$D259)^5+$U259*(1+$E259)/($D259-$E259)/(1+$D259)^5)-Assumptions!$C$37)/Assumptions!$C$40/Assumptions!$C$38</f>
        <v>7.327644708</v>
      </c>
    </row>
    <row r="260" ht="12.0" customHeight="1">
      <c r="B260" s="139">
        <v>208.0</v>
      </c>
      <c r="C260" s="140">
        <f t="shared" si="6"/>
        <v>0.182720469</v>
      </c>
      <c r="D260" s="141">
        <f t="shared" si="7"/>
        <v>0.09287033919</v>
      </c>
      <c r="E260" s="141">
        <f t="shared" si="8"/>
        <v>0.01873909644</v>
      </c>
      <c r="F260" s="140">
        <f t="shared" si="9"/>
        <v>0.8990134738</v>
      </c>
      <c r="G260" s="141">
        <f t="shared" si="10"/>
        <v>0.07651757636</v>
      </c>
      <c r="H260" s="142">
        <f t="shared" si="11"/>
        <v>1</v>
      </c>
      <c r="I260" s="142">
        <f t="shared" si="12"/>
        <v>1</v>
      </c>
      <c r="J260" s="142">
        <f t="shared" si="13"/>
        <v>0</v>
      </c>
      <c r="K260" s="142">
        <f t="shared" si="14"/>
        <v>1</v>
      </c>
      <c r="L260" s="139">
        <f>Assumptions!$C$6*Assumptions!$C$7*(1+$G260-0.05*(1-1))^1+Assumptions!$C$6*Assumptions!$C$8*(1+Assumptions!$C$11)^1+Assumptions!$C$16*1+Assumptions!$C$6*Assumptions!$C$9*(1+Assumptions!$C$12)^1</f>
        <v>752.2238162</v>
      </c>
      <c r="M260" s="139">
        <f>Assumptions!$C$6*Assumptions!$C$7*(1+$G260-0.05*(1-$H260))^2+Assumptions!$C$6*Assumptions!$C$8*(1+Assumptions!$C$11)^2+Assumptions!$C$16*$H260+Assumptions!$C$6*Assumptions!$C$9*(1+Assumptions!$C$12)^2</f>
        <v>786.547765</v>
      </c>
      <c r="N260" s="139">
        <f>Assumptions!$C$6*Assumptions!$C$7*(1+$G260-0.05*(1-$I260))^3+Assumptions!$C$6*Assumptions!$C$8*(1+Assumptions!$C$11)^3+Assumptions!$C$16*$I260+Assumptions!$C$6*Assumptions!$C$9*(1+Assumptions!$C$12)^3</f>
        <v>823.1252325</v>
      </c>
      <c r="O260" s="139">
        <f>Assumptions!$C$6*Assumptions!$C$7*(1+$G260-0.05*(1-$J260))^4+Assumptions!$C$6*Assumptions!$C$8*(1+Assumptions!$C$11)^4+Assumptions!$C$16*$J260+Assumptions!$C$6*Assumptions!$C$9*(1+Assumptions!$C$12)^4</f>
        <v>723.8072438</v>
      </c>
      <c r="P260" s="139">
        <f>Assumptions!$C$6*Assumptions!$C$7*(1+$G260-0.05*(1-$K260))^5+Assumptions!$C$6*Assumptions!$C$8*(1+Assumptions!$C$11)^5+Assumptions!$C$16*$K260+Assumptions!$C$6*Assumptions!$C$9*(1+Assumptions!$C$12)^5</f>
        <v>903.7131032</v>
      </c>
      <c r="Q260" s="139">
        <f>($L260*(1-(Assumptions!$C$25+0.06*(1-1))-Assumptions!$C$27)-Assumptions!$C$28)-MAX(0,($L260*(1-(Assumptions!$C$25+0.06*(1-1))-Assumptions!$C$27)-Assumptions!$C$28)*Assumptions!$C$31)+Assumptions!$C$28-Assumptions!$C$29-$L260*Assumptions!$C$30</f>
        <v>94.22812048</v>
      </c>
      <c r="R260" s="139">
        <f>($M260*(1-(Assumptions!$C$25+0.06*(1-$H260))-Assumptions!$C$27)-Assumptions!$C$28)-MAX(0,($M260*(1-(Assumptions!$C$25+0.06*(1-$H260))-Assumptions!$C$27)-Assumptions!$C$28)*Assumptions!$C$31)+Assumptions!$C$28-Assumptions!$C$29-$M260*Assumptions!$C$30</f>
        <v>101.6077695</v>
      </c>
      <c r="S260" s="139">
        <f>($N260*(1-(Assumptions!$C$25+0.06*(1-$I260))-Assumptions!$C$27)-Assumptions!$C$28)-MAX(0,($N260*(1-(Assumptions!$C$25+0.06*(1-$I260))-Assumptions!$C$27)-Assumptions!$C$28)*Assumptions!$C$31)+Assumptions!$C$28-Assumptions!$C$29-$N260*Assumptions!$C$30</f>
        <v>109.471925</v>
      </c>
      <c r="T260" s="139">
        <f>($O260*(1-(Assumptions!$C$25+0.06*(1-$J260))-Assumptions!$C$27)-Assumptions!$C$28)-MAX(0,($O260*(1-(Assumptions!$C$25+0.06*(1-$J260))-Assumptions!$C$27)-Assumptions!$C$28)*Assumptions!$C$31)+Assumptions!$C$28-Assumptions!$C$29-$O260*Assumptions!$C$30</f>
        <v>46.47566606</v>
      </c>
      <c r="U260" s="139">
        <f>($P260*(1-(Assumptions!$C$25+0.06*(1-$K260))-Assumptions!$C$27)-Assumptions!$C$28)-MAX(0,($P260*(1-(Assumptions!$C$25+0.06*(1-$K260))-Assumptions!$C$27)-Assumptions!$C$28)*Assumptions!$C$31)+Assumptions!$C$28-Assumptions!$C$29-$P260*Assumptions!$C$30</f>
        <v>126.7983172</v>
      </c>
      <c r="V260" s="143">
        <f>(($Q260/(1+$D260)^1+$R260/(1+$D260)^2+$S260/(1+$D260)^3+$T260/(1+$D260)^4+$U260/(1+$D260)^5+$U260*(1+$E260)/($D260-$E260)/(1+$D260)^5)-Assumptions!$C$37)/Assumptions!$C$40/Assumptions!$C$38</f>
        <v>6.204873193</v>
      </c>
    </row>
    <row r="261" ht="12.0" customHeight="1">
      <c r="B261" s="139">
        <v>209.0</v>
      </c>
      <c r="C261" s="140">
        <f t="shared" si="6"/>
        <v>0.7033731942</v>
      </c>
      <c r="D261" s="141">
        <f t="shared" si="7"/>
        <v>0.1021000915</v>
      </c>
      <c r="E261" s="141">
        <f t="shared" si="8"/>
        <v>0.02255127304</v>
      </c>
      <c r="F261" s="140">
        <f t="shared" si="9"/>
        <v>0.6147889748</v>
      </c>
      <c r="G261" s="141">
        <f t="shared" si="10"/>
        <v>0.06366789326</v>
      </c>
      <c r="H261" s="142">
        <f t="shared" si="11"/>
        <v>0</v>
      </c>
      <c r="I261" s="142">
        <f t="shared" si="12"/>
        <v>1</v>
      </c>
      <c r="J261" s="142">
        <f t="shared" si="13"/>
        <v>1</v>
      </c>
      <c r="K261" s="142">
        <f t="shared" si="14"/>
        <v>0</v>
      </c>
      <c r="L261" s="139">
        <f>Assumptions!$C$6*Assumptions!$C$7*(1+$G261-0.05*(1-1))^1+Assumptions!$C$6*Assumptions!$C$8*(1+Assumptions!$C$11)^1+Assumptions!$C$16*1+Assumptions!$C$6*Assumptions!$C$9*(1+Assumptions!$C$12)^1</f>
        <v>747.8986129</v>
      </c>
      <c r="M261" s="139">
        <f>Assumptions!$C$6*Assumptions!$C$7*(1+$G261-0.05*(1-$H261))^2+Assumptions!$C$6*Assumptions!$C$8*(1+Assumptions!$C$11)^2+Assumptions!$C$16*$H261+Assumptions!$C$6*Assumptions!$C$9*(1+Assumptions!$C$12)^2</f>
        <v>682.3294664</v>
      </c>
      <c r="N261" s="139">
        <f>Assumptions!$C$6*Assumptions!$C$7*(1+$G261-0.05*(1-$I261))^3+Assumptions!$C$6*Assumptions!$C$8*(1+Assumptions!$C$11)^3+Assumptions!$C$16*$I261+Assumptions!$C$6*Assumptions!$C$9*(1+Assumptions!$C$12)^3</f>
        <v>808.2667029</v>
      </c>
      <c r="O261" s="139">
        <f>Assumptions!$C$6*Assumptions!$C$7*(1+$G261-0.05*(1-$J261))^4+Assumptions!$C$6*Assumptions!$C$8*(1+Assumptions!$C$11)^4+Assumptions!$C$16*$J261+Assumptions!$C$6*Assumptions!$C$9*(1+Assumptions!$C$12)^4</f>
        <v>840.9206794</v>
      </c>
      <c r="P261" s="139">
        <f>Assumptions!$C$6*Assumptions!$C$7*(1+$G261-0.05*(1-$K261))^5+Assumptions!$C$6*Assumptions!$C$8*(1+Assumptions!$C$11)^5+Assumptions!$C$16*$K261+Assumptions!$C$6*Assumptions!$C$9*(1+Assumptions!$C$12)^5</f>
        <v>717.3002563</v>
      </c>
      <c r="Q261" s="139">
        <f>($L261*(1-(Assumptions!$C$25+0.06*(1-1))-Assumptions!$C$27)-Assumptions!$C$28)-MAX(0,($L261*(1-(Assumptions!$C$25+0.06*(1-1))-Assumptions!$C$27)-Assumptions!$C$28)*Assumptions!$C$31)+Assumptions!$C$28-Assumptions!$C$29-$L261*Assumptions!$C$30</f>
        <v>93.29820177</v>
      </c>
      <c r="R261" s="139">
        <f>($M261*(1-(Assumptions!$C$25+0.06*(1-$H261))-Assumptions!$C$27)-Assumptions!$C$28)-MAX(0,($M261*(1-(Assumptions!$C$25+0.06*(1-$H261))-Assumptions!$C$27)-Assumptions!$C$28)*Assumptions!$C$31)+Assumptions!$C$28-Assumptions!$C$29-$M261*Assumptions!$C$30</f>
        <v>36.93577728</v>
      </c>
      <c r="S261" s="139">
        <f>($N261*(1-(Assumptions!$C$25+0.06*(1-$I261))-Assumptions!$C$27)-Assumptions!$C$28)-MAX(0,($N261*(1-(Assumptions!$C$25+0.06*(1-$I261))-Assumptions!$C$27)-Assumptions!$C$28)*Assumptions!$C$31)+Assumptions!$C$28-Assumptions!$C$29-$N261*Assumptions!$C$30</f>
        <v>106.2773411</v>
      </c>
      <c r="T261" s="139">
        <f>($O261*(1-(Assumptions!$C$25+0.06*(1-$J261))-Assumptions!$C$27)-Assumptions!$C$28)-MAX(0,($O261*(1-(Assumptions!$C$25+0.06*(1-$J261))-Assumptions!$C$27)-Assumptions!$C$28)*Assumptions!$C$31)+Assumptions!$C$28-Assumptions!$C$29-$O261*Assumptions!$C$30</f>
        <v>113.2979461</v>
      </c>
      <c r="U261" s="139">
        <f>($P261*(1-(Assumptions!$C$25+0.06*(1-$K261))-Assumptions!$C$27)-Assumptions!$C$28)-MAX(0,($P261*(1-(Assumptions!$C$25+0.06*(1-$K261))-Assumptions!$C$27)-Assumptions!$C$28)*Assumptions!$C$31)+Assumptions!$C$28-Assumptions!$C$29-$P261*Assumptions!$C$30</f>
        <v>44.97905896</v>
      </c>
      <c r="V261" s="143">
        <f>(($Q261/(1+$D261)^1+$R261/(1+$D261)^2+$S261/(1+$D261)^3+$T261/(1+$D261)^4+$U261/(1+$D261)^5+$U261*(1+$E261)/($D261-$E261)/(1+$D261)^5)-Assumptions!$C$37)/Assumptions!$C$40/Assumptions!$C$38</f>
        <v>-0.2902195776</v>
      </c>
    </row>
    <row r="262" ht="12.0" customHeight="1">
      <c r="B262" s="139">
        <v>210.0</v>
      </c>
      <c r="C262" s="140">
        <f t="shared" si="6"/>
        <v>0.2930659735</v>
      </c>
      <c r="D262" s="141">
        <f t="shared" si="7"/>
        <v>0.09496741516</v>
      </c>
      <c r="E262" s="141">
        <f t="shared" si="8"/>
        <v>0.01075436194</v>
      </c>
      <c r="F262" s="140">
        <f t="shared" si="9"/>
        <v>0.6304216944</v>
      </c>
      <c r="G262" s="141">
        <f t="shared" si="10"/>
        <v>0.06420773468</v>
      </c>
      <c r="H262" s="142">
        <f t="shared" si="11"/>
        <v>0</v>
      </c>
      <c r="I262" s="142">
        <f t="shared" si="12"/>
        <v>1</v>
      </c>
      <c r="J262" s="142">
        <f t="shared" si="13"/>
        <v>1</v>
      </c>
      <c r="K262" s="142">
        <f t="shared" si="14"/>
        <v>0</v>
      </c>
      <c r="L262" s="139">
        <f>Assumptions!$C$6*Assumptions!$C$7*(1+$G262-0.05*(1-1))^1+Assumptions!$C$6*Assumptions!$C$8*(1+Assumptions!$C$11)^1+Assumptions!$C$16*1+Assumptions!$C$6*Assumptions!$C$9*(1+Assumptions!$C$12)^1</f>
        <v>748.0803235</v>
      </c>
      <c r="M262" s="139">
        <f>Assumptions!$C$6*Assumptions!$C$7*(1+$G262-0.05*(1-$H262))^2+Assumptions!$C$6*Assumptions!$C$8*(1+Assumptions!$C$11)^2+Assumptions!$C$16*$H262+Assumptions!$C$6*Assumptions!$C$9*(1+Assumptions!$C$12)^2</f>
        <v>682.697953</v>
      </c>
      <c r="N262" s="139">
        <f>Assumptions!$C$6*Assumptions!$C$7*(1+$G262-0.05*(1-$I262))^3+Assumptions!$C$6*Assumptions!$C$8*(1+Assumptions!$C$11)^3+Assumptions!$C$16*$I262+Assumptions!$C$6*Assumptions!$C$9*(1+Assumptions!$C$12)^3</f>
        <v>808.8837724</v>
      </c>
      <c r="O262" s="139">
        <f>Assumptions!$C$6*Assumptions!$C$7*(1+$G262-0.05*(1-$J262))^4+Assumptions!$C$6*Assumptions!$C$8*(1+Assumptions!$C$11)^4+Assumptions!$C$16*$J262+Assumptions!$C$6*Assumptions!$C$9*(1+Assumptions!$C$12)^4</f>
        <v>841.7960441</v>
      </c>
      <c r="P262" s="139">
        <f>Assumptions!$C$6*Assumptions!$C$7*(1+$G262-0.05*(1-$K262))^5+Assumptions!$C$6*Assumptions!$C$8*(1+Assumptions!$C$11)^5+Assumptions!$C$16*$K262+Assumptions!$C$6*Assumptions!$C$9*(1+Assumptions!$C$12)^5</f>
        <v>718.2605314</v>
      </c>
      <c r="Q262" s="139">
        <f>($L262*(1-(Assumptions!$C$25+0.06*(1-1))-Assumptions!$C$27)-Assumptions!$C$28)-MAX(0,($L262*(1-(Assumptions!$C$25+0.06*(1-1))-Assumptions!$C$27)-Assumptions!$C$28)*Assumptions!$C$31)+Assumptions!$C$28-Assumptions!$C$29-$L262*Assumptions!$C$30</f>
        <v>93.33726955</v>
      </c>
      <c r="R262" s="139">
        <f>($M262*(1-(Assumptions!$C$25+0.06*(1-$H262))-Assumptions!$C$27)-Assumptions!$C$28)-MAX(0,($M262*(1-(Assumptions!$C$25+0.06*(1-$H262))-Assumptions!$C$27)-Assumptions!$C$28)*Assumptions!$C$31)+Assumptions!$C$28-Assumptions!$C$29-$M262*Assumptions!$C$30</f>
        <v>37.02052918</v>
      </c>
      <c r="S262" s="139">
        <f>($N262*(1-(Assumptions!$C$25+0.06*(1-$I262))-Assumptions!$C$27)-Assumptions!$C$28)-MAX(0,($N262*(1-(Assumptions!$C$25+0.06*(1-$I262))-Assumptions!$C$27)-Assumptions!$C$28)*Assumptions!$C$31)+Assumptions!$C$28-Assumptions!$C$29-$N262*Assumptions!$C$30</f>
        <v>106.4100111</v>
      </c>
      <c r="T262" s="139">
        <f>($O262*(1-(Assumptions!$C$25+0.06*(1-$J262))-Assumptions!$C$27)-Assumptions!$C$28)-MAX(0,($O262*(1-(Assumptions!$C$25+0.06*(1-$J262))-Assumptions!$C$27)-Assumptions!$C$28)*Assumptions!$C$31)+Assumptions!$C$28-Assumptions!$C$29-$O262*Assumptions!$C$30</f>
        <v>113.4861495</v>
      </c>
      <c r="U262" s="139">
        <f>($P262*(1-(Assumptions!$C$25+0.06*(1-$K262))-Assumptions!$C$27)-Assumptions!$C$28)-MAX(0,($P262*(1-(Assumptions!$C$25+0.06*(1-$K262))-Assumptions!$C$27)-Assumptions!$C$28)*Assumptions!$C$31)+Assumptions!$C$28-Assumptions!$C$29-$P262*Assumptions!$C$30</f>
        <v>45.19992223</v>
      </c>
      <c r="V262" s="143">
        <f>(($Q262/(1+$D262)^1+$R262/(1+$D262)^2+$S262/(1+$D262)^3+$T262/(1+$D262)^4+$U262/(1+$D262)^5+$U262*(1+$E262)/($D262-$E262)/(1+$D262)^5)-Assumptions!$C$37)/Assumptions!$C$40/Assumptions!$C$38</f>
        <v>-0.3292977061</v>
      </c>
    </row>
    <row r="263" ht="12.0" customHeight="1">
      <c r="B263" s="139">
        <v>211.0</v>
      </c>
      <c r="C263" s="140">
        <f t="shared" si="6"/>
        <v>0.4296014773</v>
      </c>
      <c r="D263" s="141">
        <f t="shared" si="7"/>
        <v>0.09711163587</v>
      </c>
      <c r="E263" s="141">
        <f t="shared" si="8"/>
        <v>0.01498567453</v>
      </c>
      <c r="F263" s="140">
        <f t="shared" si="9"/>
        <v>0.2107966058</v>
      </c>
      <c r="G263" s="141">
        <f t="shared" si="10"/>
        <v>0.04947906288</v>
      </c>
      <c r="H263" s="142">
        <f t="shared" si="11"/>
        <v>0</v>
      </c>
      <c r="I263" s="142">
        <f t="shared" si="12"/>
        <v>0</v>
      </c>
      <c r="J263" s="142">
        <f t="shared" si="13"/>
        <v>1</v>
      </c>
      <c r="K263" s="142">
        <f t="shared" si="14"/>
        <v>0</v>
      </c>
      <c r="L263" s="139">
        <f>Assumptions!$C$6*Assumptions!$C$7*(1+$G263-0.05*(1-1))^1+Assumptions!$C$6*Assumptions!$C$8*(1+Assumptions!$C$11)^1+Assumptions!$C$16*1+Assumptions!$C$6*Assumptions!$C$9*(1+Assumptions!$C$12)^1</f>
        <v>743.1226526</v>
      </c>
      <c r="M263" s="139">
        <f>Assumptions!$C$6*Assumptions!$C$7*(1+$G263-0.05*(1-$H263))^2+Assumptions!$C$6*Assumptions!$C$8*(1+Assumptions!$C$11)^2+Assumptions!$C$16*$H263+Assumptions!$C$6*Assumptions!$C$9*(1+Assumptions!$C$12)^2</f>
        <v>672.7147565</v>
      </c>
      <c r="N263" s="139">
        <f>Assumptions!$C$6*Assumptions!$C$7*(1+$G263-0.05*(1-$I263))^3+Assumptions!$C$6*Assumptions!$C$8*(1+Assumptions!$C$11)^3+Assumptions!$C$16*$I263+Assumptions!$C$6*Assumptions!$C$9*(1+Assumptions!$C$12)^3</f>
        <v>679.2688989</v>
      </c>
      <c r="O263" s="139">
        <f>Assumptions!$C$6*Assumptions!$C$7*(1+$G263-0.05*(1-$J263))^4+Assumptions!$C$6*Assumptions!$C$8*(1+Assumptions!$C$11)^4+Assumptions!$C$16*$J263+Assumptions!$C$6*Assumptions!$C$9*(1+Assumptions!$C$12)^4</f>
        <v>818.386622</v>
      </c>
      <c r="P263" s="139">
        <f>Assumptions!$C$6*Assumptions!$C$7*(1+$G263-0.05*(1-$K263))^5+Assumptions!$C$6*Assumptions!$C$8*(1+Assumptions!$C$11)^5+Assumptions!$C$16*$K263+Assumptions!$C$6*Assumptions!$C$9*(1+Assumptions!$C$12)^5</f>
        <v>692.7839075</v>
      </c>
      <c r="Q263" s="139">
        <f>($L263*(1-(Assumptions!$C$25+0.06*(1-1))-Assumptions!$C$27)-Assumptions!$C$28)-MAX(0,($L263*(1-(Assumptions!$C$25+0.06*(1-1))-Assumptions!$C$27)-Assumptions!$C$28)*Assumptions!$C$31)+Assumptions!$C$28-Assumptions!$C$29-$L263*Assumptions!$C$30</f>
        <v>92.2713703</v>
      </c>
      <c r="R263" s="139">
        <f>($M263*(1-(Assumptions!$C$25+0.06*(1-$H263))-Assumptions!$C$27)-Assumptions!$C$28)-MAX(0,($M263*(1-(Assumptions!$C$25+0.06*(1-$H263))-Assumptions!$C$27)-Assumptions!$C$28)*Assumptions!$C$31)+Assumptions!$C$28-Assumptions!$C$29-$M263*Assumptions!$C$30</f>
        <v>34.72439399</v>
      </c>
      <c r="S263" s="139">
        <f>($N263*(1-(Assumptions!$C$25+0.06*(1-$I263))-Assumptions!$C$27)-Assumptions!$C$28)-MAX(0,($N263*(1-(Assumptions!$C$25+0.06*(1-$I263))-Assumptions!$C$27)-Assumptions!$C$28)*Assumptions!$C$31)+Assumptions!$C$28-Assumptions!$C$29-$N263*Assumptions!$C$30</f>
        <v>36.23184674</v>
      </c>
      <c r="T263" s="139">
        <f>($O263*(1-(Assumptions!$C$25+0.06*(1-$J263))-Assumptions!$C$27)-Assumptions!$C$28)-MAX(0,($O263*(1-(Assumptions!$C$25+0.06*(1-$J263))-Assumptions!$C$27)-Assumptions!$C$28)*Assumptions!$C$31)+Assumptions!$C$28-Assumptions!$C$29-$O263*Assumptions!$C$30</f>
        <v>108.4531237</v>
      </c>
      <c r="U263" s="139">
        <f>($P263*(1-(Assumptions!$C$25+0.06*(1-$K263))-Assumptions!$C$27)-Assumptions!$C$28)-MAX(0,($P263*(1-(Assumptions!$C$25+0.06*(1-$K263))-Assumptions!$C$27)-Assumptions!$C$28)*Assumptions!$C$31)+Assumptions!$C$28-Assumptions!$C$29-$P263*Assumptions!$C$30</f>
        <v>39.34029874</v>
      </c>
      <c r="V263" s="143">
        <f>(($Q263/(1+$D263)^1+$R263/(1+$D263)^2+$S263/(1+$D263)^3+$T263/(1+$D263)^4+$U263/(1+$D263)^5+$U263*(1+$E263)/($D263-$E263)/(1+$D263)^5)-Assumptions!$C$37)/Assumptions!$C$40/Assumptions!$C$38</f>
        <v>-1.137918657</v>
      </c>
    </row>
    <row r="264" ht="12.0" customHeight="1">
      <c r="B264" s="139">
        <v>212.0</v>
      </c>
      <c r="C264" s="140">
        <f t="shared" si="6"/>
        <v>0.5795267677</v>
      </c>
      <c r="D264" s="141">
        <f t="shared" si="7"/>
        <v>0.09964143616</v>
      </c>
      <c r="E264" s="141">
        <f t="shared" si="8"/>
        <v>0.02775235937</v>
      </c>
      <c r="F264" s="140">
        <f t="shared" si="9"/>
        <v>0.6803114893</v>
      </c>
      <c r="G264" s="141">
        <f t="shared" si="10"/>
        <v>0.06601168369</v>
      </c>
      <c r="H264" s="142">
        <f t="shared" si="11"/>
        <v>0</v>
      </c>
      <c r="I264" s="142">
        <f t="shared" si="12"/>
        <v>1</v>
      </c>
      <c r="J264" s="142">
        <f t="shared" si="13"/>
        <v>0</v>
      </c>
      <c r="K264" s="142">
        <f t="shared" si="14"/>
        <v>1</v>
      </c>
      <c r="L264" s="139">
        <f>Assumptions!$C$6*Assumptions!$C$7*(1+$G264-0.05*(1-1))^1+Assumptions!$C$6*Assumptions!$C$8*(1+Assumptions!$C$11)^1+Assumptions!$C$16*1+Assumptions!$C$6*Assumptions!$C$9*(1+Assumptions!$C$12)^1</f>
        <v>748.6875327</v>
      </c>
      <c r="M264" s="139">
        <f>Assumptions!$C$6*Assumptions!$C$7*(1+$G264-0.05*(1-$H264))^2+Assumptions!$C$6*Assumptions!$C$8*(1+Assumptions!$C$11)^2+Assumptions!$C$16*$H264+Assumptions!$C$6*Assumptions!$C$9*(1+Assumptions!$C$12)^2</f>
        <v>683.930721</v>
      </c>
      <c r="N264" s="139">
        <f>Assumptions!$C$6*Assumptions!$C$7*(1+$G264-0.05*(1-$I264))^3+Assumptions!$C$6*Assumptions!$C$8*(1+Assumptions!$C$11)^3+Assumptions!$C$16*$I264+Assumptions!$C$6*Assumptions!$C$9*(1+Assumptions!$C$12)^3</f>
        <v>810.9503342</v>
      </c>
      <c r="O264" s="139">
        <f>Assumptions!$C$6*Assumptions!$C$7*(1+$G264-0.05*(1-$J264))^4+Assumptions!$C$6*Assumptions!$C$8*(1+Assumptions!$C$11)^4+Assumptions!$C$16*$J264+Assumptions!$C$6*Assumptions!$C$9*(1+Assumptions!$C$12)^4</f>
        <v>708.7400135</v>
      </c>
      <c r="P264" s="139">
        <f>Assumptions!$C$6*Assumptions!$C$7*(1+$G264-0.05*(1-$K264))^5+Assumptions!$C$6*Assumptions!$C$8*(1+Assumptions!$C$11)^5+Assumptions!$C$16*$K264+Assumptions!$C$6*Assumptions!$C$9*(1+Assumptions!$C$12)^5</f>
        <v>880.4254876</v>
      </c>
      <c r="Q264" s="139">
        <f>($L264*(1-(Assumptions!$C$25+0.06*(1-1))-Assumptions!$C$27)-Assumptions!$C$28)-MAX(0,($L264*(1-(Assumptions!$C$25+0.06*(1-1))-Assumptions!$C$27)-Assumptions!$C$28)*Assumptions!$C$31)+Assumptions!$C$28-Assumptions!$C$29-$L264*Assumptions!$C$30</f>
        <v>93.46781954</v>
      </c>
      <c r="R264" s="139">
        <f>($M264*(1-(Assumptions!$C$25+0.06*(1-$H264))-Assumptions!$C$27)-Assumptions!$C$28)-MAX(0,($M264*(1-(Assumptions!$C$25+0.06*(1-$H264))-Assumptions!$C$27)-Assumptions!$C$28)*Assumptions!$C$31)+Assumptions!$C$28-Assumptions!$C$29-$M264*Assumptions!$C$30</f>
        <v>37.30406582</v>
      </c>
      <c r="S264" s="139">
        <f>($N264*(1-(Assumptions!$C$25+0.06*(1-$I264))-Assumptions!$C$27)-Assumptions!$C$28)-MAX(0,($N264*(1-(Assumptions!$C$25+0.06*(1-$I264))-Assumptions!$C$27)-Assumptions!$C$28)*Assumptions!$C$31)+Assumptions!$C$28-Assumptions!$C$29-$N264*Assumptions!$C$30</f>
        <v>106.8543219</v>
      </c>
      <c r="T264" s="139">
        <f>($O264*(1-(Assumptions!$C$25+0.06*(1-$J264))-Assumptions!$C$27)-Assumptions!$C$28)-MAX(0,($O264*(1-(Assumptions!$C$25+0.06*(1-$J264))-Assumptions!$C$27)-Assumptions!$C$28)*Assumptions!$C$31)+Assumptions!$C$28-Assumptions!$C$29-$O264*Assumptions!$C$30</f>
        <v>43.0102031</v>
      </c>
      <c r="U264" s="139">
        <f>($P264*(1-(Assumptions!$C$25+0.06*(1-$K264))-Assumptions!$C$27)-Assumptions!$C$28)-MAX(0,($P264*(1-(Assumptions!$C$25+0.06*(1-$K264))-Assumptions!$C$27)-Assumptions!$C$28)*Assumptions!$C$31)+Assumptions!$C$28-Assumptions!$C$29-$P264*Assumptions!$C$30</f>
        <v>121.7914798</v>
      </c>
      <c r="V264" s="143">
        <f>(($Q264/(1+$D264)^1+$R264/(1+$D264)^2+$S264/(1+$D264)^3+$T264/(1+$D264)^4+$U264/(1+$D264)^5+$U264*(1+$E264)/($D264-$E264)/(1+$D264)^5)-Assumptions!$C$37)/Assumptions!$C$40/Assumptions!$C$38</f>
        <v>5.404760185</v>
      </c>
    </row>
    <row r="265" ht="12.0" customHeight="1">
      <c r="B265" s="139">
        <v>213.0</v>
      </c>
      <c r="C265" s="140">
        <f t="shared" si="6"/>
        <v>0.198512482</v>
      </c>
      <c r="D265" s="141">
        <f t="shared" si="7"/>
        <v>0.09320339755</v>
      </c>
      <c r="E265" s="141">
        <f t="shared" si="8"/>
        <v>0.02773573135</v>
      </c>
      <c r="F265" s="140">
        <f t="shared" si="9"/>
        <v>0.3791425667</v>
      </c>
      <c r="G265" s="141">
        <f t="shared" si="10"/>
        <v>0.0561238707</v>
      </c>
      <c r="H265" s="142">
        <f t="shared" si="11"/>
        <v>0</v>
      </c>
      <c r="I265" s="142">
        <f t="shared" si="12"/>
        <v>0</v>
      </c>
      <c r="J265" s="142">
        <f t="shared" si="13"/>
        <v>1</v>
      </c>
      <c r="K265" s="142">
        <f t="shared" si="14"/>
        <v>1</v>
      </c>
      <c r="L265" s="139">
        <f>Assumptions!$C$6*Assumptions!$C$7*(1+$G265-0.05*(1-1))^1+Assumptions!$C$6*Assumptions!$C$8*(1+Assumptions!$C$11)^1+Assumptions!$C$16*1+Assumptions!$C$6*Assumptions!$C$9*(1+Assumptions!$C$12)^1</f>
        <v>745.3592949</v>
      </c>
      <c r="M265" s="139">
        <f>Assumptions!$C$6*Assumptions!$C$7*(1+$G265-0.05*(1-$H265))^2+Assumptions!$C$6*Assumptions!$C$8*(1+Assumptions!$C$11)^2+Assumptions!$C$16*$H265+Assumptions!$C$6*Assumptions!$C$9*(1+Assumptions!$C$12)^2</f>
        <v>677.2005729</v>
      </c>
      <c r="N265" s="139">
        <f>Assumptions!$C$6*Assumptions!$C$7*(1+$G265-0.05*(1-$I265))^3+Assumptions!$C$6*Assumptions!$C$8*(1+Assumptions!$C$11)^3+Assumptions!$C$16*$I265+Assumptions!$C$6*Assumptions!$C$9*(1+Assumptions!$C$12)^3</f>
        <v>686.0164984</v>
      </c>
      <c r="O265" s="139">
        <f>Assumptions!$C$6*Assumptions!$C$7*(1+$G265-0.05*(1-$J265))^4+Assumptions!$C$6*Assumptions!$C$8*(1+Assumptions!$C$11)^4+Assumptions!$C$16*$J265+Assumptions!$C$6*Assumptions!$C$9*(1+Assumptions!$C$12)^4</f>
        <v>828.8266172</v>
      </c>
      <c r="P265" s="139">
        <f>Assumptions!$C$6*Assumptions!$C$7*(1+$G265-0.05*(1-$K265))^5+Assumptions!$C$6*Assumptions!$C$8*(1+Assumptions!$C$11)^5+Assumptions!$C$16*$K265+Assumptions!$C$6*Assumptions!$C$9*(1+Assumptions!$C$12)^5</f>
        <v>859.3306727</v>
      </c>
      <c r="Q265" s="139">
        <f>($L265*(1-(Assumptions!$C$25+0.06*(1-1))-Assumptions!$C$27)-Assumptions!$C$28)-MAX(0,($L265*(1-(Assumptions!$C$25+0.06*(1-1))-Assumptions!$C$27)-Assumptions!$C$28)*Assumptions!$C$31)+Assumptions!$C$28-Assumptions!$C$29-$L265*Assumptions!$C$30</f>
        <v>92.7522484</v>
      </c>
      <c r="R265" s="139">
        <f>($M265*(1-(Assumptions!$C$25+0.06*(1-$H265))-Assumptions!$C$27)-Assumptions!$C$28)-MAX(0,($M265*(1-(Assumptions!$C$25+0.06*(1-$H265))-Assumptions!$C$27)-Assumptions!$C$28)*Assumptions!$C$31)+Assumptions!$C$28-Assumptions!$C$29-$M265*Assumptions!$C$30</f>
        <v>35.75613176</v>
      </c>
      <c r="S265" s="139">
        <f>($N265*(1-(Assumptions!$C$25+0.06*(1-$I265))-Assumptions!$C$27)-Assumptions!$C$28)-MAX(0,($N265*(1-(Assumptions!$C$25+0.06*(1-$I265))-Assumptions!$C$27)-Assumptions!$C$28)*Assumptions!$C$31)+Assumptions!$C$28-Assumptions!$C$29-$N265*Assumptions!$C$30</f>
        <v>37.78379464</v>
      </c>
      <c r="T265" s="139">
        <f>($O265*(1-(Assumptions!$C$25+0.06*(1-$J265))-Assumptions!$C$27)-Assumptions!$C$28)-MAX(0,($O265*(1-(Assumptions!$C$25+0.06*(1-$J265))-Assumptions!$C$27)-Assumptions!$C$28)*Assumptions!$C$31)+Assumptions!$C$28-Assumptions!$C$29-$O265*Assumptions!$C$30</f>
        <v>110.6977227</v>
      </c>
      <c r="U265" s="139">
        <f>($P265*(1-(Assumptions!$C$25+0.06*(1-$K265))-Assumptions!$C$27)-Assumptions!$C$28)-MAX(0,($P265*(1-(Assumptions!$C$25+0.06*(1-$K265))-Assumptions!$C$27)-Assumptions!$C$28)*Assumptions!$C$31)+Assumptions!$C$28-Assumptions!$C$29-$P265*Assumptions!$C$30</f>
        <v>117.2560946</v>
      </c>
      <c r="V265" s="143">
        <f>(($Q265/(1+$D265)^1+$R265/(1+$D265)^2+$S265/(1+$D265)^3+$T265/(1+$D265)^4+$U265/(1+$D265)^5+$U265*(1+$E265)/($D265-$E265)/(1+$D265)^5)-Assumptions!$C$37)/Assumptions!$C$40/Assumptions!$C$38</f>
        <v>6.114487036</v>
      </c>
    </row>
    <row r="266" ht="12.0" customHeight="1">
      <c r="B266" s="139">
        <v>214.0</v>
      </c>
      <c r="C266" s="140">
        <f t="shared" si="6"/>
        <v>0.9422047035</v>
      </c>
      <c r="D266" s="141">
        <f t="shared" si="7"/>
        <v>0.1093058661</v>
      </c>
      <c r="E266" s="141">
        <f t="shared" si="8"/>
        <v>0.02319003553</v>
      </c>
      <c r="F266" s="140">
        <f t="shared" si="9"/>
        <v>0.3971242037</v>
      </c>
      <c r="G266" s="141">
        <f t="shared" si="10"/>
        <v>0.0567361846</v>
      </c>
      <c r="H266" s="142">
        <f t="shared" si="11"/>
        <v>1</v>
      </c>
      <c r="I266" s="142">
        <f t="shared" si="12"/>
        <v>1</v>
      </c>
      <c r="J266" s="142">
        <f t="shared" si="13"/>
        <v>1</v>
      </c>
      <c r="K266" s="142">
        <f t="shared" si="14"/>
        <v>0</v>
      </c>
      <c r="L266" s="139">
        <f>Assumptions!$C$6*Assumptions!$C$7*(1+$G266-0.05*(1-1))^1+Assumptions!$C$6*Assumptions!$C$8*(1+Assumptions!$C$11)^1+Assumptions!$C$16*1+Assumptions!$C$6*Assumptions!$C$9*(1+Assumptions!$C$12)^1</f>
        <v>745.5653997</v>
      </c>
      <c r="M266" s="139">
        <f>Assumptions!$C$6*Assumptions!$C$7*(1+$G266-0.05*(1-$H266))^2+Assumptions!$C$6*Assumptions!$C$8*(1+Assumptions!$C$11)^2+Assumptions!$C$16*$H266+Assumptions!$C$6*Assumptions!$C$9*(1+Assumptions!$C$12)^2</f>
        <v>772.3436731</v>
      </c>
      <c r="N266" s="139">
        <f>Assumptions!$C$6*Assumptions!$C$7*(1+$G266-0.05*(1-$I266))^3+Assumptions!$C$6*Assumptions!$C$8*(1+Assumptions!$C$11)^3+Assumptions!$C$16*$I266+Assumptions!$C$6*Assumptions!$C$9*(1+Assumptions!$C$12)^3</f>
        <v>800.3988816</v>
      </c>
      <c r="O266" s="139">
        <f>Assumptions!$C$6*Assumptions!$C$7*(1+$G266-0.05*(1-$J266))^4+Assumptions!$C$6*Assumptions!$C$8*(1+Assumptions!$C$11)^4+Assumptions!$C$16*$J266+Assumptions!$C$6*Assumptions!$C$9*(1+Assumptions!$C$12)^4</f>
        <v>829.7986266</v>
      </c>
      <c r="P266" s="139">
        <f>Assumptions!$C$6*Assumptions!$C$7*(1+$G266-0.05*(1-$K266))^5+Assumptions!$C$6*Assumptions!$C$8*(1+Assumptions!$C$11)^5+Assumptions!$C$16*$K266+Assumptions!$C$6*Assumptions!$C$9*(1+Assumptions!$C$12)^5</f>
        <v>705.150499</v>
      </c>
      <c r="Q266" s="139">
        <f>($L266*(1-(Assumptions!$C$25+0.06*(1-1))-Assumptions!$C$27)-Assumptions!$C$28)-MAX(0,($L266*(1-(Assumptions!$C$25+0.06*(1-1))-Assumptions!$C$27)-Assumptions!$C$28)*Assumptions!$C$31)+Assumptions!$C$28-Assumptions!$C$29-$L266*Assumptions!$C$30</f>
        <v>92.79656094</v>
      </c>
      <c r="R266" s="139">
        <f>($M266*(1-(Assumptions!$C$25+0.06*(1-$H266))-Assumptions!$C$27)-Assumptions!$C$28)-MAX(0,($M266*(1-(Assumptions!$C$25+0.06*(1-$H266))-Assumptions!$C$27)-Assumptions!$C$28)*Assumptions!$C$31)+Assumptions!$C$28-Assumptions!$C$29-$M266*Assumptions!$C$30</f>
        <v>98.55388971</v>
      </c>
      <c r="S266" s="139">
        <f>($N266*(1-(Assumptions!$C$25+0.06*(1-$I266))-Assumptions!$C$27)-Assumptions!$C$28)-MAX(0,($N266*(1-(Assumptions!$C$25+0.06*(1-$I266))-Assumptions!$C$27)-Assumptions!$C$28)*Assumptions!$C$31)+Assumptions!$C$28-Assumptions!$C$29-$N266*Assumptions!$C$30</f>
        <v>104.5857595</v>
      </c>
      <c r="T266" s="139">
        <f>($O266*(1-(Assumptions!$C$25+0.06*(1-$J266))-Assumptions!$C$27)-Assumptions!$C$28)-MAX(0,($O266*(1-(Assumptions!$C$25+0.06*(1-$J266))-Assumptions!$C$27)-Assumptions!$C$28)*Assumptions!$C$31)+Assumptions!$C$28-Assumptions!$C$29-$O266*Assumptions!$C$30</f>
        <v>110.9067047</v>
      </c>
      <c r="U266" s="139">
        <f>($P266*(1-(Assumptions!$C$25+0.06*(1-$K266))-Assumptions!$C$27)-Assumptions!$C$28)-MAX(0,($P266*(1-(Assumptions!$C$25+0.06*(1-$K266))-Assumptions!$C$27)-Assumptions!$C$28)*Assumptions!$C$31)+Assumptions!$C$28-Assumptions!$C$29-$P266*Assumptions!$C$30</f>
        <v>42.18461477</v>
      </c>
      <c r="V266" s="143">
        <f>(($Q266/(1+$D266)^1+$R266/(1+$D266)^2+$S266/(1+$D266)^3+$T266/(1+$D266)^4+$U266/(1+$D266)^5+$U266*(1+$E266)/($D266-$E266)/(1+$D266)^5)-Assumptions!$C$37)/Assumptions!$C$40/Assumptions!$C$38</f>
        <v>-0.4261605755</v>
      </c>
    </row>
    <row r="267" ht="12.0" customHeight="1">
      <c r="B267" s="139">
        <v>215.0</v>
      </c>
      <c r="C267" s="140">
        <f t="shared" si="6"/>
        <v>0.9442081314</v>
      </c>
      <c r="D267" s="141">
        <f t="shared" si="7"/>
        <v>0.1094054278</v>
      </c>
      <c r="E267" s="141">
        <f t="shared" si="8"/>
        <v>0.02954267546</v>
      </c>
      <c r="F267" s="140">
        <f t="shared" si="9"/>
        <v>0.7448426756</v>
      </c>
      <c r="G267" s="141">
        <f t="shared" si="10"/>
        <v>0.06856910679</v>
      </c>
      <c r="H267" s="142">
        <f t="shared" si="11"/>
        <v>1</v>
      </c>
      <c r="I267" s="142">
        <f t="shared" si="12"/>
        <v>1</v>
      </c>
      <c r="J267" s="142">
        <f t="shared" si="13"/>
        <v>1</v>
      </c>
      <c r="K267" s="142">
        <f t="shared" si="14"/>
        <v>0</v>
      </c>
      <c r="L267" s="139">
        <f>Assumptions!$C$6*Assumptions!$C$7*(1+$G267-0.05*(1-1))^1+Assumptions!$C$6*Assumptions!$C$8*(1+Assumptions!$C$11)^1+Assumptions!$C$16*1+Assumptions!$C$6*Assumptions!$C$9*(1+Assumptions!$C$12)^1</f>
        <v>749.5483613</v>
      </c>
      <c r="M267" s="139">
        <f>Assumptions!$C$6*Assumptions!$C$7*(1+$G267-0.05*(1-$H267))^2+Assumptions!$C$6*Assumptions!$C$8*(1+Assumptions!$C$11)^2+Assumptions!$C$16*$H267+Assumptions!$C$6*Assumptions!$C$9*(1+Assumptions!$C$12)^2</f>
        <v>780.8086825</v>
      </c>
      <c r="N267" s="139">
        <f>Assumptions!$C$6*Assumptions!$C$7*(1+$G267-0.05*(1-$I267))^3+Assumptions!$C$6*Assumptions!$C$8*(1+Assumptions!$C$11)^3+Assumptions!$C$16*$I267+Assumptions!$C$6*Assumptions!$C$9*(1+Assumptions!$C$12)^3</f>
        <v>813.892068</v>
      </c>
      <c r="O267" s="139">
        <f>Assumptions!$C$6*Assumptions!$C$7*(1+$G267-0.05*(1-$J267))^4+Assumptions!$C$6*Assumptions!$C$8*(1+Assumptions!$C$11)^4+Assumptions!$C$16*$J267+Assumptions!$C$6*Assumptions!$C$9*(1+Assumptions!$C$12)^4</f>
        <v>848.9171152</v>
      </c>
      <c r="P267" s="139">
        <f>Assumptions!$C$6*Assumptions!$C$7*(1+$G267-0.05*(1-$K267))^5+Assumptions!$C$6*Assumptions!$C$8*(1+Assumptions!$C$11)^5+Assumptions!$C$16*$K267+Assumptions!$C$6*Assumptions!$C$9*(1+Assumptions!$C$12)^5</f>
        <v>726.0939276</v>
      </c>
      <c r="Q267" s="139">
        <f>($L267*(1-(Assumptions!$C$25+0.06*(1-1))-Assumptions!$C$27)-Assumptions!$C$28)-MAX(0,($L267*(1-(Assumptions!$C$25+0.06*(1-1))-Assumptions!$C$27)-Assumptions!$C$28)*Assumptions!$C$31)+Assumptions!$C$28-Assumptions!$C$29-$L267*Assumptions!$C$30</f>
        <v>93.65289769</v>
      </c>
      <c r="R267" s="139">
        <f>($M267*(1-(Assumptions!$C$25+0.06*(1-$H267))-Assumptions!$C$27)-Assumptions!$C$28)-MAX(0,($M267*(1-(Assumptions!$C$25+0.06*(1-$H267))-Assumptions!$C$27)-Assumptions!$C$28)*Assumptions!$C$31)+Assumptions!$C$28-Assumptions!$C$29-$M267*Assumptions!$C$30</f>
        <v>100.3738667</v>
      </c>
      <c r="S267" s="139">
        <f>($N267*(1-(Assumptions!$C$25+0.06*(1-$I267))-Assumptions!$C$27)-Assumptions!$C$28)-MAX(0,($N267*(1-(Assumptions!$C$25+0.06*(1-$I267))-Assumptions!$C$27)-Assumptions!$C$28)*Assumptions!$C$31)+Assumptions!$C$28-Assumptions!$C$29-$N267*Assumptions!$C$30</f>
        <v>107.4867946</v>
      </c>
      <c r="T267" s="139">
        <f>($O267*(1-(Assumptions!$C$25+0.06*(1-$J267))-Assumptions!$C$27)-Assumptions!$C$28)-MAX(0,($O267*(1-(Assumptions!$C$25+0.06*(1-$J267))-Assumptions!$C$27)-Assumptions!$C$28)*Assumptions!$C$31)+Assumptions!$C$28-Assumptions!$C$29-$O267*Assumptions!$C$30</f>
        <v>115.0171798</v>
      </c>
      <c r="U267" s="139">
        <f>($P267*(1-(Assumptions!$C$25+0.06*(1-$K267))-Assumptions!$C$27)-Assumptions!$C$28)-MAX(0,($P267*(1-(Assumptions!$C$25+0.06*(1-$K267))-Assumptions!$C$27)-Assumptions!$C$28)*Assumptions!$C$31)+Assumptions!$C$28-Assumptions!$C$29-$P267*Assumptions!$C$30</f>
        <v>47.00160334</v>
      </c>
      <c r="V267" s="143">
        <f>(($Q267/(1+$D267)^1+$R267/(1+$D267)^2+$S267/(1+$D267)^3+$T267/(1+$D267)^4+$U267/(1+$D267)^5+$U267*(1+$E267)/($D267-$E267)/(1+$D267)^5)-Assumptions!$C$37)/Assumptions!$C$40/Assumptions!$C$38</f>
        <v>0.1360428062</v>
      </c>
    </row>
    <row r="268" ht="12.0" customHeight="1">
      <c r="B268" s="139">
        <v>216.0</v>
      </c>
      <c r="C268" s="140">
        <f t="shared" si="6"/>
        <v>0.3091956547</v>
      </c>
      <c r="D268" s="141">
        <f t="shared" si="7"/>
        <v>0.09523803335</v>
      </c>
      <c r="E268" s="141">
        <f t="shared" si="8"/>
        <v>0.02446289944</v>
      </c>
      <c r="F268" s="140">
        <f t="shared" si="9"/>
        <v>0.4466558287</v>
      </c>
      <c r="G268" s="141">
        <f t="shared" si="10"/>
        <v>0.05835454975</v>
      </c>
      <c r="H268" s="142">
        <f t="shared" si="11"/>
        <v>1</v>
      </c>
      <c r="I268" s="142">
        <f t="shared" si="12"/>
        <v>1</v>
      </c>
      <c r="J268" s="142">
        <f t="shared" si="13"/>
        <v>1</v>
      </c>
      <c r="K268" s="142">
        <f t="shared" si="14"/>
        <v>0</v>
      </c>
      <c r="L268" s="139">
        <f>Assumptions!$C$6*Assumptions!$C$7*(1+$G268-0.05*(1-1))^1+Assumptions!$C$6*Assumptions!$C$8*(1+Assumptions!$C$11)^1+Assumptions!$C$16*1+Assumptions!$C$6*Assumptions!$C$9*(1+Assumptions!$C$12)^1</f>
        <v>746.1101414</v>
      </c>
      <c r="M268" s="139">
        <f>Assumptions!$C$6*Assumptions!$C$7*(1+$G268-0.05*(1-$H268))^2+Assumptions!$C$6*Assumptions!$C$8*(1+Assumptions!$C$11)^2+Assumptions!$C$16*$H268+Assumptions!$C$6*Assumptions!$C$9*(1+Assumptions!$C$12)^2</f>
        <v>773.4958512</v>
      </c>
      <c r="N268" s="139">
        <f>Assumptions!$C$6*Assumptions!$C$7*(1+$G268-0.05*(1-$I268))^3+Assumptions!$C$6*Assumptions!$C$8*(1+Assumptions!$C$11)^3+Assumptions!$C$16*$I268+Assumptions!$C$6*Assumptions!$C$9*(1+Assumptions!$C$12)^3</f>
        <v>802.226603</v>
      </c>
      <c r="O268" s="139">
        <f>Assumptions!$C$6*Assumptions!$C$7*(1+$G268-0.05*(1-$J268))^4+Assumptions!$C$6*Assumptions!$C$8*(1+Assumptions!$C$11)^4+Assumptions!$C$16*$J268+Assumptions!$C$6*Assumptions!$C$9*(1+Assumptions!$C$12)^4</f>
        <v>832.3758253</v>
      </c>
      <c r="P268" s="139">
        <f>Assumptions!$C$6*Assumptions!$C$7*(1+$G268-0.05*(1-$K268))^5+Assumptions!$C$6*Assumptions!$C$8*(1+Assumptions!$C$11)^5+Assumptions!$C$16*$K268+Assumptions!$C$6*Assumptions!$C$9*(1+Assumptions!$C$12)^5</f>
        <v>707.9573518</v>
      </c>
      <c r="Q268" s="139">
        <f>($L268*(1-(Assumptions!$C$25+0.06*(1-1))-Assumptions!$C$27)-Assumptions!$C$28)-MAX(0,($L268*(1-(Assumptions!$C$25+0.06*(1-1))-Assumptions!$C$27)-Assumptions!$C$28)*Assumptions!$C$31)+Assumptions!$C$28-Assumptions!$C$29-$L268*Assumptions!$C$30</f>
        <v>92.91368041</v>
      </c>
      <c r="R268" s="139">
        <f>($M268*(1-(Assumptions!$C$25+0.06*(1-$H268))-Assumptions!$C$27)-Assumptions!$C$28)-MAX(0,($M268*(1-(Assumptions!$C$25+0.06*(1-$H268))-Assumptions!$C$27)-Assumptions!$C$28)*Assumptions!$C$31)+Assumptions!$C$28-Assumptions!$C$29-$M268*Assumptions!$C$30</f>
        <v>98.80160801</v>
      </c>
      <c r="S268" s="139">
        <f>($N268*(1-(Assumptions!$C$25+0.06*(1-$I268))-Assumptions!$C$27)-Assumptions!$C$28)-MAX(0,($N268*(1-(Assumptions!$C$25+0.06*(1-$I268))-Assumptions!$C$27)-Assumptions!$C$28)*Assumptions!$C$31)+Assumptions!$C$28-Assumptions!$C$29-$N268*Assumptions!$C$30</f>
        <v>104.9787196</v>
      </c>
      <c r="T268" s="139">
        <f>($O268*(1-(Assumptions!$C$25+0.06*(1-$J268))-Assumptions!$C$27)-Assumptions!$C$28)-MAX(0,($O268*(1-(Assumptions!$C$25+0.06*(1-$J268))-Assumptions!$C$27)-Assumptions!$C$28)*Assumptions!$C$31)+Assumptions!$C$28-Assumptions!$C$29-$O268*Assumptions!$C$30</f>
        <v>111.4608024</v>
      </c>
      <c r="U268" s="139">
        <f>($P268*(1-(Assumptions!$C$25+0.06*(1-$K268))-Assumptions!$C$27)-Assumptions!$C$28)-MAX(0,($P268*(1-(Assumptions!$C$25+0.06*(1-$K268))-Assumptions!$C$27)-Assumptions!$C$28)*Assumptions!$C$31)+Assumptions!$C$28-Assumptions!$C$29-$P268*Assumptions!$C$30</f>
        <v>42.83019091</v>
      </c>
      <c r="V268" s="143">
        <f>(($Q268/(1+$D268)^1+$R268/(1+$D268)^2+$S268/(1+$D268)^3+$T268/(1+$D268)^4+$U268/(1+$D268)^5+$U268*(1+$E268)/($D268-$E268)/(1+$D268)^5)-Assumptions!$C$37)/Assumptions!$C$40/Assumptions!$C$38</f>
        <v>0.4169994662</v>
      </c>
    </row>
    <row r="269" ht="12.0" customHeight="1">
      <c r="B269" s="139">
        <v>217.0</v>
      </c>
      <c r="C269" s="140">
        <f t="shared" si="6"/>
        <v>0.2238452564</v>
      </c>
      <c r="D269" s="141">
        <f t="shared" si="7"/>
        <v>0.093711116</v>
      </c>
      <c r="E269" s="141">
        <f t="shared" si="8"/>
        <v>0.02188670719</v>
      </c>
      <c r="F269" s="140">
        <f t="shared" si="9"/>
        <v>0.8113951654</v>
      </c>
      <c r="G269" s="141">
        <f t="shared" si="10"/>
        <v>0.07157478081</v>
      </c>
      <c r="H269" s="142">
        <f t="shared" si="11"/>
        <v>1</v>
      </c>
      <c r="I269" s="142">
        <f t="shared" si="12"/>
        <v>1</v>
      </c>
      <c r="J269" s="142">
        <f t="shared" si="13"/>
        <v>1</v>
      </c>
      <c r="K269" s="142">
        <f t="shared" si="14"/>
        <v>0</v>
      </c>
      <c r="L269" s="139">
        <f>Assumptions!$C$6*Assumptions!$C$7*(1+$G269-0.05*(1-1))^1+Assumptions!$C$6*Assumptions!$C$8*(1+Assumptions!$C$11)^1+Assumptions!$C$16*1+Assumptions!$C$6*Assumptions!$C$9*(1+Assumptions!$C$12)^1</f>
        <v>750.5600712</v>
      </c>
      <c r="M269" s="139">
        <f>Assumptions!$C$6*Assumptions!$C$7*(1+$G269-0.05*(1-$H269))^2+Assumptions!$C$6*Assumptions!$C$8*(1+Assumptions!$C$11)^2+Assumptions!$C$16*$H269+Assumptions!$C$6*Assumptions!$C$9*(1+Assumptions!$C$12)^2</f>
        <v>782.9738872</v>
      </c>
      <c r="N269" s="139">
        <f>Assumptions!$C$6*Assumptions!$C$7*(1+$G269-0.05*(1-$I269))^3+Assumptions!$C$6*Assumptions!$C$8*(1+Assumptions!$C$11)^3+Assumptions!$C$16*$I269+Assumptions!$C$6*Assumptions!$C$9*(1+Assumptions!$C$12)^3</f>
        <v>817.3674575</v>
      </c>
      <c r="O269" s="139">
        <f>Assumptions!$C$6*Assumptions!$C$7*(1+$G269-0.05*(1-$J269))^4+Assumptions!$C$6*Assumptions!$C$8*(1+Assumptions!$C$11)^4+Assumptions!$C$16*$J269+Assumptions!$C$6*Assumptions!$C$9*(1+Assumptions!$C$12)^4</f>
        <v>853.8756775</v>
      </c>
      <c r="P269" s="139">
        <f>Assumptions!$C$6*Assumptions!$C$7*(1+$G269-0.05*(1-$K269))^5+Assumptions!$C$6*Assumptions!$C$8*(1+Assumptions!$C$11)^5+Assumptions!$C$16*$K269+Assumptions!$C$6*Assumptions!$C$9*(1+Assumptions!$C$12)^5</f>
        <v>731.5710329</v>
      </c>
      <c r="Q269" s="139">
        <f>($L269*(1-(Assumptions!$C$25+0.06*(1-1))-Assumptions!$C$27)-Assumptions!$C$28)-MAX(0,($L269*(1-(Assumptions!$C$25+0.06*(1-1))-Assumptions!$C$27)-Assumptions!$C$28)*Assumptions!$C$31)+Assumptions!$C$28-Assumptions!$C$29-$L269*Assumptions!$C$30</f>
        <v>93.87041531</v>
      </c>
      <c r="R269" s="139">
        <f>($M269*(1-(Assumptions!$C$25+0.06*(1-$H269))-Assumptions!$C$27)-Assumptions!$C$28)-MAX(0,($M269*(1-(Assumptions!$C$25+0.06*(1-$H269))-Assumptions!$C$27)-Assumptions!$C$28)*Assumptions!$C$31)+Assumptions!$C$28-Assumptions!$C$29-$M269*Assumptions!$C$30</f>
        <v>100.8393857</v>
      </c>
      <c r="S269" s="139">
        <f>($N269*(1-(Assumptions!$C$25+0.06*(1-$I269))-Assumptions!$C$27)-Assumptions!$C$28)-MAX(0,($N269*(1-(Assumptions!$C$25+0.06*(1-$I269))-Assumptions!$C$27)-Assumptions!$C$28)*Assumptions!$C$31)+Assumptions!$C$28-Assumptions!$C$29-$N269*Assumptions!$C$30</f>
        <v>108.2340034</v>
      </c>
      <c r="T269" s="139">
        <f>($O269*(1-(Assumptions!$C$25+0.06*(1-$J269))-Assumptions!$C$27)-Assumptions!$C$28)-MAX(0,($O269*(1-(Assumptions!$C$25+0.06*(1-$J269))-Assumptions!$C$27)-Assumptions!$C$28)*Assumptions!$C$31)+Assumptions!$C$28-Assumptions!$C$29-$O269*Assumptions!$C$30</f>
        <v>116.0832707</v>
      </c>
      <c r="U269" s="139">
        <f>($P269*(1-(Assumptions!$C$25+0.06*(1-$K269))-Assumptions!$C$27)-Assumptions!$C$28)-MAX(0,($P269*(1-(Assumptions!$C$25+0.06*(1-$K269))-Assumptions!$C$27)-Assumptions!$C$28)*Assumptions!$C$31)+Assumptions!$C$28-Assumptions!$C$29-$P269*Assumptions!$C$30</f>
        <v>48.26133756</v>
      </c>
      <c r="V269" s="143">
        <f>(($Q269/(1+$D269)^1+$R269/(1+$D269)^2+$S269/(1+$D269)^3+$T269/(1+$D269)^4+$U269/(1+$D269)^5+$U269*(1+$E269)/($D269-$E269)/(1+$D269)^5)-Assumptions!$C$37)/Assumptions!$C$40/Assumptions!$C$38</f>
        <v>0.87302295</v>
      </c>
    </row>
    <row r="270" ht="12.0" customHeight="1">
      <c r="B270" s="139">
        <v>218.0</v>
      </c>
      <c r="C270" s="140">
        <f t="shared" si="6"/>
        <v>0.4739700174</v>
      </c>
      <c r="D270" s="141">
        <f t="shared" si="7"/>
        <v>0.09782144301</v>
      </c>
      <c r="E270" s="141">
        <f t="shared" si="8"/>
        <v>0.01664462168</v>
      </c>
      <c r="F270" s="140">
        <f t="shared" si="9"/>
        <v>0.5587846166</v>
      </c>
      <c r="G270" s="141">
        <f t="shared" si="10"/>
        <v>0.06181866415</v>
      </c>
      <c r="H270" s="142">
        <f t="shared" si="11"/>
        <v>1</v>
      </c>
      <c r="I270" s="142">
        <f t="shared" si="12"/>
        <v>1</v>
      </c>
      <c r="J270" s="142">
        <f t="shared" si="13"/>
        <v>1</v>
      </c>
      <c r="K270" s="142">
        <f t="shared" si="14"/>
        <v>1</v>
      </c>
      <c r="L270" s="139">
        <f>Assumptions!$C$6*Assumptions!$C$7*(1+$G270-0.05*(1-1))^1+Assumptions!$C$6*Assumptions!$C$8*(1+Assumptions!$C$11)^1+Assumptions!$C$16*1+Assumptions!$C$6*Assumptions!$C$9*(1+Assumptions!$C$12)^1</f>
        <v>747.2761624</v>
      </c>
      <c r="M270" s="139">
        <f>Assumptions!$C$6*Assumptions!$C$7*(1+$G270-0.05*(1-$H270))^2+Assumptions!$C$6*Assumptions!$C$8*(1+Assumptions!$C$11)^2+Assumptions!$C$16*$H270+Assumptions!$C$6*Assumptions!$C$9*(1+Assumptions!$C$12)^2</f>
        <v>775.9680175</v>
      </c>
      <c r="N270" s="139">
        <f>Assumptions!$C$6*Assumptions!$C$7*(1+$G270-0.05*(1-$I270))^3+Assumptions!$C$6*Assumptions!$C$8*(1+Assumptions!$C$11)^3+Assumptions!$C$16*$I270+Assumptions!$C$6*Assumptions!$C$9*(1+Assumptions!$C$12)^3</f>
        <v>806.157672</v>
      </c>
      <c r="O270" s="139">
        <f>Assumptions!$C$6*Assumptions!$C$7*(1+$G270-0.05*(1-$J270))^4+Assumptions!$C$6*Assumptions!$C$8*(1+Assumptions!$C$11)^4+Assumptions!$C$16*$J270+Assumptions!$C$6*Assumptions!$C$9*(1+Assumptions!$C$12)^4</f>
        <v>837.9322</v>
      </c>
      <c r="P270" s="139">
        <f>Assumptions!$C$6*Assumptions!$C$7*(1+$G270-0.05*(1-$K270))^5+Assumptions!$C$6*Assumptions!$C$8*(1+Assumptions!$C$11)^5+Assumptions!$C$16*$K270+Assumptions!$C$6*Assumptions!$C$9*(1+Assumptions!$C$12)^5</f>
        <v>871.3839481</v>
      </c>
      <c r="Q270" s="139">
        <f>($L270*(1-(Assumptions!$C$25+0.06*(1-1))-Assumptions!$C$27)-Assumptions!$C$28)-MAX(0,($L270*(1-(Assumptions!$C$25+0.06*(1-1))-Assumptions!$C$27)-Assumptions!$C$28)*Assumptions!$C$31)+Assumptions!$C$28-Assumptions!$C$29-$L270*Assumptions!$C$30</f>
        <v>93.16437491</v>
      </c>
      <c r="R270" s="139">
        <f>($M270*(1-(Assumptions!$C$25+0.06*(1-$H270))-Assumptions!$C$27)-Assumptions!$C$28)-MAX(0,($M270*(1-(Assumptions!$C$25+0.06*(1-$H270))-Assumptions!$C$27)-Assumptions!$C$28)*Assumptions!$C$31)+Assumptions!$C$28-Assumptions!$C$29-$M270*Assumptions!$C$30</f>
        <v>99.33312376</v>
      </c>
      <c r="S270" s="139">
        <f>($N270*(1-(Assumptions!$C$25+0.06*(1-$I270))-Assumptions!$C$27)-Assumptions!$C$28)-MAX(0,($N270*(1-(Assumptions!$C$25+0.06*(1-$I270))-Assumptions!$C$27)-Assumptions!$C$28)*Assumptions!$C$31)+Assumptions!$C$28-Assumptions!$C$29-$N270*Assumptions!$C$30</f>
        <v>105.8238995</v>
      </c>
      <c r="T270" s="139">
        <f>($O270*(1-(Assumptions!$C$25+0.06*(1-$J270))-Assumptions!$C$27)-Assumptions!$C$28)-MAX(0,($O270*(1-(Assumptions!$C$25+0.06*(1-$J270))-Assumptions!$C$27)-Assumptions!$C$28)*Assumptions!$C$31)+Assumptions!$C$28-Assumptions!$C$29-$O270*Assumptions!$C$30</f>
        <v>112.655423</v>
      </c>
      <c r="U270" s="139">
        <f>($P270*(1-(Assumptions!$C$25+0.06*(1-$K270))-Assumptions!$C$27)-Assumptions!$C$28)-MAX(0,($P270*(1-(Assumptions!$C$25+0.06*(1-$K270))-Assumptions!$C$27)-Assumptions!$C$28)*Assumptions!$C$31)+Assumptions!$C$28-Assumptions!$C$29-$P270*Assumptions!$C$30</f>
        <v>119.8475488</v>
      </c>
      <c r="V270" s="143">
        <f>(($Q270/(1+$D270)^1+$R270/(1+$D270)^2+$S270/(1+$D270)^3+$T270/(1+$D270)^4+$U270/(1+$D270)^5+$U270*(1+$E270)/($D270-$E270)/(1+$D270)^5)-Assumptions!$C$37)/Assumptions!$C$40/Assumptions!$C$38</f>
        <v>5.068946771</v>
      </c>
    </row>
    <row r="271" ht="12.0" customHeight="1">
      <c r="B271" s="139">
        <v>219.0</v>
      </c>
      <c r="C271" s="140">
        <f t="shared" si="6"/>
        <v>0.2954725329</v>
      </c>
      <c r="D271" s="141">
        <f t="shared" si="7"/>
        <v>0.09500825602</v>
      </c>
      <c r="E271" s="141">
        <f t="shared" si="8"/>
        <v>0.01170558417</v>
      </c>
      <c r="F271" s="140">
        <f t="shared" si="9"/>
        <v>0.1988432026</v>
      </c>
      <c r="G271" s="141">
        <f t="shared" si="10"/>
        <v>0.04891871467</v>
      </c>
      <c r="H271" s="142">
        <f t="shared" si="11"/>
        <v>1</v>
      </c>
      <c r="I271" s="142">
        <f t="shared" si="12"/>
        <v>0</v>
      </c>
      <c r="J271" s="142">
        <f t="shared" si="13"/>
        <v>0</v>
      </c>
      <c r="K271" s="142">
        <f t="shared" si="14"/>
        <v>1</v>
      </c>
      <c r="L271" s="139">
        <f>Assumptions!$C$6*Assumptions!$C$7*(1+$G271-0.05*(1-1))^1+Assumptions!$C$6*Assumptions!$C$8*(1+Assumptions!$C$11)^1+Assumptions!$C$16*1+Assumptions!$C$6*Assumptions!$C$9*(1+Assumptions!$C$12)^1</f>
        <v>742.9340394</v>
      </c>
      <c r="M271" s="139">
        <f>Assumptions!$C$6*Assumptions!$C$7*(1+$G271-0.05*(1-$H271))^2+Assumptions!$C$6*Assumptions!$C$8*(1+Assumptions!$C$11)^2+Assumptions!$C$16*$H271+Assumptions!$C$6*Assumptions!$C$9*(1+Assumptions!$C$12)^2</f>
        <v>766.8029362</v>
      </c>
      <c r="N271" s="139">
        <f>Assumptions!$C$6*Assumptions!$C$7*(1+$G271-0.05*(1-$I271))^3+Assumptions!$C$6*Assumptions!$C$8*(1+Assumptions!$C$11)^3+Assumptions!$C$16*$I271+Assumptions!$C$6*Assumptions!$C$9*(1+Assumptions!$C$12)^3</f>
        <v>678.7039655</v>
      </c>
      <c r="O271" s="139">
        <f>Assumptions!$C$6*Assumptions!$C$7*(1+$G271-0.05*(1-$J271))^4+Assumptions!$C$6*Assumptions!$C$8*(1+Assumptions!$C$11)^4+Assumptions!$C$16*$J271+Assumptions!$C$6*Assumptions!$C$9*(1+Assumptions!$C$12)^4</f>
        <v>685.2050775</v>
      </c>
      <c r="P271" s="139">
        <f>Assumptions!$C$6*Assumptions!$C$7*(1+$G271-0.05*(1-$K271))^5+Assumptions!$C$6*Assumptions!$C$8*(1+Assumptions!$C$11)^5+Assumptions!$C$16*$K271+Assumptions!$C$6*Assumptions!$C$9*(1+Assumptions!$C$12)^5</f>
        <v>844.4486746</v>
      </c>
      <c r="Q271" s="139">
        <f>($L271*(1-(Assumptions!$C$25+0.06*(1-1))-Assumptions!$C$27)-Assumptions!$C$28)-MAX(0,($L271*(1-(Assumptions!$C$25+0.06*(1-1))-Assumptions!$C$27)-Assumptions!$C$28)*Assumptions!$C$31)+Assumptions!$C$28-Assumptions!$C$29-$L271*Assumptions!$C$30</f>
        <v>92.23081846</v>
      </c>
      <c r="R271" s="139">
        <f>($M271*(1-(Assumptions!$C$25+0.06*(1-$H271))-Assumptions!$C$27)-Assumptions!$C$28)-MAX(0,($M271*(1-(Assumptions!$C$25+0.06*(1-$H271))-Assumptions!$C$27)-Assumptions!$C$28)*Assumptions!$C$31)+Assumptions!$C$28-Assumptions!$C$29-$M271*Assumptions!$C$30</f>
        <v>97.36263128</v>
      </c>
      <c r="S271" s="139">
        <f>($N271*(1-(Assumptions!$C$25+0.06*(1-$I271))-Assumptions!$C$27)-Assumptions!$C$28)-MAX(0,($N271*(1-(Assumptions!$C$25+0.06*(1-$I271))-Assumptions!$C$27)-Assumptions!$C$28)*Assumptions!$C$31)+Assumptions!$C$28-Assumptions!$C$29-$N271*Assumptions!$C$30</f>
        <v>36.10191206</v>
      </c>
      <c r="T271" s="139">
        <f>($O271*(1-(Assumptions!$C$25+0.06*(1-$J271))-Assumptions!$C$27)-Assumptions!$C$28)-MAX(0,($O271*(1-(Assumptions!$C$25+0.06*(1-$J271))-Assumptions!$C$27)-Assumptions!$C$28)*Assumptions!$C$31)+Assumptions!$C$28-Assumptions!$C$29-$O271*Assumptions!$C$30</f>
        <v>37.59716783</v>
      </c>
      <c r="U271" s="139">
        <f>($P271*(1-(Assumptions!$C$25+0.06*(1-$K271))-Assumptions!$C$27)-Assumptions!$C$28)-MAX(0,($P271*(1-(Assumptions!$C$25+0.06*(1-$K271))-Assumptions!$C$27)-Assumptions!$C$28)*Assumptions!$C$31)+Assumptions!$C$28-Assumptions!$C$29-$P271*Assumptions!$C$30</f>
        <v>114.056465</v>
      </c>
      <c r="V271" s="143">
        <f>(($Q271/(1+$D271)^1+$R271/(1+$D271)^2+$S271/(1+$D271)^3+$T271/(1+$D271)^4+$U271/(1+$D271)^5+$U271*(1+$E271)/($D271-$E271)/(1+$D271)^5)-Assumptions!$C$37)/Assumptions!$C$40/Assumptions!$C$38</f>
        <v>3.743676486</v>
      </c>
    </row>
    <row r="272" ht="12.0" customHeight="1">
      <c r="B272" s="139">
        <v>220.0</v>
      </c>
      <c r="C272" s="140">
        <f t="shared" si="6"/>
        <v>0.7244726281</v>
      </c>
      <c r="D272" s="141">
        <f t="shared" si="7"/>
        <v>0.1025673472</v>
      </c>
      <c r="E272" s="141">
        <f t="shared" si="8"/>
        <v>0.0188947758</v>
      </c>
      <c r="F272" s="140">
        <f t="shared" si="9"/>
        <v>0.9075568439</v>
      </c>
      <c r="G272" s="141">
        <f t="shared" si="10"/>
        <v>0.07710047749</v>
      </c>
      <c r="H272" s="142">
        <f t="shared" si="11"/>
        <v>1</v>
      </c>
      <c r="I272" s="142">
        <f t="shared" si="12"/>
        <v>1</v>
      </c>
      <c r="J272" s="142">
        <f t="shared" si="13"/>
        <v>1</v>
      </c>
      <c r="K272" s="142">
        <f t="shared" si="14"/>
        <v>0</v>
      </c>
      <c r="L272" s="139">
        <f>Assumptions!$C$6*Assumptions!$C$7*(1+$G272-0.05*(1-1))^1+Assumptions!$C$6*Assumptions!$C$8*(1+Assumptions!$C$11)^1+Assumptions!$C$16*1+Assumptions!$C$6*Assumptions!$C$9*(1+Assumptions!$C$12)^1</f>
        <v>752.4200207</v>
      </c>
      <c r="M272" s="139">
        <f>Assumptions!$C$6*Assumptions!$C$7*(1+$G272-0.05*(1-$H272))^2+Assumptions!$C$6*Assumptions!$C$8*(1+Assumptions!$C$11)^2+Assumptions!$C$16*$H272+Assumptions!$C$6*Assumptions!$C$9*(1+Assumptions!$C$12)^2</f>
        <v>786.9703146</v>
      </c>
      <c r="N272" s="139">
        <f>Assumptions!$C$6*Assumptions!$C$7*(1+$G272-0.05*(1-$I272))^3+Assumptions!$C$6*Assumptions!$C$8*(1+Assumptions!$C$11)^3+Assumptions!$C$16*$I272+Assumptions!$C$6*Assumptions!$C$9*(1+Assumptions!$C$12)^3</f>
        <v>823.8077403</v>
      </c>
      <c r="O272" s="139">
        <f>Assumptions!$C$6*Assumptions!$C$7*(1+$G272-0.05*(1-$J272))^4+Assumptions!$C$6*Assumptions!$C$8*(1+Assumptions!$C$11)^4+Assumptions!$C$16*$J272+Assumptions!$C$6*Assumptions!$C$9*(1+Assumptions!$C$12)^4</f>
        <v>863.1011024</v>
      </c>
      <c r="P272" s="139">
        <f>Assumptions!$C$6*Assumptions!$C$7*(1+$G272-0.05*(1-$K272))^5+Assumptions!$C$6*Assumptions!$C$8*(1+Assumptions!$C$11)^5+Assumptions!$C$16*$K272+Assumptions!$C$6*Assumptions!$C$9*(1+Assumptions!$C$12)^5</f>
        <v>741.8098547</v>
      </c>
      <c r="Q272" s="139">
        <f>($L272*(1-(Assumptions!$C$25+0.06*(1-1))-Assumptions!$C$27)-Assumptions!$C$28)-MAX(0,($L272*(1-(Assumptions!$C$25+0.06*(1-1))-Assumptions!$C$27)-Assumptions!$C$28)*Assumptions!$C$31)+Assumptions!$C$28-Assumptions!$C$29-$L272*Assumptions!$C$30</f>
        <v>94.27030446</v>
      </c>
      <c r="R272" s="139">
        <f>($M272*(1-(Assumptions!$C$25+0.06*(1-$H272))-Assumptions!$C$27)-Assumptions!$C$28)-MAX(0,($M272*(1-(Assumptions!$C$25+0.06*(1-$H272))-Assumptions!$C$27)-Assumptions!$C$28)*Assumptions!$C$31)+Assumptions!$C$28-Assumptions!$C$29-$M272*Assumptions!$C$30</f>
        <v>101.6986176</v>
      </c>
      <c r="S272" s="139">
        <f>($N272*(1-(Assumptions!$C$25+0.06*(1-$I272))-Assumptions!$C$27)-Assumptions!$C$28)-MAX(0,($N272*(1-(Assumptions!$C$25+0.06*(1-$I272))-Assumptions!$C$27)-Assumptions!$C$28)*Assumptions!$C$31)+Assumptions!$C$28-Assumptions!$C$29-$N272*Assumptions!$C$30</f>
        <v>109.6186642</v>
      </c>
      <c r="T272" s="139">
        <f>($O272*(1-(Assumptions!$C$25+0.06*(1-$J272))-Assumptions!$C$27)-Assumptions!$C$28)-MAX(0,($O272*(1-(Assumptions!$C$25+0.06*(1-$J272))-Assumptions!$C$27)-Assumptions!$C$28)*Assumptions!$C$31)+Assumptions!$C$28-Assumptions!$C$29-$O272*Assumptions!$C$30</f>
        <v>118.066737</v>
      </c>
      <c r="U272" s="139">
        <f>($P272*(1-(Assumptions!$C$25+0.06*(1-$K272))-Assumptions!$C$27)-Assumptions!$C$28)-MAX(0,($P272*(1-(Assumptions!$C$25+0.06*(1-$K272))-Assumptions!$C$27)-Assumptions!$C$28)*Assumptions!$C$31)+Assumptions!$C$28-Assumptions!$C$29-$P272*Assumptions!$C$30</f>
        <v>50.61626657</v>
      </c>
      <c r="V272" s="143">
        <f>(($Q272/(1+$D272)^1+$R272/(1+$D272)^2+$S272/(1+$D272)^3+$T272/(1+$D272)^4+$U272/(1+$D272)^5+$U272*(1+$E272)/($D272-$E272)/(1+$D272)^5)-Assumptions!$C$37)/Assumptions!$C$40/Assumptions!$C$38</f>
        <v>0.3783144463</v>
      </c>
    </row>
    <row r="273" ht="12.0" customHeight="1">
      <c r="B273" s="139">
        <v>221.0</v>
      </c>
      <c r="C273" s="140">
        <f t="shared" si="6"/>
        <v>0.9722736953</v>
      </c>
      <c r="D273" s="141">
        <f t="shared" si="7"/>
        <v>0.1110560861</v>
      </c>
      <c r="E273" s="141">
        <f t="shared" si="8"/>
        <v>0.02156922394</v>
      </c>
      <c r="F273" s="140">
        <f t="shared" si="9"/>
        <v>0.6250193625</v>
      </c>
      <c r="G273" s="141">
        <f t="shared" si="10"/>
        <v>0.06401990863</v>
      </c>
      <c r="H273" s="142">
        <f t="shared" si="11"/>
        <v>1</v>
      </c>
      <c r="I273" s="142">
        <f t="shared" si="12"/>
        <v>1</v>
      </c>
      <c r="J273" s="142">
        <f t="shared" si="13"/>
        <v>1</v>
      </c>
      <c r="K273" s="142">
        <f t="shared" si="14"/>
        <v>1</v>
      </c>
      <c r="L273" s="139">
        <f>Assumptions!$C$6*Assumptions!$C$7*(1+$G273-0.05*(1-1))^1+Assumptions!$C$6*Assumptions!$C$8*(1+Assumptions!$C$11)^1+Assumptions!$C$16*1+Assumptions!$C$6*Assumptions!$C$9*(1+Assumptions!$C$12)^1</f>
        <v>748.0171012</v>
      </c>
      <c r="M273" s="139">
        <f>Assumptions!$C$6*Assumptions!$C$7*(1+$G273-0.05*(1-$H273))^2+Assumptions!$C$6*Assumptions!$C$8*(1+Assumptions!$C$11)^2+Assumptions!$C$16*$H273+Assumptions!$C$6*Assumptions!$C$9*(1+Assumptions!$C$12)^2</f>
        <v>777.543134</v>
      </c>
      <c r="N273" s="139">
        <f>Assumptions!$C$6*Assumptions!$C$7*(1+$G273-0.05*(1-$I273))^3+Assumptions!$C$6*Assumptions!$C$8*(1+Assumptions!$C$11)^3+Assumptions!$C$16*$I273+Assumptions!$C$6*Assumptions!$C$9*(1+Assumptions!$C$12)^3</f>
        <v>808.6690055</v>
      </c>
      <c r="O273" s="139">
        <f>Assumptions!$C$6*Assumptions!$C$7*(1+$G273-0.05*(1-$J273))^4+Assumptions!$C$6*Assumptions!$C$8*(1+Assumptions!$C$11)^4+Assumptions!$C$16*$J273+Assumptions!$C$6*Assumptions!$C$9*(1+Assumptions!$C$12)^4</f>
        <v>841.4913289</v>
      </c>
      <c r="P273" s="139">
        <f>Assumptions!$C$6*Assumptions!$C$7*(1+$G273-0.05*(1-$K273))^5+Assumptions!$C$6*Assumptions!$C$8*(1+Assumptions!$C$11)^5+Assumptions!$C$16*$K273+Assumptions!$C$6*Assumptions!$C$9*(1+Assumptions!$C$12)^5</f>
        <v>876.1127865</v>
      </c>
      <c r="Q273" s="139">
        <f>($L273*(1-(Assumptions!$C$25+0.06*(1-1))-Assumptions!$C$27)-Assumptions!$C$28)-MAX(0,($L273*(1-(Assumptions!$C$25+0.06*(1-1))-Assumptions!$C$27)-Assumptions!$C$28)*Assumptions!$C$31)+Assumptions!$C$28-Assumptions!$C$29-$L273*Assumptions!$C$30</f>
        <v>93.32367677</v>
      </c>
      <c r="R273" s="139">
        <f>($M273*(1-(Assumptions!$C$25+0.06*(1-$H273))-Assumptions!$C$27)-Assumptions!$C$28)-MAX(0,($M273*(1-(Assumptions!$C$25+0.06*(1-$H273))-Assumptions!$C$27)-Assumptions!$C$28)*Assumptions!$C$31)+Assumptions!$C$28-Assumptions!$C$29-$M273*Assumptions!$C$30</f>
        <v>99.67177381</v>
      </c>
      <c r="S273" s="139">
        <f>($N273*(1-(Assumptions!$C$25+0.06*(1-$I273))-Assumptions!$C$27)-Assumptions!$C$28)-MAX(0,($N273*(1-(Assumptions!$C$25+0.06*(1-$I273))-Assumptions!$C$27)-Assumptions!$C$28)*Assumptions!$C$31)+Assumptions!$C$28-Assumptions!$C$29-$N273*Assumptions!$C$30</f>
        <v>106.3638362</v>
      </c>
      <c r="T273" s="139">
        <f>($O273*(1-(Assumptions!$C$25+0.06*(1-$J273))-Assumptions!$C$27)-Assumptions!$C$28)-MAX(0,($O273*(1-(Assumptions!$C$25+0.06*(1-$J273))-Assumptions!$C$27)-Assumptions!$C$28)*Assumptions!$C$31)+Assumptions!$C$28-Assumptions!$C$29-$O273*Assumptions!$C$30</f>
        <v>113.4206357</v>
      </c>
      <c r="U273" s="139">
        <f>($P273*(1-(Assumptions!$C$25+0.06*(1-$K273))-Assumptions!$C$27)-Assumptions!$C$28)-MAX(0,($P273*(1-(Assumptions!$C$25+0.06*(1-$K273))-Assumptions!$C$27)-Assumptions!$C$28)*Assumptions!$C$31)+Assumptions!$C$28-Assumptions!$C$29-$P273*Assumptions!$C$30</f>
        <v>120.8642491</v>
      </c>
      <c r="V273" s="143">
        <f>(($Q273/(1+$D273)^1+$R273/(1+$D273)^2+$S273/(1+$D273)^3+$T273/(1+$D273)^4+$U273/(1+$D273)^5+$U273*(1+$E273)/($D273-$E273)/(1+$D273)^5)-Assumptions!$C$37)/Assumptions!$C$40/Assumptions!$C$38</f>
        <v>3.990531808</v>
      </c>
    </row>
    <row r="274" ht="12.0" customHeight="1">
      <c r="B274" s="139">
        <v>222.0</v>
      </c>
      <c r="C274" s="140">
        <f t="shared" si="6"/>
        <v>0.1881351022</v>
      </c>
      <c r="D274" s="141">
        <f t="shared" si="7"/>
        <v>0.0929861004</v>
      </c>
      <c r="E274" s="141">
        <f t="shared" si="8"/>
        <v>0.01301373909</v>
      </c>
      <c r="F274" s="140">
        <f t="shared" si="9"/>
        <v>0.664942752</v>
      </c>
      <c r="G274" s="141">
        <f t="shared" si="10"/>
        <v>0.06544184359</v>
      </c>
      <c r="H274" s="142">
        <f t="shared" si="11"/>
        <v>1</v>
      </c>
      <c r="I274" s="142">
        <f t="shared" si="12"/>
        <v>1</v>
      </c>
      <c r="J274" s="142">
        <f t="shared" si="13"/>
        <v>1</v>
      </c>
      <c r="K274" s="142">
        <f t="shared" si="14"/>
        <v>1</v>
      </c>
      <c r="L274" s="139">
        <f>Assumptions!$C$6*Assumptions!$C$7*(1+$G274-0.05*(1-1))^1+Assumptions!$C$6*Assumptions!$C$8*(1+Assumptions!$C$11)^1+Assumptions!$C$16*1+Assumptions!$C$6*Assumptions!$C$9*(1+Assumptions!$C$12)^1</f>
        <v>748.4957246</v>
      </c>
      <c r="M274" s="139">
        <f>Assumptions!$C$6*Assumptions!$C$7*(1+$G274-0.05*(1-$H274))^2+Assumptions!$C$6*Assumptions!$C$8*(1+Assumptions!$C$11)^2+Assumptions!$C$16*$H274+Assumptions!$C$6*Assumptions!$C$9*(1+Assumptions!$C$12)^2</f>
        <v>778.562344</v>
      </c>
      <c r="N274" s="139">
        <f>Assumptions!$C$6*Assumptions!$C$7*(1+$G274-0.05*(1-$I274))^3+Assumptions!$C$6*Assumptions!$C$8*(1+Assumptions!$C$11)^3+Assumptions!$C$16*$I274+Assumptions!$C$6*Assumptions!$C$9*(1+Assumptions!$C$12)^3</f>
        <v>810.2967823</v>
      </c>
      <c r="O274" s="139">
        <f>Assumptions!$C$6*Assumptions!$C$7*(1+$G274-0.05*(1-$J274))^4+Assumptions!$C$6*Assumptions!$C$8*(1+Assumptions!$C$11)^4+Assumptions!$C$16*$J274+Assumptions!$C$6*Assumptions!$C$9*(1+Assumptions!$C$12)^4</f>
        <v>843.8021886</v>
      </c>
      <c r="P274" s="139">
        <f>Assumptions!$C$6*Assumptions!$C$7*(1+$G274-0.05*(1-$K274))^5+Assumptions!$C$6*Assumptions!$C$8*(1+Assumptions!$C$11)^5+Assumptions!$C$16*$K274+Assumptions!$C$6*Assumptions!$C$9*(1+Assumptions!$C$12)^5</f>
        <v>879.1883424</v>
      </c>
      <c r="Q274" s="139">
        <f>($L274*(1-(Assumptions!$C$25+0.06*(1-1))-Assumptions!$C$27)-Assumptions!$C$28)-MAX(0,($L274*(1-(Assumptions!$C$25+0.06*(1-1))-Assumptions!$C$27)-Assumptions!$C$28)*Assumptions!$C$31)+Assumptions!$C$28-Assumptions!$C$29-$L274*Assumptions!$C$30</f>
        <v>93.42658078</v>
      </c>
      <c r="R274" s="139">
        <f>($M274*(1-(Assumptions!$C$25+0.06*(1-$H274))-Assumptions!$C$27)-Assumptions!$C$28)-MAX(0,($M274*(1-(Assumptions!$C$25+0.06*(1-$H274))-Assumptions!$C$27)-Assumptions!$C$28)*Assumptions!$C$31)+Assumptions!$C$28-Assumptions!$C$29-$M274*Assumptions!$C$30</f>
        <v>99.89090396</v>
      </c>
      <c r="S274" s="139">
        <f>($N274*(1-(Assumptions!$C$25+0.06*(1-$I274))-Assumptions!$C$27)-Assumptions!$C$28)-MAX(0,($N274*(1-(Assumptions!$C$25+0.06*(1-$I274))-Assumptions!$C$27)-Assumptions!$C$28)*Assumptions!$C$31)+Assumptions!$C$28-Assumptions!$C$29-$N274*Assumptions!$C$30</f>
        <v>106.7138082</v>
      </c>
      <c r="T274" s="139">
        <f>($O274*(1-(Assumptions!$C$25+0.06*(1-$J274))-Assumptions!$C$27)-Assumptions!$C$28)-MAX(0,($O274*(1-(Assumptions!$C$25+0.06*(1-$J274))-Assumptions!$C$27)-Assumptions!$C$28)*Assumptions!$C$31)+Assumptions!$C$28-Assumptions!$C$29-$O274*Assumptions!$C$30</f>
        <v>113.9174705</v>
      </c>
      <c r="U274" s="139">
        <f>($P274*(1-(Assumptions!$C$25+0.06*(1-$K274))-Assumptions!$C$27)-Assumptions!$C$28)-MAX(0,($P274*(1-(Assumptions!$C$25+0.06*(1-$K274))-Assumptions!$C$27)-Assumptions!$C$28)*Assumptions!$C$31)+Assumptions!$C$28-Assumptions!$C$29-$P274*Assumptions!$C$30</f>
        <v>121.5254936</v>
      </c>
      <c r="V274" s="143">
        <f>(($Q274/(1+$D274)^1+$R274/(1+$D274)^2+$S274/(1+$D274)^3+$T274/(1+$D274)^4+$U274/(1+$D274)^5+$U274*(1+$E274)/($D274-$E274)/(1+$D274)^5)-Assumptions!$C$37)/Assumptions!$C$40/Assumptions!$C$38</f>
        <v>5.49204479</v>
      </c>
    </row>
    <row r="275" ht="12.0" customHeight="1">
      <c r="B275" s="139">
        <v>223.0</v>
      </c>
      <c r="C275" s="140">
        <f t="shared" si="6"/>
        <v>0.7266742362</v>
      </c>
      <c r="D275" s="141">
        <f t="shared" si="7"/>
        <v>0.1026171185</v>
      </c>
      <c r="E275" s="141">
        <f t="shared" si="8"/>
        <v>0.01892943001</v>
      </c>
      <c r="F275" s="140">
        <f t="shared" si="9"/>
        <v>0.06159016218</v>
      </c>
      <c r="G275" s="141">
        <f t="shared" si="10"/>
        <v>0.04052911639</v>
      </c>
      <c r="H275" s="142">
        <f t="shared" si="11"/>
        <v>1</v>
      </c>
      <c r="I275" s="142">
        <f t="shared" si="12"/>
        <v>1</v>
      </c>
      <c r="J275" s="142">
        <f t="shared" si="13"/>
        <v>1</v>
      </c>
      <c r="K275" s="142">
        <f t="shared" si="14"/>
        <v>1</v>
      </c>
      <c r="L275" s="139">
        <f>Assumptions!$C$6*Assumptions!$C$7*(1+$G275-0.05*(1-1))^1+Assumptions!$C$6*Assumptions!$C$8*(1+Assumptions!$C$11)^1+Assumptions!$C$16*1+Assumptions!$C$6*Assumptions!$C$9*(1+Assumptions!$C$12)^1</f>
        <v>740.1101006</v>
      </c>
      <c r="M275" s="139">
        <f>Assumptions!$C$6*Assumptions!$C$7*(1+$G275-0.05*(1-$H275))^2+Assumptions!$C$6*Assumptions!$C$8*(1+Assumptions!$C$11)^2+Assumptions!$C$16*$H275+Assumptions!$C$6*Assumptions!$C$9*(1+Assumptions!$C$12)^2</f>
        <v>760.9024634</v>
      </c>
      <c r="N275" s="139">
        <f>Assumptions!$C$6*Assumptions!$C$7*(1+$G275-0.05*(1-$I275))^3+Assumptions!$C$6*Assumptions!$C$8*(1+Assumptions!$C$11)^3+Assumptions!$C$16*$I275+Assumptions!$C$6*Assumptions!$C$9*(1+Assumptions!$C$12)^3</f>
        <v>782.4020844</v>
      </c>
      <c r="O275" s="139">
        <f>Assumptions!$C$6*Assumptions!$C$7*(1+$G275-0.05*(1-$J275))^4+Assumptions!$C$6*Assumptions!$C$8*(1+Assumptions!$C$11)^4+Assumptions!$C$16*$J275+Assumptions!$C$6*Assumptions!$C$9*(1+Assumptions!$C$12)^4</f>
        <v>804.6349193</v>
      </c>
      <c r="P275" s="139">
        <f>Assumptions!$C$6*Assumptions!$C$7*(1+$G275-0.05*(1-$K275))^5+Assumptions!$C$6*Assumptions!$C$8*(1+Assumptions!$C$11)^5+Assumptions!$C$16*$K275+Assumptions!$C$6*Assumptions!$C$9*(1+Assumptions!$C$12)^5</f>
        <v>827.6279217</v>
      </c>
      <c r="Q275" s="139">
        <f>($L275*(1-(Assumptions!$C$25+0.06*(1-1))-Assumptions!$C$27)-Assumptions!$C$28)-MAX(0,($L275*(1-(Assumptions!$C$25+0.06*(1-1))-Assumptions!$C$27)-Assumptions!$C$28)*Assumptions!$C$31)+Assumptions!$C$28-Assumptions!$C$29-$L275*Assumptions!$C$30</f>
        <v>91.62367162</v>
      </c>
      <c r="R275" s="139">
        <f>($M275*(1-(Assumptions!$C$25+0.06*(1-$H275))-Assumptions!$C$27)-Assumptions!$C$28)-MAX(0,($M275*(1-(Assumptions!$C$25+0.06*(1-$H275))-Assumptions!$C$27)-Assumptions!$C$28)*Assumptions!$C$31)+Assumptions!$C$28-Assumptions!$C$29-$M275*Assumptions!$C$30</f>
        <v>96.09402964</v>
      </c>
      <c r="S275" s="139">
        <f>($N275*(1-(Assumptions!$C$25+0.06*(1-$I275))-Assumptions!$C$27)-Assumptions!$C$28)-MAX(0,($N275*(1-(Assumptions!$C$25+0.06*(1-$I275))-Assumptions!$C$27)-Assumptions!$C$28)*Assumptions!$C$31)+Assumptions!$C$28-Assumptions!$C$29-$N275*Assumptions!$C$30</f>
        <v>100.7164481</v>
      </c>
      <c r="T275" s="139">
        <f>($O275*(1-(Assumptions!$C$25+0.06*(1-$J275))-Assumptions!$C$27)-Assumptions!$C$28)-MAX(0,($O275*(1-(Assumptions!$C$25+0.06*(1-$J275))-Assumptions!$C$27)-Assumptions!$C$28)*Assumptions!$C$31)+Assumptions!$C$28-Assumptions!$C$29-$O275*Assumptions!$C$30</f>
        <v>105.4965077</v>
      </c>
      <c r="U275" s="139">
        <f>($P275*(1-(Assumptions!$C$25+0.06*(1-$K275))-Assumptions!$C$27)-Assumptions!$C$28)-MAX(0,($P275*(1-(Assumptions!$C$25+0.06*(1-$K275))-Assumptions!$C$27)-Assumptions!$C$28)*Assumptions!$C$31)+Assumptions!$C$28-Assumptions!$C$29-$P275*Assumptions!$C$30</f>
        <v>110.4400032</v>
      </c>
      <c r="V275" s="143">
        <f>(($Q275/(1+$D275)^1+$R275/(1+$D275)^2+$S275/(1+$D275)^3+$T275/(1+$D275)^4+$U275/(1+$D275)^5+$U275*(1+$E275)/($D275-$E275)/(1+$D275)^5)-Assumptions!$C$37)/Assumptions!$C$40/Assumptions!$C$38</f>
        <v>3.978201501</v>
      </c>
    </row>
    <row r="276" ht="12.0" customHeight="1">
      <c r="B276" s="139">
        <v>224.0</v>
      </c>
      <c r="C276" s="140">
        <f t="shared" si="6"/>
        <v>0.1572371061</v>
      </c>
      <c r="D276" s="141">
        <f t="shared" si="7"/>
        <v>0.09230091631</v>
      </c>
      <c r="E276" s="141">
        <f t="shared" si="8"/>
        <v>0.02908591012</v>
      </c>
      <c r="F276" s="140">
        <f t="shared" si="9"/>
        <v>0.4901666558</v>
      </c>
      <c r="G276" s="141">
        <f t="shared" si="10"/>
        <v>0.05970353481</v>
      </c>
      <c r="H276" s="142">
        <f t="shared" si="11"/>
        <v>1</v>
      </c>
      <c r="I276" s="142">
        <f t="shared" si="12"/>
        <v>1</v>
      </c>
      <c r="J276" s="142">
        <f t="shared" si="13"/>
        <v>0</v>
      </c>
      <c r="K276" s="142">
        <f t="shared" si="14"/>
        <v>0</v>
      </c>
      <c r="L276" s="139">
        <f>Assumptions!$C$6*Assumptions!$C$7*(1+$G276-0.05*(1-1))^1+Assumptions!$C$6*Assumptions!$C$8*(1+Assumptions!$C$11)^1+Assumptions!$C$16*1+Assumptions!$C$6*Assumptions!$C$9*(1+Assumptions!$C$12)^1</f>
        <v>746.5642098</v>
      </c>
      <c r="M276" s="139">
        <f>Assumptions!$C$6*Assumptions!$C$7*(1+$G276-0.05*(1-$H276))^2+Assumptions!$C$6*Assumptions!$C$8*(1+Assumptions!$C$11)^2+Assumptions!$C$16*$H276+Assumptions!$C$6*Assumptions!$C$9*(1+Assumptions!$C$12)^2</f>
        <v>774.4575944</v>
      </c>
      <c r="N276" s="139">
        <f>Assumptions!$C$6*Assumptions!$C$7*(1+$G276-0.05*(1-$I276))^3+Assumptions!$C$6*Assumptions!$C$8*(1+Assumptions!$C$11)^3+Assumptions!$C$16*$I276+Assumptions!$C$6*Assumptions!$C$9*(1+Assumptions!$C$12)^3</f>
        <v>803.7543741</v>
      </c>
      <c r="O276" s="139">
        <f>Assumptions!$C$6*Assumptions!$C$7*(1+$G276-0.05*(1-$J276))^4+Assumptions!$C$6*Assumptions!$C$8*(1+Assumptions!$C$11)^4+Assumptions!$C$16*$J276+Assumptions!$C$6*Assumptions!$C$9*(1+Assumptions!$C$12)^4</f>
        <v>699.9147957</v>
      </c>
      <c r="P276" s="139">
        <f>Assumptions!$C$6*Assumptions!$C$7*(1+$G276-0.05*(1-$K276))^5+Assumptions!$C$6*Assumptions!$C$8*(1+Assumptions!$C$11)^5+Assumptions!$C$16*$K276+Assumptions!$C$6*Assumptions!$C$9*(1+Assumptions!$C$12)^5</f>
        <v>710.310809</v>
      </c>
      <c r="Q276" s="139">
        <f>($L276*(1-(Assumptions!$C$25+0.06*(1-1))-Assumptions!$C$27)-Assumptions!$C$28)-MAX(0,($L276*(1-(Assumptions!$C$25+0.06*(1-1))-Assumptions!$C$27)-Assumptions!$C$28)*Assumptions!$C$31)+Assumptions!$C$28-Assumptions!$C$29-$L276*Assumptions!$C$30</f>
        <v>93.01130511</v>
      </c>
      <c r="R276" s="139">
        <f>($M276*(1-(Assumptions!$C$25+0.06*(1-$H276))-Assumptions!$C$27)-Assumptions!$C$28)-MAX(0,($M276*(1-(Assumptions!$C$25+0.06*(1-$H276))-Assumptions!$C$27)-Assumptions!$C$28)*Assumptions!$C$31)+Assumptions!$C$28-Assumptions!$C$29-$M276*Assumptions!$C$30</f>
        <v>99.0083828</v>
      </c>
      <c r="S276" s="139">
        <f>($N276*(1-(Assumptions!$C$25+0.06*(1-$I276))-Assumptions!$C$27)-Assumptions!$C$28)-MAX(0,($N276*(1-(Assumptions!$C$25+0.06*(1-$I276))-Assumptions!$C$27)-Assumptions!$C$28)*Assumptions!$C$31)+Assumptions!$C$28-Assumptions!$C$29-$N276*Assumptions!$C$30</f>
        <v>105.3071904</v>
      </c>
      <c r="T276" s="139">
        <f>($O276*(1-(Assumptions!$C$25+0.06*(1-$J276))-Assumptions!$C$27)-Assumptions!$C$28)-MAX(0,($O276*(1-(Assumptions!$C$25+0.06*(1-$J276))-Assumptions!$C$27)-Assumptions!$C$28)*Assumptions!$C$31)+Assumptions!$C$28-Assumptions!$C$29-$O276*Assumptions!$C$30</f>
        <v>40.980403</v>
      </c>
      <c r="U276" s="139">
        <f>($P276*(1-(Assumptions!$C$25+0.06*(1-$K276))-Assumptions!$C$27)-Assumptions!$C$28)-MAX(0,($P276*(1-(Assumptions!$C$25+0.06*(1-$K276))-Assumptions!$C$27)-Assumptions!$C$28)*Assumptions!$C$31)+Assumptions!$C$28-Assumptions!$C$29-$P276*Assumptions!$C$30</f>
        <v>43.37148607</v>
      </c>
      <c r="V276" s="143">
        <f>(($Q276/(1+$D276)^1+$R276/(1+$D276)^2+$S276/(1+$D276)^3+$T276/(1+$D276)^4+$U276/(1+$D276)^5+$U276*(1+$E276)/($D276-$E276)/(1+$D276)^5)-Assumptions!$C$37)/Assumptions!$C$40/Assumptions!$C$38</f>
        <v>0.5305925667</v>
      </c>
    </row>
    <row r="277" ht="12.0" customHeight="1">
      <c r="B277" s="139">
        <v>225.0</v>
      </c>
      <c r="C277" s="140">
        <f t="shared" si="6"/>
        <v>0.2688107816</v>
      </c>
      <c r="D277" s="141">
        <f t="shared" si="7"/>
        <v>0.09454603871</v>
      </c>
      <c r="E277" s="141">
        <f t="shared" si="8"/>
        <v>0.02259348263</v>
      </c>
      <c r="F277" s="140">
        <f t="shared" si="9"/>
        <v>0.03906368373</v>
      </c>
      <c r="G277" s="141">
        <f t="shared" si="10"/>
        <v>0.03838538197</v>
      </c>
      <c r="H277" s="142">
        <f t="shared" si="11"/>
        <v>1</v>
      </c>
      <c r="I277" s="142">
        <f t="shared" si="12"/>
        <v>0</v>
      </c>
      <c r="J277" s="142">
        <f t="shared" si="13"/>
        <v>1</v>
      </c>
      <c r="K277" s="142">
        <f t="shared" si="14"/>
        <v>1</v>
      </c>
      <c r="L277" s="139">
        <f>Assumptions!$C$6*Assumptions!$C$7*(1+$G277-0.05*(1-1))^1+Assumptions!$C$6*Assumptions!$C$8*(1+Assumptions!$C$11)^1+Assumptions!$C$16*1+Assumptions!$C$6*Assumptions!$C$9*(1+Assumptions!$C$12)^1</f>
        <v>739.3885196</v>
      </c>
      <c r="M277" s="139">
        <f>Assumptions!$C$6*Assumptions!$C$7*(1+$G277-0.05*(1-$H277))^2+Assumptions!$C$6*Assumptions!$C$8*(1+Assumptions!$C$11)^2+Assumptions!$C$16*$H277+Assumptions!$C$6*Assumptions!$C$9*(1+Assumptions!$C$12)^2</f>
        <v>759.4023582</v>
      </c>
      <c r="N277" s="139">
        <f>Assumptions!$C$6*Assumptions!$C$7*(1+$G277-0.05*(1-$I277))^3+Assumptions!$C$6*Assumptions!$C$8*(1+Assumptions!$C$11)^3+Assumptions!$C$16*$I277+Assumptions!$C$6*Assumptions!$C$9*(1+Assumptions!$C$12)^3</f>
        <v>668.2019199</v>
      </c>
      <c r="O277" s="139">
        <f>Assumptions!$C$6*Assumptions!$C$7*(1+$G277-0.05*(1-$J277))^4+Assumptions!$C$6*Assumptions!$C$8*(1+Assumptions!$C$11)^4+Assumptions!$C$16*$J277+Assumptions!$C$6*Assumptions!$C$9*(1+Assumptions!$C$12)^4</f>
        <v>801.3932744</v>
      </c>
      <c r="P277" s="139">
        <f>Assumptions!$C$6*Assumptions!$C$7*(1+$G277-0.05*(1-$K277))^5+Assumptions!$C$6*Assumptions!$C$8*(1+Assumptions!$C$11)^5+Assumptions!$C$16*$K277+Assumptions!$C$6*Assumptions!$C$9*(1+Assumptions!$C$12)^5</f>
        <v>823.4159781</v>
      </c>
      <c r="Q277" s="139">
        <f>($L277*(1-(Assumptions!$C$25+0.06*(1-1))-Assumptions!$C$27)-Assumptions!$C$28)-MAX(0,($L277*(1-(Assumptions!$C$25+0.06*(1-1))-Assumptions!$C$27)-Assumptions!$C$28)*Assumptions!$C$31)+Assumptions!$C$28-Assumptions!$C$29-$L277*Assumptions!$C$30</f>
        <v>91.46853171</v>
      </c>
      <c r="R277" s="139">
        <f>($M277*(1-(Assumptions!$C$25+0.06*(1-$H277))-Assumptions!$C$27)-Assumptions!$C$28)-MAX(0,($M277*(1-(Assumptions!$C$25+0.06*(1-$H277))-Assumptions!$C$27)-Assumptions!$C$28)*Assumptions!$C$31)+Assumptions!$C$28-Assumptions!$C$29-$M277*Assumptions!$C$30</f>
        <v>95.77150702</v>
      </c>
      <c r="S277" s="139">
        <f>($N277*(1-(Assumptions!$C$25+0.06*(1-$I277))-Assumptions!$C$27)-Assumptions!$C$28)-MAX(0,($N277*(1-(Assumptions!$C$25+0.06*(1-$I277))-Assumptions!$C$27)-Assumptions!$C$28)*Assumptions!$C$31)+Assumptions!$C$28-Assumptions!$C$29-$N277*Assumptions!$C$30</f>
        <v>33.68644157</v>
      </c>
      <c r="T277" s="139">
        <f>($O277*(1-(Assumptions!$C$25+0.06*(1-$J277))-Assumptions!$C$27)-Assumptions!$C$28)-MAX(0,($O277*(1-(Assumptions!$C$25+0.06*(1-$J277))-Assumptions!$C$27)-Assumptions!$C$28)*Assumptions!$C$31)+Assumptions!$C$28-Assumptions!$C$29-$O277*Assumptions!$C$30</f>
        <v>104.799554</v>
      </c>
      <c r="U277" s="139">
        <f>($P277*(1-(Assumptions!$C$25+0.06*(1-$K277))-Assumptions!$C$27)-Assumptions!$C$28)-MAX(0,($P277*(1-(Assumptions!$C$25+0.06*(1-$K277))-Assumptions!$C$27)-Assumptions!$C$28)*Assumptions!$C$31)+Assumptions!$C$28-Assumptions!$C$29-$P277*Assumptions!$C$30</f>
        <v>109.5344353</v>
      </c>
      <c r="V277" s="143">
        <f>(($Q277/(1+$D277)^1+$R277/(1+$D277)^2+$S277/(1+$D277)^3+$T277/(1+$D277)^4+$U277/(1+$D277)^5+$U277*(1+$E277)/($D277-$E277)/(1+$D277)^5)-Assumptions!$C$37)/Assumptions!$C$40/Assumptions!$C$38</f>
        <v>4.925513479</v>
      </c>
    </row>
    <row r="278" ht="12.0" customHeight="1">
      <c r="B278" s="139">
        <v>226.0</v>
      </c>
      <c r="C278" s="140">
        <f t="shared" si="6"/>
        <v>0.1844181274</v>
      </c>
      <c r="D278" s="141">
        <f t="shared" si="7"/>
        <v>0.09290681638</v>
      </c>
      <c r="E278" s="141">
        <f t="shared" si="8"/>
        <v>0.02458250798</v>
      </c>
      <c r="F278" s="140">
        <f t="shared" si="9"/>
        <v>0.5997893367</v>
      </c>
      <c r="G278" s="141">
        <f t="shared" si="10"/>
        <v>0.06316011934</v>
      </c>
      <c r="H278" s="142">
        <f t="shared" si="11"/>
        <v>1</v>
      </c>
      <c r="I278" s="142">
        <f t="shared" si="12"/>
        <v>1</v>
      </c>
      <c r="J278" s="142">
        <f t="shared" si="13"/>
        <v>0</v>
      </c>
      <c r="K278" s="142">
        <f t="shared" si="14"/>
        <v>1</v>
      </c>
      <c r="L278" s="139">
        <f>Assumptions!$C$6*Assumptions!$C$7*(1+$G278-0.05*(1-1))^1+Assumptions!$C$6*Assumptions!$C$8*(1+Assumptions!$C$11)^1+Assumptions!$C$16*1+Assumptions!$C$6*Assumptions!$C$9*(1+Assumptions!$C$12)^1</f>
        <v>747.7276962</v>
      </c>
      <c r="M278" s="139">
        <f>Assumptions!$C$6*Assumptions!$C$7*(1+$G278-0.05*(1-$H278))^2+Assumptions!$C$6*Assumptions!$C$8*(1+Assumptions!$C$11)^2+Assumptions!$C$16*$H278+Assumptions!$C$6*Assumptions!$C$9*(1+Assumptions!$C$12)^2</f>
        <v>776.9275173</v>
      </c>
      <c r="N278" s="139">
        <f>Assumptions!$C$6*Assumptions!$C$7*(1+$G278-0.05*(1-$I278))^3+Assumptions!$C$6*Assumptions!$C$8*(1+Assumptions!$C$11)^3+Assumptions!$C$16*$I278+Assumptions!$C$6*Assumptions!$C$9*(1+Assumptions!$C$12)^3</f>
        <v>807.6868597</v>
      </c>
      <c r="O278" s="139">
        <f>Assumptions!$C$6*Assumptions!$C$7*(1+$G278-0.05*(1-$J278))^4+Assumptions!$C$6*Assumptions!$C$8*(1+Assumptions!$C$11)^4+Assumptions!$C$16*$J278+Assumptions!$C$6*Assumptions!$C$9*(1+Assumptions!$C$12)^4</f>
        <v>704.730196</v>
      </c>
      <c r="P278" s="139">
        <f>Assumptions!$C$6*Assumptions!$C$7*(1+$G278-0.05*(1-$K278))^5+Assumptions!$C$6*Assumptions!$C$8*(1+Assumptions!$C$11)^5+Assumptions!$C$16*$K278+Assumptions!$C$6*Assumptions!$C$9*(1+Assumptions!$C$12)^5</f>
        <v>874.2610751</v>
      </c>
      <c r="Q278" s="139">
        <f>($L278*(1-(Assumptions!$C$25+0.06*(1-1))-Assumptions!$C$27)-Assumptions!$C$28)-MAX(0,($L278*(1-(Assumptions!$C$25+0.06*(1-1))-Assumptions!$C$27)-Assumptions!$C$28)*Assumptions!$C$31)+Assumptions!$C$28-Assumptions!$C$29-$L278*Assumptions!$C$30</f>
        <v>93.26145468</v>
      </c>
      <c r="R278" s="139">
        <f>($M278*(1-(Assumptions!$C$25+0.06*(1-$H278))-Assumptions!$C$27)-Assumptions!$C$28)-MAX(0,($M278*(1-(Assumptions!$C$25+0.06*(1-$H278))-Assumptions!$C$27)-Assumptions!$C$28)*Assumptions!$C$31)+Assumptions!$C$28-Assumptions!$C$29-$M278*Assumptions!$C$30</f>
        <v>99.53941622</v>
      </c>
      <c r="S278" s="139">
        <f>($N278*(1-(Assumptions!$C$25+0.06*(1-$I278))-Assumptions!$C$27)-Assumptions!$C$28)-MAX(0,($N278*(1-(Assumptions!$C$25+0.06*(1-$I278))-Assumptions!$C$27)-Assumptions!$C$28)*Assumptions!$C$31)+Assumptions!$C$28-Assumptions!$C$29-$N278*Assumptions!$C$30</f>
        <v>106.1526748</v>
      </c>
      <c r="T278" s="139">
        <f>($O278*(1-(Assumptions!$C$25+0.06*(1-$J278))-Assumptions!$C$27)-Assumptions!$C$28)-MAX(0,($O278*(1-(Assumptions!$C$25+0.06*(1-$J278))-Assumptions!$C$27)-Assumptions!$C$28)*Assumptions!$C$31)+Assumptions!$C$28-Assumptions!$C$29-$O278*Assumptions!$C$30</f>
        <v>42.08794508</v>
      </c>
      <c r="U278" s="139">
        <f>($P278*(1-(Assumptions!$C$25+0.06*(1-$K278))-Assumptions!$C$27)-Assumptions!$C$28)-MAX(0,($P278*(1-(Assumptions!$C$25+0.06*(1-$K278))-Assumptions!$C$27)-Assumptions!$C$28)*Assumptions!$C$31)+Assumptions!$C$28-Assumptions!$C$29-$P278*Assumptions!$C$30</f>
        <v>120.4661312</v>
      </c>
      <c r="V278" s="143">
        <f>(($Q278/(1+$D278)^1+$R278/(1+$D278)^2+$S278/(1+$D278)^3+$T278/(1+$D278)^4+$U278/(1+$D278)^5+$U278*(1+$E278)/($D278-$E278)/(1+$D278)^5)-Assumptions!$C$37)/Assumptions!$C$40/Assumptions!$C$38</f>
        <v>6.427434799</v>
      </c>
    </row>
    <row r="279" ht="12.0" customHeight="1">
      <c r="B279" s="139">
        <v>227.0</v>
      </c>
      <c r="C279" s="140">
        <f t="shared" si="6"/>
        <v>0.9187146075</v>
      </c>
      <c r="D279" s="141">
        <f t="shared" si="7"/>
        <v>0.108247141</v>
      </c>
      <c r="E279" s="141">
        <f t="shared" si="8"/>
        <v>0.02586677685</v>
      </c>
      <c r="F279" s="140">
        <f t="shared" si="9"/>
        <v>0.0003426638343</v>
      </c>
      <c r="G279" s="141">
        <f t="shared" si="10"/>
        <v>0.03078536291</v>
      </c>
      <c r="H279" s="142">
        <f t="shared" si="11"/>
        <v>1</v>
      </c>
      <c r="I279" s="142">
        <f t="shared" si="12"/>
        <v>1</v>
      </c>
      <c r="J279" s="142">
        <f t="shared" si="13"/>
        <v>1</v>
      </c>
      <c r="K279" s="142">
        <f t="shared" si="14"/>
        <v>0</v>
      </c>
      <c r="L279" s="139">
        <f>Assumptions!$C$6*Assumptions!$C$7*(1+$G279-0.05*(1-1))^1+Assumptions!$C$6*Assumptions!$C$8*(1+Assumptions!$C$11)^1+Assumptions!$C$16*1+Assumptions!$C$6*Assumptions!$C$9*(1+Assumptions!$C$12)^1</f>
        <v>736.8303532</v>
      </c>
      <c r="M279" s="139">
        <f>Assumptions!$C$6*Assumptions!$C$7*(1+$G279-0.05*(1-$H279))^2+Assumptions!$C$6*Assumptions!$C$8*(1+Assumptions!$C$11)^2+Assumptions!$C$16*$H279+Assumptions!$C$6*Assumptions!$C$9*(1+Assumptions!$C$12)^2</f>
        <v>754.1090751</v>
      </c>
      <c r="N279" s="139">
        <f>Assumptions!$C$6*Assumptions!$C$7*(1+$G279-0.05*(1-$I279))^3+Assumptions!$C$6*Assumptions!$C$8*(1+Assumptions!$C$11)^3+Assumptions!$C$16*$I279+Assumptions!$C$6*Assumptions!$C$9*(1+Assumptions!$C$12)^3</f>
        <v>771.8485739</v>
      </c>
      <c r="O279" s="139">
        <f>Assumptions!$C$6*Assumptions!$C$7*(1+$G279-0.05*(1-$J279))^4+Assumptions!$C$6*Assumptions!$C$8*(1+Assumptions!$C$11)^4+Assumptions!$C$16*$J279+Assumptions!$C$6*Assumptions!$C$9*(1+Assumptions!$C$12)^4</f>
        <v>790.0616115</v>
      </c>
      <c r="P279" s="139">
        <f>Assumptions!$C$6*Assumptions!$C$7*(1+$G279-0.05*(1-$K279))^5+Assumptions!$C$6*Assumptions!$C$8*(1+Assumptions!$C$11)^5+Assumptions!$C$16*$K279+Assumptions!$C$6*Assumptions!$C$9*(1+Assumptions!$C$12)^5</f>
        <v>662.5405822</v>
      </c>
      <c r="Q279" s="139">
        <f>($L279*(1-(Assumptions!$C$25+0.06*(1-1))-Assumptions!$C$27)-Assumptions!$C$28)-MAX(0,($L279*(1-(Assumptions!$C$25+0.06*(1-1))-Assumptions!$C$27)-Assumptions!$C$28)*Assumptions!$C$31)+Assumptions!$C$28-Assumptions!$C$29-$L279*Assumptions!$C$30</f>
        <v>90.91852593</v>
      </c>
      <c r="R279" s="139">
        <f>($M279*(1-(Assumptions!$C$25+0.06*(1-$H279))-Assumptions!$C$27)-Assumptions!$C$28)-MAX(0,($M279*(1-(Assumptions!$C$25+0.06*(1-$H279))-Assumptions!$C$27)-Assumptions!$C$28)*Assumptions!$C$31)+Assumptions!$C$28-Assumptions!$C$29-$M279*Assumptions!$C$30</f>
        <v>94.63345115</v>
      </c>
      <c r="S279" s="139">
        <f>($N279*(1-(Assumptions!$C$25+0.06*(1-$I279))-Assumptions!$C$27)-Assumptions!$C$28)-MAX(0,($N279*(1-(Assumptions!$C$25+0.06*(1-$I279))-Assumptions!$C$27)-Assumptions!$C$28)*Assumptions!$C$31)+Assumptions!$C$28-Assumptions!$C$29-$N279*Assumptions!$C$30</f>
        <v>98.44744338</v>
      </c>
      <c r="T279" s="139">
        <f>($O279*(1-(Assumptions!$C$25+0.06*(1-$J279))-Assumptions!$C$27)-Assumptions!$C$28)-MAX(0,($O279*(1-(Assumptions!$C$25+0.06*(1-$J279))-Assumptions!$C$27)-Assumptions!$C$28)*Assumptions!$C$31)+Assumptions!$C$28-Assumptions!$C$29-$O279*Assumptions!$C$30</f>
        <v>102.3632465</v>
      </c>
      <c r="U279" s="139">
        <f>($P279*(1-(Assumptions!$C$25+0.06*(1-$K279))-Assumptions!$C$27)-Assumptions!$C$28)-MAX(0,($P279*(1-(Assumptions!$C$25+0.06*(1-$K279))-Assumptions!$C$27)-Assumptions!$C$28)*Assumptions!$C$31)+Assumptions!$C$28-Assumptions!$C$29-$P279*Assumptions!$C$30</f>
        <v>32.38433391</v>
      </c>
      <c r="V279" s="143">
        <f>(($Q279/(1+$D279)^1+$R279/(1+$D279)^2+$S279/(1+$D279)^3+$T279/(1+$D279)^4+$U279/(1+$D279)^5+$U279*(1+$E279)/($D279-$E279)/(1+$D279)^5)-Assumptions!$C$37)/Assumptions!$C$40/Assumptions!$C$38</f>
        <v>-1.028830807</v>
      </c>
    </row>
    <row r="280" ht="12.0" customHeight="1">
      <c r="B280" s="139">
        <v>228.0</v>
      </c>
      <c r="C280" s="140">
        <f t="shared" si="6"/>
        <v>0.5199123401</v>
      </c>
      <c r="D280" s="141">
        <f t="shared" si="7"/>
        <v>0.09858874846</v>
      </c>
      <c r="E280" s="141">
        <f t="shared" si="8"/>
        <v>0.02836916082</v>
      </c>
      <c r="F280" s="140">
        <f t="shared" si="9"/>
        <v>0.3049660476</v>
      </c>
      <c r="G280" s="141">
        <f t="shared" si="10"/>
        <v>0.05342944484</v>
      </c>
      <c r="H280" s="142">
        <f t="shared" si="11"/>
        <v>1</v>
      </c>
      <c r="I280" s="142">
        <f t="shared" si="12"/>
        <v>1</v>
      </c>
      <c r="J280" s="142">
        <f t="shared" si="13"/>
        <v>0</v>
      </c>
      <c r="K280" s="142">
        <f t="shared" si="14"/>
        <v>1</v>
      </c>
      <c r="L280" s="139">
        <f>Assumptions!$C$6*Assumptions!$C$7*(1+$G280-0.05*(1-1))^1+Assumptions!$C$6*Assumptions!$C$8*(1+Assumptions!$C$11)^1+Assumptions!$C$16*1+Assumptions!$C$6*Assumptions!$C$9*(1+Assumptions!$C$12)^1</f>
        <v>744.4523511</v>
      </c>
      <c r="M280" s="139">
        <f>Assumptions!$C$6*Assumptions!$C$7*(1+$G280-0.05*(1-$H280))^2+Assumptions!$C$6*Assumptions!$C$8*(1+Assumptions!$C$11)^2+Assumptions!$C$16*$H280+Assumptions!$C$6*Assumptions!$C$9*(1+Assumptions!$C$12)^2</f>
        <v>769.9949562</v>
      </c>
      <c r="N280" s="139">
        <f>Assumptions!$C$6*Assumptions!$C$7*(1+$G280-0.05*(1-$I280))^3+Assumptions!$C$6*Assumptions!$C$8*(1+Assumptions!$C$11)^3+Assumptions!$C$16*$I280+Assumptions!$C$6*Assumptions!$C$9*(1+Assumptions!$C$12)^3</f>
        <v>796.6817423</v>
      </c>
      <c r="O280" s="139">
        <f>Assumptions!$C$6*Assumptions!$C$7*(1+$G280-0.05*(1-$J280))^4+Assumptions!$C$6*Assumptions!$C$8*(1+Assumptions!$C$11)^4+Assumptions!$C$16*$J280+Assumptions!$C$6*Assumptions!$C$9*(1+Assumptions!$C$12)^4</f>
        <v>691.2997721</v>
      </c>
      <c r="P280" s="139">
        <f>Assumptions!$C$6*Assumptions!$C$7*(1+$G280-0.05*(1-$K280))^5+Assumptions!$C$6*Assumptions!$C$8*(1+Assumptions!$C$11)^5+Assumptions!$C$16*$K280+Assumptions!$C$6*Assumptions!$C$9*(1+Assumptions!$C$12)^5</f>
        <v>853.7176886</v>
      </c>
      <c r="Q280" s="139">
        <f>($L280*(1-(Assumptions!$C$25+0.06*(1-1))-Assumptions!$C$27)-Assumptions!$C$28)-MAX(0,($L280*(1-(Assumptions!$C$25+0.06*(1-1))-Assumptions!$C$27)-Assumptions!$C$28)*Assumptions!$C$31)+Assumptions!$C$28-Assumptions!$C$29-$L280*Assumptions!$C$30</f>
        <v>92.55725549</v>
      </c>
      <c r="R280" s="139">
        <f>($M280*(1-(Assumptions!$C$25+0.06*(1-$H280))-Assumptions!$C$27)-Assumptions!$C$28)-MAX(0,($M280*(1-(Assumptions!$C$25+0.06*(1-$H280))-Assumptions!$C$27)-Assumptions!$C$28)*Assumptions!$C$31)+Assumptions!$C$28-Assumptions!$C$29-$M280*Assumptions!$C$30</f>
        <v>98.04891558</v>
      </c>
      <c r="S280" s="139">
        <f>($N280*(1-(Assumptions!$C$25+0.06*(1-$I280))-Assumptions!$C$27)-Assumptions!$C$28)-MAX(0,($N280*(1-(Assumptions!$C$25+0.06*(1-$I280))-Assumptions!$C$27)-Assumptions!$C$28)*Assumptions!$C$31)+Assumptions!$C$28-Assumptions!$C$29-$N280*Assumptions!$C$30</f>
        <v>103.7865746</v>
      </c>
      <c r="T280" s="139">
        <f>($O280*(1-(Assumptions!$C$25+0.06*(1-$J280))-Assumptions!$C$27)-Assumptions!$C$28)-MAX(0,($O280*(1-(Assumptions!$C$25+0.06*(1-$J280))-Assumptions!$C$27)-Assumptions!$C$28)*Assumptions!$C$31)+Assumptions!$C$28-Assumptions!$C$29-$O280*Assumptions!$C$30</f>
        <v>38.99894759</v>
      </c>
      <c r="U280" s="139">
        <f>($P280*(1-(Assumptions!$C$25+0.06*(1-$K280))-Assumptions!$C$27)-Assumptions!$C$28)-MAX(0,($P280*(1-(Assumptions!$C$25+0.06*(1-$K280))-Assumptions!$C$27)-Assumptions!$C$28)*Assumptions!$C$31)+Assumptions!$C$28-Assumptions!$C$29-$P280*Assumptions!$C$30</f>
        <v>116.049303</v>
      </c>
      <c r="V280" s="143">
        <f>(($Q280/(1+$D280)^1+$R280/(1+$D280)^2+$S280/(1+$D280)^3+$T280/(1+$D280)^4+$U280/(1+$D280)^5+$U280*(1+$E280)/($D280-$E280)/(1+$D280)^5)-Assumptions!$C$37)/Assumptions!$C$40/Assumptions!$C$38</f>
        <v>5.567700145</v>
      </c>
    </row>
    <row r="281" ht="12.0" customHeight="1">
      <c r="B281" s="139">
        <v>229.0</v>
      </c>
      <c r="C281" s="140">
        <f t="shared" si="6"/>
        <v>0.5155755229</v>
      </c>
      <c r="D281" s="141">
        <f t="shared" si="7"/>
        <v>0.09851479052</v>
      </c>
      <c r="E281" s="141">
        <f t="shared" si="8"/>
        <v>0.0278300568</v>
      </c>
      <c r="F281" s="140">
        <f t="shared" si="9"/>
        <v>0.5210490275</v>
      </c>
      <c r="G281" s="141">
        <f t="shared" si="10"/>
        <v>0.06063826043</v>
      </c>
      <c r="H281" s="142">
        <f t="shared" si="11"/>
        <v>0</v>
      </c>
      <c r="I281" s="142">
        <f t="shared" si="12"/>
        <v>1</v>
      </c>
      <c r="J281" s="142">
        <f t="shared" si="13"/>
        <v>0</v>
      </c>
      <c r="K281" s="142">
        <f t="shared" si="14"/>
        <v>1</v>
      </c>
      <c r="L281" s="139">
        <f>Assumptions!$C$6*Assumptions!$C$7*(1+$G281-0.05*(1-1))^1+Assumptions!$C$6*Assumptions!$C$8*(1+Assumptions!$C$11)^1+Assumptions!$C$16*1+Assumptions!$C$6*Assumptions!$C$9*(1+Assumptions!$C$12)^1</f>
        <v>746.8788385</v>
      </c>
      <c r="M281" s="139">
        <f>Assumptions!$C$6*Assumptions!$C$7*(1+$G281-0.05*(1-$H281))^2+Assumptions!$C$6*Assumptions!$C$8*(1+Assumptions!$C$11)^2+Assumptions!$C$16*$H281+Assumptions!$C$6*Assumptions!$C$9*(1+Assumptions!$C$12)^2</f>
        <v>680.2651308</v>
      </c>
      <c r="N281" s="139">
        <f>Assumptions!$C$6*Assumptions!$C$7*(1+$G281-0.05*(1-$I281))^3+Assumptions!$C$6*Assumptions!$C$8*(1+Assumptions!$C$11)^3+Assumptions!$C$16*$I281+Assumptions!$C$6*Assumptions!$C$9*(1+Assumptions!$C$12)^3</f>
        <v>804.8152664</v>
      </c>
      <c r="O281" s="139">
        <f>Assumptions!$C$6*Assumptions!$C$7*(1+$G281-0.05*(1-$J281))^4+Assumptions!$C$6*Assumptions!$C$8*(1+Assumptions!$C$11)^4+Assumptions!$C$16*$J281+Assumptions!$C$6*Assumptions!$C$9*(1+Assumptions!$C$12)^4</f>
        <v>701.2121031</v>
      </c>
      <c r="P281" s="139">
        <f>Assumptions!$C$6*Assumptions!$C$7*(1+$G281-0.05*(1-$K281))^5+Assumptions!$C$6*Assumptions!$C$8*(1+Assumptions!$C$11)^5+Assumptions!$C$16*$K281+Assumptions!$C$6*Assumptions!$C$9*(1+Assumptions!$C$12)^5</f>
        <v>868.8642384</v>
      </c>
      <c r="Q281" s="139">
        <f>($L281*(1-(Assumptions!$C$25+0.06*(1-1))-Assumptions!$C$27)-Assumptions!$C$28)-MAX(0,($L281*(1-(Assumptions!$C$25+0.06*(1-1))-Assumptions!$C$27)-Assumptions!$C$28)*Assumptions!$C$31)+Assumptions!$C$28-Assumptions!$C$29-$L281*Assumptions!$C$30</f>
        <v>93.07895027</v>
      </c>
      <c r="R281" s="139">
        <f>($M281*(1-(Assumptions!$C$25+0.06*(1-$H281))-Assumptions!$C$27)-Assumptions!$C$28)-MAX(0,($M281*(1-(Assumptions!$C$25+0.06*(1-$H281))-Assumptions!$C$27)-Assumptions!$C$28)*Assumptions!$C$31)+Assumptions!$C$28-Assumptions!$C$29-$M281*Assumptions!$C$30</f>
        <v>36.46098009</v>
      </c>
      <c r="S281" s="139">
        <f>($N281*(1-(Assumptions!$C$25+0.06*(1-$I281))-Assumptions!$C$27)-Assumptions!$C$28)-MAX(0,($N281*(1-(Assumptions!$C$25+0.06*(1-$I281))-Assumptions!$C$27)-Assumptions!$C$28)*Assumptions!$C$31)+Assumptions!$C$28-Assumptions!$C$29-$N281*Assumptions!$C$30</f>
        <v>105.5352823</v>
      </c>
      <c r="T281" s="139">
        <f>($O281*(1-(Assumptions!$C$25+0.06*(1-$J281))-Assumptions!$C$27)-Assumptions!$C$28)-MAX(0,($O281*(1-(Assumptions!$C$25+0.06*(1-$J281))-Assumptions!$C$27)-Assumptions!$C$28)*Assumptions!$C$31)+Assumptions!$C$28-Assumptions!$C$29-$O281*Assumptions!$C$30</f>
        <v>41.2787837</v>
      </c>
      <c r="U281" s="139">
        <f>($P281*(1-(Assumptions!$C$25+0.06*(1-$K281))-Assumptions!$C$27)-Assumptions!$C$28)-MAX(0,($P281*(1-(Assumptions!$C$25+0.06*(1-$K281))-Assumptions!$C$27)-Assumptions!$C$28)*Assumptions!$C$31)+Assumptions!$C$28-Assumptions!$C$29-$P281*Assumptions!$C$30</f>
        <v>119.3058112</v>
      </c>
      <c r="V281" s="143">
        <f>(($Q281/(1+$D281)^1+$R281/(1+$D281)^2+$S281/(1+$D281)^3+$T281/(1+$D281)^4+$U281/(1+$D281)^5+$U281*(1+$E281)/($D281-$E281)/(1+$D281)^5)-Assumptions!$C$37)/Assumptions!$C$40/Assumptions!$C$38</f>
        <v>5.386938879</v>
      </c>
    </row>
    <row r="282" ht="12.0" customHeight="1">
      <c r="B282" s="139">
        <v>230.0</v>
      </c>
      <c r="C282" s="140">
        <f t="shared" si="6"/>
        <v>0.4621762544</v>
      </c>
      <c r="D282" s="141">
        <f t="shared" si="7"/>
        <v>0.09762993606</v>
      </c>
      <c r="E282" s="141">
        <f t="shared" si="8"/>
        <v>0.01526949311</v>
      </c>
      <c r="F282" s="140">
        <f t="shared" si="9"/>
        <v>0.08843400183</v>
      </c>
      <c r="G282" s="141">
        <f t="shared" si="10"/>
        <v>0.04261670335</v>
      </c>
      <c r="H282" s="142">
        <f t="shared" si="11"/>
        <v>0</v>
      </c>
      <c r="I282" s="142">
        <f t="shared" si="12"/>
        <v>1</v>
      </c>
      <c r="J282" s="142">
        <f t="shared" si="13"/>
        <v>1</v>
      </c>
      <c r="K282" s="142">
        <f t="shared" si="14"/>
        <v>0</v>
      </c>
      <c r="L282" s="139">
        <f>Assumptions!$C$6*Assumptions!$C$7*(1+$G282-0.05*(1-1))^1+Assumptions!$C$6*Assumptions!$C$8*(1+Assumptions!$C$11)^1+Assumptions!$C$16*1+Assumptions!$C$6*Assumptions!$C$9*(1+Assumptions!$C$12)^1</f>
        <v>740.8127823</v>
      </c>
      <c r="M282" s="139">
        <f>Assumptions!$C$6*Assumptions!$C$7*(1+$G282-0.05*(1-$H282))^2+Assumptions!$C$6*Assumptions!$C$8*(1+Assumptions!$C$11)^2+Assumptions!$C$16*$H282+Assumptions!$C$6*Assumptions!$C$9*(1+Assumptions!$C$12)^2</f>
        <v>668.1132738</v>
      </c>
      <c r="N282" s="139">
        <f>Assumptions!$C$6*Assumptions!$C$7*(1+$G282-0.05*(1-$I282))^3+Assumptions!$C$6*Assumptions!$C$8*(1+Assumptions!$C$11)^3+Assumptions!$C$16*$I282+Assumptions!$C$6*Assumptions!$C$9*(1+Assumptions!$C$12)^3</f>
        <v>784.689049</v>
      </c>
      <c r="O282" s="139">
        <f>Assumptions!$C$6*Assumptions!$C$7*(1+$G282-0.05*(1-$J282))^4+Assumptions!$C$6*Assumptions!$C$8*(1+Assumptions!$C$11)^4+Assumptions!$C$16*$J282+Assumptions!$C$6*Assumptions!$C$9*(1+Assumptions!$C$12)^4</f>
        <v>807.8109752</v>
      </c>
      <c r="P282" s="139">
        <f>Assumptions!$C$6*Assumptions!$C$7*(1+$G282-0.05*(1-$K282))^5+Assumptions!$C$6*Assumptions!$C$8*(1+Assumptions!$C$11)^5+Assumptions!$C$16*$K282+Assumptions!$C$6*Assumptions!$C$9*(1+Assumptions!$C$12)^5</f>
        <v>681.4157847</v>
      </c>
      <c r="Q282" s="139">
        <f>($L282*(1-(Assumptions!$C$25+0.06*(1-1))-Assumptions!$C$27)-Assumptions!$C$28)-MAX(0,($L282*(1-(Assumptions!$C$25+0.06*(1-1))-Assumptions!$C$27)-Assumptions!$C$28)*Assumptions!$C$31)+Assumptions!$C$28-Assumptions!$C$29-$L282*Assumptions!$C$30</f>
        <v>91.7747482</v>
      </c>
      <c r="R282" s="139">
        <f>($M282*(1-(Assumptions!$C$25+0.06*(1-$H282))-Assumptions!$C$27)-Assumptions!$C$28)-MAX(0,($M282*(1-(Assumptions!$C$25+0.06*(1-$H282))-Assumptions!$C$27)-Assumptions!$C$28)*Assumptions!$C$31)+Assumptions!$C$28-Assumptions!$C$29-$M282*Assumptions!$C$30</f>
        <v>33.66605297</v>
      </c>
      <c r="S282" s="139">
        <f>($N282*(1-(Assumptions!$C$25+0.06*(1-$I282))-Assumptions!$C$27)-Assumptions!$C$28)-MAX(0,($N282*(1-(Assumptions!$C$25+0.06*(1-$I282))-Assumptions!$C$27)-Assumptions!$C$28)*Assumptions!$C$31)+Assumptions!$C$28-Assumptions!$C$29-$N282*Assumptions!$C$30</f>
        <v>101.2081455</v>
      </c>
      <c r="T282" s="139">
        <f>($O282*(1-(Assumptions!$C$25+0.06*(1-$J282))-Assumptions!$C$27)-Assumptions!$C$28)-MAX(0,($O282*(1-(Assumptions!$C$25+0.06*(1-$J282))-Assumptions!$C$27)-Assumptions!$C$28)*Assumptions!$C$31)+Assumptions!$C$28-Assumptions!$C$29-$O282*Assumptions!$C$30</f>
        <v>106.1793597</v>
      </c>
      <c r="U282" s="139">
        <f>($P282*(1-(Assumptions!$C$25+0.06*(1-$K282))-Assumptions!$C$27)-Assumptions!$C$28)-MAX(0,($P282*(1-(Assumptions!$C$25+0.06*(1-$K282))-Assumptions!$C$27)-Assumptions!$C$28)*Assumptions!$C$31)+Assumptions!$C$28-Assumptions!$C$29-$P282*Assumptions!$C$30</f>
        <v>36.72563048</v>
      </c>
      <c r="V282" s="143">
        <f>(($Q282/(1+$D282)^1+$R282/(1+$D282)^2+$S282/(1+$D282)^3+$T282/(1+$D282)^4+$U282/(1+$D282)^5+$U282*(1+$E282)/($D282-$E282)/(1+$D282)^5)-Assumptions!$C$37)/Assumptions!$C$40/Assumptions!$C$38</f>
        <v>-0.9618985958</v>
      </c>
    </row>
    <row r="283" ht="12.0" customHeight="1">
      <c r="B283" s="139">
        <v>231.0</v>
      </c>
      <c r="C283" s="140">
        <f t="shared" si="6"/>
        <v>0.8616071417</v>
      </c>
      <c r="D283" s="141">
        <f t="shared" si="7"/>
        <v>0.1061887349</v>
      </c>
      <c r="E283" s="141">
        <f t="shared" si="8"/>
        <v>0.02323051772</v>
      </c>
      <c r="F283" s="140">
        <f t="shared" si="9"/>
        <v>0.2526915555</v>
      </c>
      <c r="G283" s="141">
        <f t="shared" si="10"/>
        <v>0.05132709075</v>
      </c>
      <c r="H283" s="142">
        <f t="shared" si="11"/>
        <v>1</v>
      </c>
      <c r="I283" s="142">
        <f t="shared" si="12"/>
        <v>1</v>
      </c>
      <c r="J283" s="142">
        <f t="shared" si="13"/>
        <v>0</v>
      </c>
      <c r="K283" s="142">
        <f t="shared" si="14"/>
        <v>0</v>
      </c>
      <c r="L283" s="139">
        <f>Assumptions!$C$6*Assumptions!$C$7*(1+$G283-0.05*(1-1))^1+Assumptions!$C$6*Assumptions!$C$8*(1+Assumptions!$C$11)^1+Assumptions!$C$16*1+Assumptions!$C$6*Assumptions!$C$9*(1+Assumptions!$C$12)^1</f>
        <v>743.7446987</v>
      </c>
      <c r="M283" s="139">
        <f>Assumptions!$C$6*Assumptions!$C$7*(1+$G283-0.05*(1-$H283))^2+Assumptions!$C$6*Assumptions!$C$8*(1+Assumptions!$C$11)^2+Assumptions!$C$16*$H283+Assumptions!$C$6*Assumptions!$C$9*(1+Assumptions!$C$12)^2</f>
        <v>768.5055202</v>
      </c>
      <c r="N283" s="139">
        <f>Assumptions!$C$6*Assumptions!$C$7*(1+$G283-0.05*(1-$I283))^3+Assumptions!$C$6*Assumptions!$C$8*(1+Assumptions!$C$11)^3+Assumptions!$C$16*$I283+Assumptions!$C$6*Assumptions!$C$9*(1+Assumptions!$C$12)^3</f>
        <v>794.3305664</v>
      </c>
      <c r="O283" s="139">
        <f>Assumptions!$C$6*Assumptions!$C$7*(1+$G283-0.05*(1-$J283))^4+Assumptions!$C$6*Assumptions!$C$8*(1+Assumptions!$C$11)^4+Assumptions!$C$16*$J283+Assumptions!$C$6*Assumptions!$C$9*(1+Assumptions!$C$12)^4</f>
        <v>688.4489155</v>
      </c>
      <c r="P283" s="139">
        <f>Assumptions!$C$6*Assumptions!$C$7*(1+$G283-0.05*(1-$K283))^5+Assumptions!$C$6*Assumptions!$C$8*(1+Assumptions!$C$11)^5+Assumptions!$C$16*$K283+Assumptions!$C$6*Assumptions!$C$9*(1+Assumptions!$C$12)^5</f>
        <v>695.8991615</v>
      </c>
      <c r="Q283" s="139">
        <f>($L283*(1-(Assumptions!$C$25+0.06*(1-1))-Assumptions!$C$27)-Assumptions!$C$28)-MAX(0,($L283*(1-(Assumptions!$C$25+0.06*(1-1))-Assumptions!$C$27)-Assumptions!$C$28)*Assumptions!$C$31)+Assumptions!$C$28-Assumptions!$C$29-$L283*Assumptions!$C$30</f>
        <v>92.40511023</v>
      </c>
      <c r="R283" s="139">
        <f>($M283*(1-(Assumptions!$C$25+0.06*(1-$H283))-Assumptions!$C$27)-Assumptions!$C$28)-MAX(0,($M283*(1-(Assumptions!$C$25+0.06*(1-$H283))-Assumptions!$C$27)-Assumptions!$C$28)*Assumptions!$C$31)+Assumptions!$C$28-Assumptions!$C$29-$M283*Assumptions!$C$30</f>
        <v>97.72868684</v>
      </c>
      <c r="S283" s="139">
        <f>($N283*(1-(Assumptions!$C$25+0.06*(1-$I283))-Assumptions!$C$27)-Assumptions!$C$28)-MAX(0,($N283*(1-(Assumptions!$C$25+0.06*(1-$I283))-Assumptions!$C$27)-Assumptions!$C$28)*Assumptions!$C$31)+Assumptions!$C$28-Assumptions!$C$29-$N283*Assumptions!$C$30</f>
        <v>103.2810718</v>
      </c>
      <c r="T283" s="139">
        <f>($O283*(1-(Assumptions!$C$25+0.06*(1-$J283))-Assumptions!$C$27)-Assumptions!$C$28)-MAX(0,($O283*(1-(Assumptions!$C$25+0.06*(1-$J283))-Assumptions!$C$27)-Assumptions!$C$28)*Assumptions!$C$31)+Assumptions!$C$28-Assumptions!$C$29-$O283*Assumptions!$C$30</f>
        <v>38.34325057</v>
      </c>
      <c r="U283" s="139">
        <f>($P283*(1-(Assumptions!$C$25+0.06*(1-$K283))-Assumptions!$C$27)-Assumptions!$C$28)-MAX(0,($P283*(1-(Assumptions!$C$25+0.06*(1-$K283))-Assumptions!$C$27)-Assumptions!$C$28)*Assumptions!$C$31)+Assumptions!$C$28-Assumptions!$C$29-$P283*Assumptions!$C$30</f>
        <v>40.05680714</v>
      </c>
      <c r="V283" s="143">
        <f>(($Q283/(1+$D283)^1+$R283/(1+$D283)^2+$S283/(1+$D283)^3+$T283/(1+$D283)^4+$U283/(1+$D283)^5+$U283*(1+$E283)/($D283-$E283)/(1+$D283)^5)-Assumptions!$C$37)/Assumptions!$C$40/Assumptions!$C$38</f>
        <v>-0.8109241341</v>
      </c>
    </row>
    <row r="284" ht="12.0" customHeight="1">
      <c r="B284" s="139">
        <v>232.0</v>
      </c>
      <c r="C284" s="140">
        <f t="shared" si="6"/>
        <v>0.5145347403</v>
      </c>
      <c r="D284" s="141">
        <f t="shared" si="7"/>
        <v>0.09849709084</v>
      </c>
      <c r="E284" s="141">
        <f t="shared" si="8"/>
        <v>0.02847479588</v>
      </c>
      <c r="F284" s="140">
        <f t="shared" si="9"/>
        <v>0.152338082</v>
      </c>
      <c r="G284" s="141">
        <f t="shared" si="10"/>
        <v>0.04655924357</v>
      </c>
      <c r="H284" s="142">
        <f t="shared" si="11"/>
        <v>1</v>
      </c>
      <c r="I284" s="142">
        <f t="shared" si="12"/>
        <v>0</v>
      </c>
      <c r="J284" s="142">
        <f t="shared" si="13"/>
        <v>0</v>
      </c>
      <c r="K284" s="142">
        <f t="shared" si="14"/>
        <v>1</v>
      </c>
      <c r="L284" s="139">
        <f>Assumptions!$C$6*Assumptions!$C$7*(1+$G284-0.05*(1-1))^1+Assumptions!$C$6*Assumptions!$C$8*(1+Assumptions!$C$11)^1+Assumptions!$C$16*1+Assumptions!$C$6*Assumptions!$C$9*(1+Assumptions!$C$12)^1</f>
        <v>742.1398414</v>
      </c>
      <c r="M284" s="139">
        <f>Assumptions!$C$6*Assumptions!$C$7*(1+$G284-0.05*(1-$H284))^2+Assumptions!$C$6*Assumptions!$C$8*(1+Assumptions!$C$11)^2+Assumptions!$C$16*$H284+Assumptions!$C$6*Assumptions!$C$9*(1+Assumptions!$C$12)^2</f>
        <v>765.1387119</v>
      </c>
      <c r="N284" s="139">
        <f>Assumptions!$C$6*Assumptions!$C$7*(1+$G284-0.05*(1-$I284))^3+Assumptions!$C$6*Assumptions!$C$8*(1+Assumptions!$C$11)^3+Assumptions!$C$16*$I284+Assumptions!$C$6*Assumptions!$C$9*(1+Assumptions!$C$12)^3</f>
        <v>676.3321325</v>
      </c>
      <c r="O284" s="139">
        <f>Assumptions!$C$6*Assumptions!$C$7*(1+$G284-0.05*(1-$J284))^4+Assumptions!$C$6*Assumptions!$C$8*(1+Assumptions!$C$11)^4+Assumptions!$C$16*$J284+Assumptions!$C$6*Assumptions!$C$9*(1+Assumptions!$C$12)^4</f>
        <v>682.0497809</v>
      </c>
      <c r="P284" s="139">
        <f>Assumptions!$C$6*Assumptions!$C$7*(1+$G284-0.05*(1-$K284))^5+Assumptions!$C$6*Assumptions!$C$8*(1+Assumptions!$C$11)^5+Assumptions!$C$16*$K284+Assumptions!$C$6*Assumptions!$C$9*(1+Assumptions!$C$12)^5</f>
        <v>839.6633403</v>
      </c>
      <c r="Q284" s="139">
        <f>($L284*(1-(Assumptions!$C$25+0.06*(1-1))-Assumptions!$C$27)-Assumptions!$C$28)-MAX(0,($L284*(1-(Assumptions!$C$25+0.06*(1-1))-Assumptions!$C$27)-Assumptions!$C$28)*Assumptions!$C$31)+Assumptions!$C$28-Assumptions!$C$29-$L284*Assumptions!$C$30</f>
        <v>92.0600659</v>
      </c>
      <c r="R284" s="139">
        <f>($M284*(1-(Assumptions!$C$25+0.06*(1-$H284))-Assumptions!$C$27)-Assumptions!$C$28)-MAX(0,($M284*(1-(Assumptions!$C$25+0.06*(1-$H284))-Assumptions!$C$27)-Assumptions!$C$28)*Assumptions!$C$31)+Assumptions!$C$28-Assumptions!$C$29-$M284*Assumptions!$C$30</f>
        <v>97.00482305</v>
      </c>
      <c r="S284" s="139">
        <f>($N284*(1-(Assumptions!$C$25+0.06*(1-$I284))-Assumptions!$C$27)-Assumptions!$C$28)-MAX(0,($N284*(1-(Assumptions!$C$25+0.06*(1-$I284))-Assumptions!$C$27)-Assumptions!$C$28)*Assumptions!$C$31)+Assumptions!$C$28-Assumptions!$C$29-$N284*Assumptions!$C$30</f>
        <v>35.55639047</v>
      </c>
      <c r="T284" s="139">
        <f>($O284*(1-(Assumptions!$C$25+0.06*(1-$J284))-Assumptions!$C$27)-Assumptions!$C$28)-MAX(0,($O284*(1-(Assumptions!$C$25+0.06*(1-$J284))-Assumptions!$C$27)-Assumptions!$C$28)*Assumptions!$C$31)+Assumptions!$C$28-Assumptions!$C$29-$O284*Assumptions!$C$30</f>
        <v>36.87144962</v>
      </c>
      <c r="U284" s="139">
        <f>($P284*(1-(Assumptions!$C$25+0.06*(1-$K284))-Assumptions!$C$27)-Assumptions!$C$28)-MAX(0,($P284*(1-(Assumptions!$C$25+0.06*(1-$K284))-Assumptions!$C$27)-Assumptions!$C$28)*Assumptions!$C$31)+Assumptions!$C$28-Assumptions!$C$29-$P284*Assumptions!$C$30</f>
        <v>113.0276182</v>
      </c>
      <c r="V284" s="143">
        <f>(($Q284/(1+$D284)^1+$R284/(1+$D284)^2+$S284/(1+$D284)^3+$T284/(1+$D284)^4+$U284/(1+$D284)^5+$U284*(1+$E284)/($D284-$E284)/(1+$D284)^5)-Assumptions!$C$37)/Assumptions!$C$40/Assumptions!$C$38</f>
        <v>4.941337769</v>
      </c>
    </row>
    <row r="285" ht="12.0" customHeight="1">
      <c r="B285" s="139">
        <v>233.0</v>
      </c>
      <c r="C285" s="140">
        <f t="shared" si="6"/>
        <v>0.04892893699</v>
      </c>
      <c r="D285" s="141">
        <f t="shared" si="7"/>
        <v>0.08907270299</v>
      </c>
      <c r="E285" s="141">
        <f t="shared" si="8"/>
        <v>0.01905525584</v>
      </c>
      <c r="F285" s="140">
        <f t="shared" si="9"/>
        <v>0.4933974271</v>
      </c>
      <c r="G285" s="141">
        <f t="shared" si="10"/>
        <v>0.05980126455</v>
      </c>
      <c r="H285" s="142">
        <f t="shared" si="11"/>
        <v>0</v>
      </c>
      <c r="I285" s="142">
        <f t="shared" si="12"/>
        <v>0</v>
      </c>
      <c r="J285" s="142">
        <f t="shared" si="13"/>
        <v>1</v>
      </c>
      <c r="K285" s="142">
        <f t="shared" si="14"/>
        <v>1</v>
      </c>
      <c r="L285" s="139">
        <f>Assumptions!$C$6*Assumptions!$C$7*(1+$G285-0.05*(1-1))^1+Assumptions!$C$6*Assumptions!$C$8*(1+Assumptions!$C$11)^1+Assumptions!$C$16*1+Assumptions!$C$6*Assumptions!$C$9*(1+Assumptions!$C$12)^1</f>
        <v>746.5971056</v>
      </c>
      <c r="M285" s="139">
        <f>Assumptions!$C$6*Assumptions!$C$7*(1+$G285-0.05*(1-$H285))^2+Assumptions!$C$6*Assumptions!$C$8*(1+Assumptions!$C$11)^2+Assumptions!$C$16*$H285+Assumptions!$C$6*Assumptions!$C$9*(1+Assumptions!$C$12)^2</f>
        <v>679.6959067</v>
      </c>
      <c r="N285" s="139">
        <f>Assumptions!$C$6*Assumptions!$C$7*(1+$G285-0.05*(1-$I285))^3+Assumptions!$C$6*Assumptions!$C$8*(1+Assumptions!$C$11)^3+Assumptions!$C$16*$I285+Assumptions!$C$6*Assumptions!$C$9*(1+Assumptions!$C$12)^3</f>
        <v>689.7893073</v>
      </c>
      <c r="O285" s="139">
        <f>Assumptions!$C$6*Assumptions!$C$7*(1+$G285-0.05*(1-$J285))^4+Assumptions!$C$6*Assumptions!$C$8*(1+Assumptions!$C$11)^4+Assumptions!$C$16*$J285+Assumptions!$C$6*Assumptions!$C$9*(1+Assumptions!$C$12)^4</f>
        <v>834.6897059</v>
      </c>
      <c r="P285" s="139">
        <f>Assumptions!$C$6*Assumptions!$C$7*(1+$G285-0.05*(1-$K285))^5+Assumptions!$C$6*Assumptions!$C$8*(1+Assumptions!$C$11)^5+Assumptions!$C$16*$K285+Assumptions!$C$6*Assumptions!$C$9*(1+Assumptions!$C$12)^5</f>
        <v>867.0843566</v>
      </c>
      <c r="Q285" s="139">
        <f>($L285*(1-(Assumptions!$C$25+0.06*(1-1))-Assumptions!$C$27)-Assumptions!$C$28)-MAX(0,($L285*(1-(Assumptions!$C$25+0.06*(1-1))-Assumptions!$C$27)-Assumptions!$C$28)*Assumptions!$C$31)+Assumptions!$C$28-Assumptions!$C$29-$L285*Assumptions!$C$30</f>
        <v>93.01837771</v>
      </c>
      <c r="R285" s="139">
        <f>($M285*(1-(Assumptions!$C$25+0.06*(1-$H285))-Assumptions!$C$27)-Assumptions!$C$28)-MAX(0,($M285*(1-(Assumptions!$C$25+0.06*(1-$H285))-Assumptions!$C$27)-Assumptions!$C$28)*Assumptions!$C$31)+Assumptions!$C$28-Assumptions!$C$29-$M285*Assumptions!$C$30</f>
        <v>36.33005854</v>
      </c>
      <c r="S285" s="139">
        <f>($N285*(1-(Assumptions!$C$25+0.06*(1-$I285))-Assumptions!$C$27)-Assumptions!$C$28)-MAX(0,($N285*(1-(Assumptions!$C$25+0.06*(1-$I285))-Assumptions!$C$27)-Assumptions!$C$28)*Assumptions!$C$31)+Assumptions!$C$28-Assumptions!$C$29-$N285*Assumptions!$C$30</f>
        <v>38.65154068</v>
      </c>
      <c r="T285" s="139">
        <f>($O285*(1-(Assumptions!$C$25+0.06*(1-$J285))-Assumptions!$C$27)-Assumptions!$C$28)-MAX(0,($O285*(1-(Assumptions!$C$25+0.06*(1-$J285))-Assumptions!$C$27)-Assumptions!$C$28)*Assumptions!$C$31)+Assumptions!$C$28-Assumptions!$C$29-$O285*Assumptions!$C$30</f>
        <v>111.9582868</v>
      </c>
      <c r="U285" s="139">
        <f>($P285*(1-(Assumptions!$C$25+0.06*(1-$K285))-Assumptions!$C$27)-Assumptions!$C$28)-MAX(0,($P285*(1-(Assumptions!$C$25+0.06*(1-$K285))-Assumptions!$C$27)-Assumptions!$C$28)*Assumptions!$C$31)+Assumptions!$C$28-Assumptions!$C$29-$P285*Assumptions!$C$30</f>
        <v>118.9231367</v>
      </c>
      <c r="V285" s="143">
        <f>(($Q285/(1+$D285)^1+$R285/(1+$D285)^2+$S285/(1+$D285)^3+$T285/(1+$D285)^4+$U285/(1+$D285)^5+$U285*(1+$E285)/($D285-$E285)/(1+$D285)^5)-Assumptions!$C$37)/Assumptions!$C$40/Assumptions!$C$38</f>
        <v>5.784269387</v>
      </c>
    </row>
    <row r="286" ht="12.0" customHeight="1">
      <c r="B286" s="139">
        <v>234.0</v>
      </c>
      <c r="C286" s="140">
        <f t="shared" si="6"/>
        <v>0.3754545466</v>
      </c>
      <c r="D286" s="141">
        <f t="shared" si="7"/>
        <v>0.09628180355</v>
      </c>
      <c r="E286" s="141">
        <f t="shared" si="8"/>
        <v>0.02227487245</v>
      </c>
      <c r="F286" s="140">
        <f t="shared" si="9"/>
        <v>0.01714669351</v>
      </c>
      <c r="G286" s="141">
        <f t="shared" si="10"/>
        <v>0.03555554213</v>
      </c>
      <c r="H286" s="142">
        <f t="shared" si="11"/>
        <v>1</v>
      </c>
      <c r="I286" s="142">
        <f t="shared" si="12"/>
        <v>0</v>
      </c>
      <c r="J286" s="142">
        <f t="shared" si="13"/>
        <v>1</v>
      </c>
      <c r="K286" s="142">
        <f t="shared" si="14"/>
        <v>1</v>
      </c>
      <c r="L286" s="139">
        <f>Assumptions!$C$6*Assumptions!$C$7*(1+$G286-0.05*(1-1))^1+Assumptions!$C$6*Assumptions!$C$8*(1+Assumptions!$C$11)^1+Assumptions!$C$16*1+Assumptions!$C$6*Assumptions!$C$9*(1+Assumptions!$C$12)^1</f>
        <v>738.4359955</v>
      </c>
      <c r="M286" s="139">
        <f>Assumptions!$C$6*Assumptions!$C$7*(1+$G286-0.05*(1-$H286))^2+Assumptions!$C$6*Assumptions!$C$8*(1+Assumptions!$C$11)^2+Assumptions!$C$16*$H286+Assumptions!$C$6*Assumptions!$C$9*(1+Assumptions!$C$12)^2</f>
        <v>757.4268795</v>
      </c>
      <c r="N286" s="139">
        <f>Assumptions!$C$6*Assumptions!$C$7*(1+$G286-0.05*(1-$I286))^3+Assumptions!$C$6*Assumptions!$C$8*(1+Assumptions!$C$11)^3+Assumptions!$C$16*$I286+Assumptions!$C$6*Assumptions!$C$9*(1+Assumptions!$C$12)^3</f>
        <v>665.4183263</v>
      </c>
      <c r="O286" s="139">
        <f>Assumptions!$C$6*Assumptions!$C$7*(1+$G286-0.05*(1-$J286))^4+Assumptions!$C$6*Assumptions!$C$8*(1+Assumptions!$C$11)^4+Assumptions!$C$16*$J286+Assumptions!$C$6*Assumptions!$C$9*(1+Assumptions!$C$12)^4</f>
        <v>797.1447714</v>
      </c>
      <c r="P286" s="139">
        <f>Assumptions!$C$6*Assumptions!$C$7*(1+$G286-0.05*(1-$K286))^5+Assumptions!$C$6*Assumptions!$C$8*(1+Assumptions!$C$11)^5+Assumptions!$C$16*$K286+Assumptions!$C$6*Assumptions!$C$9*(1+Assumptions!$C$12)^5</f>
        <v>817.9090027</v>
      </c>
      <c r="Q286" s="139">
        <f>($L286*(1-(Assumptions!$C$25+0.06*(1-1))-Assumptions!$C$27)-Assumptions!$C$28)-MAX(0,($L286*(1-(Assumptions!$C$25+0.06*(1-1))-Assumptions!$C$27)-Assumptions!$C$28)*Assumptions!$C$31)+Assumptions!$C$28-Assumptions!$C$29-$L286*Assumptions!$C$30</f>
        <v>91.26373903</v>
      </c>
      <c r="R286" s="139">
        <f>($M286*(1-(Assumptions!$C$25+0.06*(1-$H286))-Assumptions!$C$27)-Assumptions!$C$28)-MAX(0,($M286*(1-(Assumptions!$C$25+0.06*(1-$H286))-Assumptions!$C$27)-Assumptions!$C$28)*Assumptions!$C$31)+Assumptions!$C$28-Assumptions!$C$29-$M286*Assumptions!$C$30</f>
        <v>95.3467791</v>
      </c>
      <c r="S286" s="139">
        <f>($N286*(1-(Assumptions!$C$25+0.06*(1-$I286))-Assumptions!$C$27)-Assumptions!$C$28)-MAX(0,($N286*(1-(Assumptions!$C$25+0.06*(1-$I286))-Assumptions!$C$27)-Assumptions!$C$28)*Assumptions!$C$31)+Assumptions!$C$28-Assumptions!$C$29-$N286*Assumptions!$C$30</f>
        <v>33.04621504</v>
      </c>
      <c r="T286" s="139">
        <f>($O286*(1-(Assumptions!$C$25+0.06*(1-$J286))-Assumptions!$C$27)-Assumptions!$C$28)-MAX(0,($O286*(1-(Assumptions!$C$25+0.06*(1-$J286))-Assumptions!$C$27)-Assumptions!$C$28)*Assumptions!$C$31)+Assumptions!$C$28-Assumptions!$C$29-$O286*Assumptions!$C$30</f>
        <v>103.8861259</v>
      </c>
      <c r="U286" s="139">
        <f>($P286*(1-(Assumptions!$C$25+0.06*(1-$K286))-Assumptions!$C$27)-Assumptions!$C$28)-MAX(0,($P286*(1-(Assumptions!$C$25+0.06*(1-$K286))-Assumptions!$C$27)-Assumptions!$C$28)*Assumptions!$C$31)+Assumptions!$C$28-Assumptions!$C$29-$P286*Assumptions!$C$30</f>
        <v>108.3504356</v>
      </c>
      <c r="V286" s="143">
        <f>(($Q286/(1+$D286)^1+$R286/(1+$D286)^2+$S286/(1+$D286)^3+$T286/(1+$D286)^4+$U286/(1+$D286)^5+$U286*(1+$E286)/($D286-$E286)/(1+$D286)^5)-Assumptions!$C$37)/Assumptions!$C$40/Assumptions!$C$38</f>
        <v>4.537960228</v>
      </c>
    </row>
    <row r="287" ht="12.0" customHeight="1">
      <c r="B287" s="139">
        <v>235.0</v>
      </c>
      <c r="C287" s="140">
        <f t="shared" si="6"/>
        <v>0.747742938</v>
      </c>
      <c r="D287" s="141">
        <f t="shared" si="7"/>
        <v>0.1031039413</v>
      </c>
      <c r="E287" s="141">
        <f t="shared" si="8"/>
        <v>0.01391468788</v>
      </c>
      <c r="F287" s="140">
        <f t="shared" si="9"/>
        <v>0.2576064546</v>
      </c>
      <c r="G287" s="141">
        <f t="shared" si="10"/>
        <v>0.05153349991</v>
      </c>
      <c r="H287" s="142">
        <f t="shared" si="11"/>
        <v>0</v>
      </c>
      <c r="I287" s="142">
        <f t="shared" si="12"/>
        <v>1</v>
      </c>
      <c r="J287" s="142">
        <f t="shared" si="13"/>
        <v>0</v>
      </c>
      <c r="K287" s="142">
        <f t="shared" si="14"/>
        <v>0</v>
      </c>
      <c r="L287" s="139">
        <f>Assumptions!$C$6*Assumptions!$C$7*(1+$G287-0.05*(1-1))^1+Assumptions!$C$6*Assumptions!$C$8*(1+Assumptions!$C$11)^1+Assumptions!$C$16*1+Assumptions!$C$6*Assumptions!$C$9*(1+Assumptions!$C$12)^1</f>
        <v>743.8141761</v>
      </c>
      <c r="M287" s="139">
        <f>Assumptions!$C$6*Assumptions!$C$7*(1+$G287-0.05*(1-$H287))^2+Assumptions!$C$6*Assumptions!$C$8*(1+Assumptions!$C$11)^2+Assumptions!$C$16*$H287+Assumptions!$C$6*Assumptions!$C$9*(1+Assumptions!$C$12)^2</f>
        <v>674.0985037</v>
      </c>
      <c r="N287" s="139">
        <f>Assumptions!$C$6*Assumptions!$C$7*(1+$G287-0.05*(1-$I287))^3+Assumptions!$C$6*Assumptions!$C$8*(1+Assumptions!$C$11)^3+Assumptions!$C$16*$I287+Assumptions!$C$6*Assumptions!$C$9*(1+Assumptions!$C$12)^3</f>
        <v>794.5609892</v>
      </c>
      <c r="O287" s="139">
        <f>Assumptions!$C$6*Assumptions!$C$7*(1+$G287-0.05*(1-$J287))^4+Assumptions!$C$6*Assumptions!$C$8*(1+Assumptions!$C$11)^4+Assumptions!$C$16*$J287+Assumptions!$C$6*Assumptions!$C$9*(1+Assumptions!$C$12)^4</f>
        <v>688.728019</v>
      </c>
      <c r="P287" s="139">
        <f>Assumptions!$C$6*Assumptions!$C$7*(1+$G287-0.05*(1-$K287))^5+Assumptions!$C$6*Assumptions!$C$8*(1+Assumptions!$C$11)^5+Assumptions!$C$16*$K287+Assumptions!$C$6*Assumptions!$C$9*(1+Assumptions!$C$12)^5</f>
        <v>696.2485398</v>
      </c>
      <c r="Q287" s="139">
        <f>($L287*(1-(Assumptions!$C$25+0.06*(1-1))-Assumptions!$C$27)-Assumptions!$C$28)-MAX(0,($L287*(1-(Assumptions!$C$25+0.06*(1-1))-Assumptions!$C$27)-Assumptions!$C$28)*Assumptions!$C$31)+Assumptions!$C$28-Assumptions!$C$29-$L287*Assumptions!$C$30</f>
        <v>92.42004785</v>
      </c>
      <c r="R287" s="139">
        <f>($M287*(1-(Assumptions!$C$25+0.06*(1-$H287))-Assumptions!$C$27)-Assumptions!$C$28)-MAX(0,($M287*(1-(Assumptions!$C$25+0.06*(1-$H287))-Assumptions!$C$27)-Assumptions!$C$28)*Assumptions!$C$31)+Assumptions!$C$28-Assumptions!$C$29-$M287*Assumptions!$C$30</f>
        <v>35.04265585</v>
      </c>
      <c r="S287" s="139">
        <f>($N287*(1-(Assumptions!$C$25+0.06*(1-$I287))-Assumptions!$C$27)-Assumptions!$C$28)-MAX(0,($N287*(1-(Assumptions!$C$25+0.06*(1-$I287))-Assumptions!$C$27)-Assumptions!$C$28)*Assumptions!$C$31)+Assumptions!$C$28-Assumptions!$C$29-$N287*Assumptions!$C$30</f>
        <v>103.3306127</v>
      </c>
      <c r="T287" s="139">
        <f>($O287*(1-(Assumptions!$C$25+0.06*(1-$J287))-Assumptions!$C$27)-Assumptions!$C$28)-MAX(0,($O287*(1-(Assumptions!$C$25+0.06*(1-$J287))-Assumptions!$C$27)-Assumptions!$C$28)*Assumptions!$C$31)+Assumptions!$C$28-Assumptions!$C$29-$O287*Assumptions!$C$30</f>
        <v>38.40744437</v>
      </c>
      <c r="U287" s="139">
        <f>($P287*(1-(Assumptions!$C$25+0.06*(1-$K287))-Assumptions!$C$27)-Assumptions!$C$28)-MAX(0,($P287*(1-(Assumptions!$C$25+0.06*(1-$K287))-Assumptions!$C$27)-Assumptions!$C$28)*Assumptions!$C$31)+Assumptions!$C$28-Assumptions!$C$29-$P287*Assumptions!$C$30</f>
        <v>40.13716416</v>
      </c>
      <c r="V287" s="143">
        <f>(($Q287/(1+$D287)^1+$R287/(1+$D287)^2+$S287/(1+$D287)^3+$T287/(1+$D287)^4+$U287/(1+$D287)^5+$U287*(1+$E287)/($D287-$E287)/(1+$D287)^5)-Assumptions!$C$37)/Assumptions!$C$40/Assumptions!$C$38</f>
        <v>-1.344424641</v>
      </c>
    </row>
    <row r="288" ht="12.0" customHeight="1">
      <c r="B288" s="139">
        <v>236.0</v>
      </c>
      <c r="C288" s="140">
        <f t="shared" si="6"/>
        <v>0.8728527874</v>
      </c>
      <c r="D288" s="141">
        <f t="shared" si="7"/>
        <v>0.1065543155</v>
      </c>
      <c r="E288" s="141">
        <f t="shared" si="8"/>
        <v>0.015242091</v>
      </c>
      <c r="F288" s="140">
        <f t="shared" si="9"/>
        <v>0.9504303301</v>
      </c>
      <c r="G288" s="141">
        <f t="shared" si="10"/>
        <v>0.08055407993</v>
      </c>
      <c r="H288" s="142">
        <f t="shared" si="11"/>
        <v>1</v>
      </c>
      <c r="I288" s="142">
        <f t="shared" si="12"/>
        <v>0</v>
      </c>
      <c r="J288" s="142">
        <f t="shared" si="13"/>
        <v>0</v>
      </c>
      <c r="K288" s="142">
        <f t="shared" si="14"/>
        <v>0</v>
      </c>
      <c r="L288" s="139">
        <f>Assumptions!$C$6*Assumptions!$C$7*(1+$G288-0.05*(1-1))^1+Assumptions!$C$6*Assumptions!$C$8*(1+Assumptions!$C$11)^1+Assumptions!$C$16*1+Assumptions!$C$6*Assumptions!$C$9*(1+Assumptions!$C$12)^1</f>
        <v>753.5825033</v>
      </c>
      <c r="M288" s="139">
        <f>Assumptions!$C$6*Assumptions!$C$7*(1+$G288-0.05*(1-$H288))^2+Assumptions!$C$6*Assumptions!$C$8*(1+Assumptions!$C$11)^2+Assumptions!$C$16*$H288+Assumptions!$C$6*Assumptions!$C$9*(1+Assumptions!$C$12)^2</f>
        <v>789.4785505</v>
      </c>
      <c r="N288" s="139">
        <f>Assumptions!$C$6*Assumptions!$C$7*(1+$G288-0.05*(1-$I288))^3+Assumptions!$C$6*Assumptions!$C$8*(1+Assumptions!$C$11)^3+Assumptions!$C$16*$I288+Assumptions!$C$6*Assumptions!$C$9*(1+Assumptions!$C$12)^3</f>
        <v>711.6004788</v>
      </c>
      <c r="O288" s="139">
        <f>Assumptions!$C$6*Assumptions!$C$7*(1+$G288-0.05*(1-$J288))^4+Assumptions!$C$6*Assumptions!$C$8*(1+Assumptions!$C$11)^4+Assumptions!$C$16*$J288+Assumptions!$C$6*Assumptions!$C$9*(1+Assumptions!$C$12)^4</f>
        <v>729.7206728</v>
      </c>
      <c r="P288" s="139">
        <f>Assumptions!$C$6*Assumptions!$C$7*(1+$G288-0.05*(1-$K288))^5+Assumptions!$C$6*Assumptions!$C$8*(1+Assumptions!$C$11)^5+Assumptions!$C$16*$K288+Assumptions!$C$6*Assumptions!$C$9*(1+Assumptions!$C$12)^5</f>
        <v>748.3220705</v>
      </c>
      <c r="Q288" s="139">
        <f>($L288*(1-(Assumptions!$C$25+0.06*(1-1))-Assumptions!$C$27)-Assumptions!$C$28)-MAX(0,($L288*(1-(Assumptions!$C$25+0.06*(1-1))-Assumptions!$C$27)-Assumptions!$C$28)*Assumptions!$C$31)+Assumptions!$C$28-Assumptions!$C$29-$L288*Assumptions!$C$30</f>
        <v>94.52023821</v>
      </c>
      <c r="R288" s="139">
        <f>($M288*(1-(Assumptions!$C$25+0.06*(1-$H288))-Assumptions!$C$27)-Assumptions!$C$28)-MAX(0,($M288*(1-(Assumptions!$C$25+0.06*(1-$H288))-Assumptions!$C$27)-Assumptions!$C$28)*Assumptions!$C$31)+Assumptions!$C$28-Assumptions!$C$29-$M288*Assumptions!$C$30</f>
        <v>102.2378884</v>
      </c>
      <c r="S288" s="139">
        <f>($N288*(1-(Assumptions!$C$25+0.06*(1-$I288))-Assumptions!$C$27)-Assumptions!$C$28)-MAX(0,($N288*(1-(Assumptions!$C$25+0.06*(1-$I288))-Assumptions!$C$27)-Assumptions!$C$28)*Assumptions!$C$31)+Assumptions!$C$28-Assumptions!$C$29-$N288*Assumptions!$C$30</f>
        <v>43.66811013</v>
      </c>
      <c r="T288" s="139">
        <f>($O288*(1-(Assumptions!$C$25+0.06*(1-$J288))-Assumptions!$C$27)-Assumptions!$C$28)-MAX(0,($O288*(1-(Assumptions!$C$25+0.06*(1-$J288))-Assumptions!$C$27)-Assumptions!$C$28)*Assumptions!$C$31)+Assumptions!$C$28-Assumptions!$C$29-$O288*Assumptions!$C$30</f>
        <v>47.83575474</v>
      </c>
      <c r="U288" s="139">
        <f>($P288*(1-(Assumptions!$C$25+0.06*(1-$K288))-Assumptions!$C$27)-Assumptions!$C$28)-MAX(0,($P288*(1-(Assumptions!$C$25+0.06*(1-$K288))-Assumptions!$C$27)-Assumptions!$C$28)*Assumptions!$C$31)+Assumptions!$C$28-Assumptions!$C$29-$P288*Assumptions!$C$30</f>
        <v>52.11407622</v>
      </c>
      <c r="V288" s="143">
        <f>(($Q288/(1+$D288)^1+$R288/(1+$D288)^2+$S288/(1+$D288)^3+$T288/(1+$D288)^4+$U288/(1+$D288)^5+$U288*(1+$E288)/($D288-$E288)/(1+$D288)^5)-Assumptions!$C$37)/Assumptions!$C$40/Assumptions!$C$38</f>
        <v>-0.6086544285</v>
      </c>
    </row>
    <row r="289" ht="12.0" customHeight="1">
      <c r="B289" s="139">
        <v>237.0</v>
      </c>
      <c r="C289" s="140">
        <f t="shared" si="6"/>
        <v>0.1907639889</v>
      </c>
      <c r="D289" s="141">
        <f t="shared" si="7"/>
        <v>0.09304170332</v>
      </c>
      <c r="E289" s="141">
        <f t="shared" si="8"/>
        <v>0.01209973446</v>
      </c>
      <c r="F289" s="140">
        <f t="shared" si="9"/>
        <v>0.773687515</v>
      </c>
      <c r="G289" s="141">
        <f t="shared" si="10"/>
        <v>0.06981677744</v>
      </c>
      <c r="H289" s="142">
        <f t="shared" si="11"/>
        <v>1</v>
      </c>
      <c r="I289" s="142">
        <f t="shared" si="12"/>
        <v>0</v>
      </c>
      <c r="J289" s="142">
        <f t="shared" si="13"/>
        <v>1</v>
      </c>
      <c r="K289" s="142">
        <f t="shared" si="14"/>
        <v>1</v>
      </c>
      <c r="L289" s="139">
        <f>Assumptions!$C$6*Assumptions!$C$7*(1+$G289-0.05*(1-1))^1+Assumptions!$C$6*Assumptions!$C$8*(1+Assumptions!$C$11)^1+Assumptions!$C$16*1+Assumptions!$C$6*Assumptions!$C$9*(1+Assumptions!$C$12)^1</f>
        <v>749.9683273</v>
      </c>
      <c r="M289" s="139">
        <f>Assumptions!$C$6*Assumptions!$C$7*(1+$G289-0.05*(1-$H289))^2+Assumptions!$C$6*Assumptions!$C$8*(1+Assumptions!$C$11)^2+Assumptions!$C$16*$H289+Assumptions!$C$6*Assumptions!$C$9*(1+Assumptions!$C$12)^2</f>
        <v>781.7067317</v>
      </c>
      <c r="N289" s="139">
        <f>Assumptions!$C$6*Assumptions!$C$7*(1+$G289-0.05*(1-$I289))^3+Assumptions!$C$6*Assumptions!$C$8*(1+Assumptions!$C$11)^3+Assumptions!$C$16*$I289+Assumptions!$C$6*Assumptions!$C$9*(1+Assumptions!$C$12)^3</f>
        <v>700.2048217</v>
      </c>
      <c r="O289" s="139">
        <f>Assumptions!$C$6*Assumptions!$C$7*(1+$G289-0.05*(1-$J289))^4+Assumptions!$C$6*Assumptions!$C$8*(1+Assumptions!$C$11)^4+Assumptions!$C$16*$J289+Assumptions!$C$6*Assumptions!$C$9*(1+Assumptions!$C$12)^4</f>
        <v>850.9703682</v>
      </c>
      <c r="P289" s="139">
        <f>Assumptions!$C$6*Assumptions!$C$7*(1+$G289-0.05*(1-$K289))^5+Assumptions!$C$6*Assumptions!$C$8*(1+Assumptions!$C$11)^5+Assumptions!$C$16*$K289+Assumptions!$C$6*Assumptions!$C$9*(1+Assumptions!$C$12)^5</f>
        <v>888.754581</v>
      </c>
      <c r="Q289" s="139">
        <f>($L289*(1-(Assumptions!$C$25+0.06*(1-1))-Assumptions!$C$27)-Assumptions!$C$28)-MAX(0,($L289*(1-(Assumptions!$C$25+0.06*(1-1))-Assumptions!$C$27)-Assumptions!$C$28)*Assumptions!$C$31)+Assumptions!$C$28-Assumptions!$C$29-$L289*Assumptions!$C$30</f>
        <v>93.74319037</v>
      </c>
      <c r="R289" s="139">
        <f>($M289*(1-(Assumptions!$C$25+0.06*(1-$H289))-Assumptions!$C$27)-Assumptions!$C$28)-MAX(0,($M289*(1-(Assumptions!$C$25+0.06*(1-$H289))-Assumptions!$C$27)-Assumptions!$C$28)*Assumptions!$C$31)+Assumptions!$C$28-Assumptions!$C$29-$M289*Assumptions!$C$30</f>
        <v>100.5669473</v>
      </c>
      <c r="S289" s="139">
        <f>($N289*(1-(Assumptions!$C$25+0.06*(1-$I289))-Assumptions!$C$27)-Assumptions!$C$28)-MAX(0,($N289*(1-(Assumptions!$C$25+0.06*(1-$I289))-Assumptions!$C$27)-Assumptions!$C$28)*Assumptions!$C$31)+Assumptions!$C$28-Assumptions!$C$29-$N289*Assumptions!$C$30</f>
        <v>41.04710899</v>
      </c>
      <c r="T289" s="139">
        <f>($O289*(1-(Assumptions!$C$25+0.06*(1-$J289))-Assumptions!$C$27)-Assumptions!$C$28)-MAX(0,($O289*(1-(Assumptions!$C$25+0.06*(1-$J289))-Assumptions!$C$27)-Assumptions!$C$28)*Assumptions!$C$31)+Assumptions!$C$28-Assumptions!$C$29-$O289*Assumptions!$C$30</f>
        <v>115.4586292</v>
      </c>
      <c r="U289" s="139">
        <f>($P289*(1-(Assumptions!$C$25+0.06*(1-$K289))-Assumptions!$C$27)-Assumptions!$C$28)-MAX(0,($P289*(1-(Assumptions!$C$25+0.06*(1-$K289))-Assumptions!$C$27)-Assumptions!$C$28)*Assumptions!$C$31)+Assumptions!$C$28-Assumptions!$C$29-$P289*Assumptions!$C$30</f>
        <v>123.5822349</v>
      </c>
      <c r="V289" s="143">
        <f>(($Q289/(1+$D289)^1+$R289/(1+$D289)^2+$S289/(1+$D289)^3+$T289/(1+$D289)^4+$U289/(1+$D289)^5+$U289*(1+$E289)/($D289-$E289)/(1+$D289)^5)-Assumptions!$C$37)/Assumptions!$C$40/Assumptions!$C$38</f>
        <v>5.152113971</v>
      </c>
    </row>
    <row r="290" ht="12.0" customHeight="1">
      <c r="B290" s="139">
        <v>238.0</v>
      </c>
      <c r="C290" s="140">
        <f t="shared" si="6"/>
        <v>0.007873981746</v>
      </c>
      <c r="D290" s="141">
        <f t="shared" si="7"/>
        <v>0.08663379308</v>
      </c>
      <c r="E290" s="141">
        <f t="shared" si="8"/>
        <v>0.02086781875</v>
      </c>
      <c r="F290" s="140">
        <f t="shared" si="9"/>
        <v>0.4015875815</v>
      </c>
      <c r="G290" s="141">
        <f t="shared" si="10"/>
        <v>0.0568860121</v>
      </c>
      <c r="H290" s="142">
        <f t="shared" si="11"/>
        <v>1</v>
      </c>
      <c r="I290" s="142">
        <f t="shared" si="12"/>
        <v>1</v>
      </c>
      <c r="J290" s="142">
        <f t="shared" si="13"/>
        <v>1</v>
      </c>
      <c r="K290" s="142">
        <f t="shared" si="14"/>
        <v>1</v>
      </c>
      <c r="L290" s="139">
        <f>Assumptions!$C$6*Assumptions!$C$7*(1+$G290-0.05*(1-1))^1+Assumptions!$C$6*Assumptions!$C$8*(1+Assumptions!$C$11)^1+Assumptions!$C$16*1+Assumptions!$C$6*Assumptions!$C$9*(1+Assumptions!$C$12)^1</f>
        <v>745.6158317</v>
      </c>
      <c r="M290" s="139">
        <f>Assumptions!$C$6*Assumptions!$C$7*(1+$G290-0.05*(1-$H290))^2+Assumptions!$C$6*Assumptions!$C$8*(1+Assumptions!$C$11)^2+Assumptions!$C$16*$H290+Assumptions!$C$6*Assumptions!$C$9*(1+Assumptions!$C$12)^2</f>
        <v>772.4502671</v>
      </c>
      <c r="N290" s="139">
        <f>Assumptions!$C$6*Assumptions!$C$7*(1+$G290-0.05*(1-$I290))^3+Assumptions!$C$6*Assumptions!$C$8*(1+Assumptions!$C$11)^3+Assumptions!$C$16*$I290+Assumptions!$C$6*Assumptions!$C$9*(1+Assumptions!$C$12)^3</f>
        <v>800.5678563</v>
      </c>
      <c r="O290" s="139">
        <f>Assumptions!$C$6*Assumptions!$C$7*(1+$G290-0.05*(1-$J290))^4+Assumptions!$C$6*Assumptions!$C$8*(1+Assumptions!$C$11)^4+Assumptions!$C$16*$J290+Assumptions!$C$6*Assumptions!$C$9*(1+Assumptions!$C$12)^4</f>
        <v>830.0367257</v>
      </c>
      <c r="P290" s="139">
        <f>Assumptions!$C$6*Assumptions!$C$7*(1+$G290-0.05*(1-$K290))^5+Assumptions!$C$6*Assumptions!$C$8*(1+Assumptions!$C$11)^5+Assumptions!$C$16*$K290+Assumptions!$C$6*Assumptions!$C$9*(1+Assumptions!$C$12)^5</f>
        <v>860.9287799</v>
      </c>
      <c r="Q290" s="139">
        <f>($L290*(1-(Assumptions!$C$25+0.06*(1-1))-Assumptions!$C$27)-Assumptions!$C$28)-MAX(0,($L290*(1-(Assumptions!$C$25+0.06*(1-1))-Assumptions!$C$27)-Assumptions!$C$28)*Assumptions!$C$31)+Assumptions!$C$28-Assumptions!$C$29-$L290*Assumptions!$C$30</f>
        <v>92.80740381</v>
      </c>
      <c r="R290" s="139">
        <f>($M290*(1-(Assumptions!$C$25+0.06*(1-$H290))-Assumptions!$C$27)-Assumptions!$C$28)-MAX(0,($M290*(1-(Assumptions!$C$25+0.06*(1-$H290))-Assumptions!$C$27)-Assumptions!$C$28)*Assumptions!$C$31)+Assumptions!$C$28-Assumptions!$C$29-$M290*Assumptions!$C$30</f>
        <v>98.57680743</v>
      </c>
      <c r="S290" s="139">
        <f>($N290*(1-(Assumptions!$C$25+0.06*(1-$I290))-Assumptions!$C$27)-Assumptions!$C$28)-MAX(0,($N290*(1-(Assumptions!$C$25+0.06*(1-$I290))-Assumptions!$C$27)-Assumptions!$C$28)*Assumptions!$C$31)+Assumptions!$C$28-Assumptions!$C$29-$N290*Assumptions!$C$30</f>
        <v>104.6220891</v>
      </c>
      <c r="T290" s="139">
        <f>($O290*(1-(Assumptions!$C$25+0.06*(1-$J290))-Assumptions!$C$27)-Assumptions!$C$28)-MAX(0,($O290*(1-(Assumptions!$C$25+0.06*(1-$J290))-Assumptions!$C$27)-Assumptions!$C$28)*Assumptions!$C$31)+Assumptions!$C$28-Assumptions!$C$29-$O290*Assumptions!$C$30</f>
        <v>110.957896</v>
      </c>
      <c r="U290" s="139">
        <f>($P290*(1-(Assumptions!$C$25+0.06*(1-$K290))-Assumptions!$C$27)-Assumptions!$C$28)-MAX(0,($P290*(1-(Assumptions!$C$25+0.06*(1-$K290))-Assumptions!$C$27)-Assumptions!$C$28)*Assumptions!$C$31)+Assumptions!$C$28-Assumptions!$C$29-$P290*Assumptions!$C$30</f>
        <v>117.5996877</v>
      </c>
      <c r="V290" s="143">
        <f>(($Q290/(1+$D290)^1+$R290/(1+$D290)^2+$S290/(1+$D290)^3+$T290/(1+$D290)^4+$U290/(1+$D290)^5+$U290*(1+$E290)/($D290-$E290)/(1+$D290)^5)-Assumptions!$C$37)/Assumptions!$C$40/Assumptions!$C$38</f>
        <v>7.186367157</v>
      </c>
    </row>
    <row r="291" ht="12.0" customHeight="1">
      <c r="B291" s="139">
        <v>239.0</v>
      </c>
      <c r="C291" s="140">
        <f t="shared" si="6"/>
        <v>0.235838952</v>
      </c>
      <c r="D291" s="141">
        <f t="shared" si="7"/>
        <v>0.0939414431</v>
      </c>
      <c r="E291" s="141">
        <f t="shared" si="8"/>
        <v>0.01510925112</v>
      </c>
      <c r="F291" s="140">
        <f t="shared" si="9"/>
        <v>0.1753539471</v>
      </c>
      <c r="G291" s="141">
        <f t="shared" si="10"/>
        <v>0.04776617868</v>
      </c>
      <c r="H291" s="142">
        <f t="shared" si="11"/>
        <v>1</v>
      </c>
      <c r="I291" s="142">
        <f t="shared" si="12"/>
        <v>0</v>
      </c>
      <c r="J291" s="142">
        <f t="shared" si="13"/>
        <v>1</v>
      </c>
      <c r="K291" s="142">
        <f t="shared" si="14"/>
        <v>1</v>
      </c>
      <c r="L291" s="139">
        <f>Assumptions!$C$6*Assumptions!$C$7*(1+$G291-0.05*(1-1))^1+Assumptions!$C$6*Assumptions!$C$8*(1+Assumptions!$C$11)^1+Assumptions!$C$16*1+Assumptions!$C$6*Assumptions!$C$9*(1+Assumptions!$C$12)^1</f>
        <v>742.5460957</v>
      </c>
      <c r="M291" s="139">
        <f>Assumptions!$C$6*Assumptions!$C$7*(1+$G291-0.05*(1-$H291))^2+Assumptions!$C$6*Assumptions!$C$8*(1+Assumptions!$C$11)^2+Assumptions!$C$16*$H291+Assumptions!$C$6*Assumptions!$C$9*(1+Assumptions!$C$12)^2</f>
        <v>765.9895407</v>
      </c>
      <c r="N291" s="139">
        <f>Assumptions!$C$6*Assumptions!$C$7*(1+$G291-0.05*(1-$I291))^3+Assumptions!$C$6*Assumptions!$C$8*(1+Assumptions!$C$11)^3+Assumptions!$C$16*$I291+Assumptions!$C$6*Assumptions!$C$9*(1+Assumptions!$C$12)^3</f>
        <v>677.5439895</v>
      </c>
      <c r="O291" s="139">
        <f>Assumptions!$C$6*Assumptions!$C$7*(1+$G291-0.05*(1-$J291))^4+Assumptions!$C$6*Assumptions!$C$8*(1+Assumptions!$C$11)^4+Assumptions!$C$16*$J291+Assumptions!$C$6*Assumptions!$C$9*(1+Assumptions!$C$12)^4</f>
        <v>815.7273666</v>
      </c>
      <c r="P291" s="139">
        <f>Assumptions!$C$6*Assumptions!$C$7*(1+$G291-0.05*(1-$K291))^5+Assumptions!$C$6*Assumptions!$C$8*(1+Assumptions!$C$11)^5+Assumptions!$C$16*$K291+Assumptions!$C$6*Assumptions!$C$9*(1+Assumptions!$C$12)^5</f>
        <v>842.1057864</v>
      </c>
      <c r="Q291" s="139">
        <f>($L291*(1-(Assumptions!$C$25+0.06*(1-1))-Assumptions!$C$27)-Assumptions!$C$28)-MAX(0,($L291*(1-(Assumptions!$C$25+0.06*(1-1))-Assumptions!$C$27)-Assumptions!$C$28)*Assumptions!$C$31)+Assumptions!$C$28-Assumptions!$C$29-$L291*Assumptions!$C$30</f>
        <v>92.14741058</v>
      </c>
      <c r="R291" s="139">
        <f>($M291*(1-(Assumptions!$C$25+0.06*(1-$H291))-Assumptions!$C$27)-Assumptions!$C$28)-MAX(0,($M291*(1-(Assumptions!$C$25+0.06*(1-$H291))-Assumptions!$C$27)-Assumptions!$C$28)*Assumptions!$C$31)+Assumptions!$C$28-Assumptions!$C$29-$M291*Assumptions!$C$30</f>
        <v>97.18775125</v>
      </c>
      <c r="S291" s="139">
        <f>($N291*(1-(Assumptions!$C$25+0.06*(1-$I291))-Assumptions!$C$27)-Assumptions!$C$28)-MAX(0,($N291*(1-(Assumptions!$C$25+0.06*(1-$I291))-Assumptions!$C$27)-Assumptions!$C$28)*Assumptions!$C$31)+Assumptions!$C$28-Assumptions!$C$29-$N291*Assumptions!$C$30</f>
        <v>35.83511759</v>
      </c>
      <c r="T291" s="139">
        <f>($O291*(1-(Assumptions!$C$25+0.06*(1-$J291))-Assumptions!$C$27)-Assumptions!$C$28)-MAX(0,($O291*(1-(Assumptions!$C$25+0.06*(1-$J291))-Assumptions!$C$27)-Assumptions!$C$28)*Assumptions!$C$31)+Assumptions!$C$28-Assumptions!$C$29-$O291*Assumptions!$C$30</f>
        <v>107.8813838</v>
      </c>
      <c r="U291" s="139">
        <f>($P291*(1-(Assumptions!$C$25+0.06*(1-$K291))-Assumptions!$C$27)-Assumptions!$C$28)-MAX(0,($P291*(1-(Assumptions!$C$25+0.06*(1-$K291))-Assumptions!$C$27)-Assumptions!$C$28)*Assumptions!$C$31)+Assumptions!$C$28-Assumptions!$C$29-$P291*Assumptions!$C$30</f>
        <v>113.5527441</v>
      </c>
      <c r="V291" s="143">
        <f>(($Q291/(1+$D291)^1+$R291/(1+$D291)^2+$S291/(1+$D291)^3+$T291/(1+$D291)^4+$U291/(1+$D291)^5+$U291*(1+$E291)/($D291-$E291)/(1+$D291)^5)-Assumptions!$C$37)/Assumptions!$C$40/Assumptions!$C$38</f>
        <v>4.543972896</v>
      </c>
    </row>
    <row r="292" ht="12.0" customHeight="1">
      <c r="B292" s="139">
        <v>240.0</v>
      </c>
      <c r="C292" s="140">
        <f t="shared" si="6"/>
        <v>0.4658652633</v>
      </c>
      <c r="D292" s="141">
        <f t="shared" si="7"/>
        <v>0.09768961042</v>
      </c>
      <c r="E292" s="141">
        <f t="shared" si="8"/>
        <v>0.01827853983</v>
      </c>
      <c r="F292" s="140">
        <f t="shared" si="9"/>
        <v>0.004746241717</v>
      </c>
      <c r="G292" s="141">
        <f t="shared" si="10"/>
        <v>0.0329228813</v>
      </c>
      <c r="H292" s="142">
        <f t="shared" si="11"/>
        <v>1</v>
      </c>
      <c r="I292" s="142">
        <f t="shared" si="12"/>
        <v>0</v>
      </c>
      <c r="J292" s="142">
        <f t="shared" si="13"/>
        <v>0</v>
      </c>
      <c r="K292" s="142">
        <f t="shared" si="14"/>
        <v>1</v>
      </c>
      <c r="L292" s="139">
        <f>Assumptions!$C$6*Assumptions!$C$7*(1+$G292-0.05*(1-1))^1+Assumptions!$C$6*Assumptions!$C$8*(1+Assumptions!$C$11)^1+Assumptions!$C$16*1+Assumptions!$C$6*Assumptions!$C$9*(1+Assumptions!$C$12)^1</f>
        <v>737.5498418</v>
      </c>
      <c r="M292" s="139">
        <f>Assumptions!$C$6*Assumptions!$C$7*(1+$G292-0.05*(1-$H292))^2+Assumptions!$C$6*Assumptions!$C$8*(1+Assumptions!$C$11)^2+Assumptions!$C$16*$H292+Assumptions!$C$6*Assumptions!$C$9*(1+Assumptions!$C$12)^2</f>
        <v>755.5938899</v>
      </c>
      <c r="N292" s="139">
        <f>Assumptions!$C$6*Assumptions!$C$7*(1+$G292-0.05*(1-$I292))^3+Assumptions!$C$6*Assumptions!$C$8*(1+Assumptions!$C$11)^3+Assumptions!$C$16*$I292+Assumptions!$C$6*Assumptions!$C$9*(1+Assumptions!$C$12)^3</f>
        <v>662.8430023</v>
      </c>
      <c r="O292" s="139">
        <f>Assumptions!$C$6*Assumptions!$C$7*(1+$G292-0.05*(1-$J292))^4+Assumptions!$C$6*Assumptions!$C$8*(1+Assumptions!$C$11)^4+Assumptions!$C$16*$J292+Assumptions!$C$6*Assumptions!$C$9*(1+Assumptions!$C$12)^4</f>
        <v>664.2482231</v>
      </c>
      <c r="P292" s="139">
        <f>Assumptions!$C$6*Assumptions!$C$7*(1+$G292-0.05*(1-$K292))^5+Assumptions!$C$6*Assumptions!$C$8*(1+Assumptions!$C$11)^5+Assumptions!$C$16*$K292+Assumptions!$C$6*Assumptions!$C$9*(1+Assumptions!$C$12)^5</f>
        <v>812.8395108</v>
      </c>
      <c r="Q292" s="139">
        <f>($L292*(1-(Assumptions!$C$25+0.06*(1-1))-Assumptions!$C$27)-Assumptions!$C$28)-MAX(0,($L292*(1-(Assumptions!$C$25+0.06*(1-1))-Assumptions!$C$27)-Assumptions!$C$28)*Assumptions!$C$31)+Assumptions!$C$28-Assumptions!$C$29-$L292*Assumptions!$C$30</f>
        <v>91.073216</v>
      </c>
      <c r="R292" s="139">
        <f>($M292*(1-(Assumptions!$C$25+0.06*(1-$H292))-Assumptions!$C$27)-Assumptions!$C$28)-MAX(0,($M292*(1-(Assumptions!$C$25+0.06*(1-$H292))-Assumptions!$C$27)-Assumptions!$C$28)*Assumptions!$C$31)+Assumptions!$C$28-Assumptions!$C$29-$M292*Assumptions!$C$30</f>
        <v>94.95268632</v>
      </c>
      <c r="S292" s="139">
        <f>($N292*(1-(Assumptions!$C$25+0.06*(1-$I292))-Assumptions!$C$27)-Assumptions!$C$28)-MAX(0,($N292*(1-(Assumptions!$C$25+0.06*(1-$I292))-Assumptions!$C$27)-Assumptions!$C$28)*Assumptions!$C$31)+Assumptions!$C$28-Assumptions!$C$29-$N292*Assumptions!$C$30</f>
        <v>32.45389054</v>
      </c>
      <c r="T292" s="139">
        <f>($O292*(1-(Assumptions!$C$25+0.06*(1-$J292))-Assumptions!$C$27)-Assumptions!$C$28)-MAX(0,($O292*(1-(Assumptions!$C$25+0.06*(1-$J292))-Assumptions!$C$27)-Assumptions!$C$28)*Assumptions!$C$31)+Assumptions!$C$28-Assumptions!$C$29-$O292*Assumptions!$C$30</f>
        <v>32.77709132</v>
      </c>
      <c r="U292" s="139">
        <f>($P292*(1-(Assumptions!$C$25+0.06*(1-$K292))-Assumptions!$C$27)-Assumptions!$C$28)-MAX(0,($P292*(1-(Assumptions!$C$25+0.06*(1-$K292))-Assumptions!$C$27)-Assumptions!$C$28)*Assumptions!$C$31)+Assumptions!$C$28-Assumptions!$C$29-$P292*Assumptions!$C$30</f>
        <v>107.2604948</v>
      </c>
      <c r="V292" s="143">
        <f>(($Q292/(1+$D292)^1+$R292/(1+$D292)^2+$S292/(1+$D292)^3+$T292/(1+$D292)^4+$U292/(1+$D292)^5+$U292*(1+$E292)/($D292-$E292)/(1+$D292)^5)-Assumptions!$C$37)/Assumptions!$C$40/Assumptions!$C$38</f>
        <v>3.492455346</v>
      </c>
    </row>
    <row r="293" ht="12.0" customHeight="1">
      <c r="B293" s="139">
        <v>241.0</v>
      </c>
      <c r="C293" s="140">
        <f t="shared" si="6"/>
        <v>0.3550635922</v>
      </c>
      <c r="D293" s="141">
        <f t="shared" si="7"/>
        <v>0.09597116939</v>
      </c>
      <c r="E293" s="141">
        <f t="shared" si="8"/>
        <v>0.02240544145</v>
      </c>
      <c r="F293" s="140">
        <f t="shared" si="9"/>
        <v>0.2231323118</v>
      </c>
      <c r="G293" s="141">
        <f t="shared" si="10"/>
        <v>0.05004091218</v>
      </c>
      <c r="H293" s="142">
        <f t="shared" si="11"/>
        <v>0</v>
      </c>
      <c r="I293" s="142">
        <f t="shared" si="12"/>
        <v>0</v>
      </c>
      <c r="J293" s="142">
        <f t="shared" si="13"/>
        <v>1</v>
      </c>
      <c r="K293" s="142">
        <f t="shared" si="14"/>
        <v>0</v>
      </c>
      <c r="L293" s="139">
        <f>Assumptions!$C$6*Assumptions!$C$7*(1+$G293-0.05*(1-1))^1+Assumptions!$C$6*Assumptions!$C$8*(1+Assumptions!$C$11)^1+Assumptions!$C$16*1+Assumptions!$C$6*Assumptions!$C$9*(1+Assumptions!$C$12)^1</f>
        <v>743.311771</v>
      </c>
      <c r="M293" s="139">
        <f>Assumptions!$C$6*Assumptions!$C$7*(1+$G293-0.05*(1-$H293))^2+Assumptions!$C$6*Assumptions!$C$8*(1+Assumptions!$C$11)^2+Assumptions!$C$16*$H293+Assumptions!$C$6*Assumptions!$C$9*(1+Assumptions!$C$12)^2</f>
        <v>673.0929026</v>
      </c>
      <c r="N293" s="139">
        <f>Assumptions!$C$6*Assumptions!$C$7*(1+$G293-0.05*(1-$I293))^3+Assumptions!$C$6*Assumptions!$C$8*(1+Assumptions!$C$11)^3+Assumptions!$C$16*$I293+Assumptions!$C$6*Assumptions!$C$9*(1+Assumptions!$C$12)^3</f>
        <v>679.835982</v>
      </c>
      <c r="O293" s="139">
        <f>Assumptions!$C$6*Assumptions!$C$7*(1+$G293-0.05*(1-$J293))^4+Assumptions!$C$6*Assumptions!$C$8*(1+Assumptions!$C$11)^4+Assumptions!$C$16*$J293+Assumptions!$C$6*Assumptions!$C$9*(1+Assumptions!$C$12)^4</f>
        <v>819.2617348</v>
      </c>
      <c r="P293" s="139">
        <f>Assumptions!$C$6*Assumptions!$C$7*(1+$G293-0.05*(1-$K293))^5+Assumptions!$C$6*Assumptions!$C$8*(1+Assumptions!$C$11)^5+Assumptions!$C$16*$K293+Assumptions!$C$6*Assumptions!$C$9*(1+Assumptions!$C$12)^5</f>
        <v>693.7285926</v>
      </c>
      <c r="Q293" s="139">
        <f>($L293*(1-(Assumptions!$C$25+0.06*(1-1))-Assumptions!$C$27)-Assumptions!$C$28)-MAX(0,($L293*(1-(Assumptions!$C$25+0.06*(1-1))-Assumptions!$C$27)-Assumptions!$C$28)*Assumptions!$C$31)+Assumptions!$C$28-Assumptions!$C$29-$L293*Assumptions!$C$30</f>
        <v>92.31203077</v>
      </c>
      <c r="R293" s="139">
        <f>($M293*(1-(Assumptions!$C$25+0.06*(1-$H293))-Assumptions!$C$27)-Assumptions!$C$28)-MAX(0,($M293*(1-(Assumptions!$C$25+0.06*(1-$H293))-Assumptions!$C$27)-Assumptions!$C$28)*Assumptions!$C$31)+Assumptions!$C$28-Assumptions!$C$29-$M293*Assumptions!$C$30</f>
        <v>34.81136761</v>
      </c>
      <c r="S293" s="139">
        <f>($N293*(1-(Assumptions!$C$25+0.06*(1-$I293))-Assumptions!$C$27)-Assumptions!$C$28)-MAX(0,($N293*(1-(Assumptions!$C$25+0.06*(1-$I293))-Assumptions!$C$27)-Assumptions!$C$28)*Assumptions!$C$31)+Assumptions!$C$28-Assumptions!$C$29-$N293*Assumptions!$C$30</f>
        <v>36.36227586</v>
      </c>
      <c r="T293" s="139">
        <f>($O293*(1-(Assumptions!$C$25+0.06*(1-$J293))-Assumptions!$C$27)-Assumptions!$C$28)-MAX(0,($O293*(1-(Assumptions!$C$25+0.06*(1-$J293))-Assumptions!$C$27)-Assumptions!$C$28)*Assumptions!$C$31)+Assumptions!$C$28-Assumptions!$C$29-$O293*Assumptions!$C$30</f>
        <v>108.641273</v>
      </c>
      <c r="U293" s="139">
        <f>($P293*(1-(Assumptions!$C$25+0.06*(1-$K293))-Assumptions!$C$27)-Assumptions!$C$28)-MAX(0,($P293*(1-(Assumptions!$C$25+0.06*(1-$K293))-Assumptions!$C$27)-Assumptions!$C$28)*Assumptions!$C$31)+Assumptions!$C$28-Assumptions!$C$29-$P293*Assumptions!$C$30</f>
        <v>39.5575763</v>
      </c>
      <c r="V293" s="143">
        <f>(($Q293/(1+$D293)^1+$R293/(1+$D293)^2+$S293/(1+$D293)^3+$T293/(1+$D293)^4+$U293/(1+$D293)^5+$U293*(1+$E293)/($D293-$E293)/(1+$D293)^5)-Assumptions!$C$37)/Assumptions!$C$40/Assumptions!$C$38</f>
        <v>-0.8027850914</v>
      </c>
    </row>
    <row r="294" ht="12.0" customHeight="1">
      <c r="B294" s="139">
        <v>242.0</v>
      </c>
      <c r="C294" s="140">
        <f t="shared" si="6"/>
        <v>0.837506041</v>
      </c>
      <c r="D294" s="141">
        <f t="shared" si="7"/>
        <v>0.1054522719</v>
      </c>
      <c r="E294" s="141">
        <f t="shared" si="8"/>
        <v>0.02741135101</v>
      </c>
      <c r="F294" s="140">
        <f t="shared" si="9"/>
        <v>0.2677040496</v>
      </c>
      <c r="G294" s="141">
        <f t="shared" si="10"/>
        <v>0.05195147579</v>
      </c>
      <c r="H294" s="142">
        <f t="shared" si="11"/>
        <v>1</v>
      </c>
      <c r="I294" s="142">
        <f t="shared" si="12"/>
        <v>1</v>
      </c>
      <c r="J294" s="142">
        <f t="shared" si="13"/>
        <v>1</v>
      </c>
      <c r="K294" s="142">
        <f t="shared" si="14"/>
        <v>0</v>
      </c>
      <c r="L294" s="139">
        <f>Assumptions!$C$6*Assumptions!$C$7*(1+$G294-0.05*(1-1))^1+Assumptions!$C$6*Assumptions!$C$8*(1+Assumptions!$C$11)^1+Assumptions!$C$16*1+Assumptions!$C$6*Assumptions!$C$9*(1+Assumptions!$C$12)^1</f>
        <v>743.9548667</v>
      </c>
      <c r="M294" s="139">
        <f>Assumptions!$C$6*Assumptions!$C$7*(1+$G294-0.05*(1-$H294))^2+Assumptions!$C$6*Assumptions!$C$8*(1+Assumptions!$C$11)^2+Assumptions!$C$16*$H294+Assumptions!$C$6*Assumptions!$C$9*(1+Assumptions!$C$12)^2</f>
        <v>768.947562</v>
      </c>
      <c r="N294" s="139">
        <f>Assumptions!$C$6*Assumptions!$C$7*(1+$G294-0.05*(1-$I294))^3+Assumptions!$C$6*Assumptions!$C$8*(1+Assumptions!$C$11)^3+Assumptions!$C$16*$I294+Assumptions!$C$6*Assumptions!$C$9*(1+Assumptions!$C$12)^3</f>
        <v>795.0278693</v>
      </c>
      <c r="O294" s="139">
        <f>Assumptions!$C$6*Assumptions!$C$7*(1+$G294-0.05*(1-$J294))^4+Assumptions!$C$6*Assumptions!$C$8*(1+Assumptions!$C$11)^4+Assumptions!$C$16*$J294+Assumptions!$C$6*Assumptions!$C$9*(1+Assumptions!$C$12)^4</f>
        <v>822.2480758</v>
      </c>
      <c r="P294" s="139">
        <f>Assumptions!$C$6*Assumptions!$C$7*(1+$G294-0.05*(1-$K294))^5+Assumptions!$C$6*Assumptions!$C$8*(1+Assumptions!$C$11)^5+Assumptions!$C$16*$K294+Assumptions!$C$6*Assumptions!$C$9*(1+Assumptions!$C$12)^5</f>
        <v>696.9569091</v>
      </c>
      <c r="Q294" s="139">
        <f>($L294*(1-(Assumptions!$C$25+0.06*(1-1))-Assumptions!$C$27)-Assumptions!$C$28)-MAX(0,($L294*(1-(Assumptions!$C$25+0.06*(1-1))-Assumptions!$C$27)-Assumptions!$C$28)*Assumptions!$C$31)+Assumptions!$C$28-Assumptions!$C$29-$L294*Assumptions!$C$30</f>
        <v>92.45029635</v>
      </c>
      <c r="R294" s="139">
        <f>($M294*(1-(Assumptions!$C$25+0.06*(1-$H294))-Assumptions!$C$27)-Assumptions!$C$28)-MAX(0,($M294*(1-(Assumptions!$C$25+0.06*(1-$H294))-Assumptions!$C$27)-Assumptions!$C$28)*Assumptions!$C$31)+Assumptions!$C$28-Assumptions!$C$29-$M294*Assumptions!$C$30</f>
        <v>97.82372584</v>
      </c>
      <c r="S294" s="139">
        <f>($N294*(1-(Assumptions!$C$25+0.06*(1-$I294))-Assumptions!$C$27)-Assumptions!$C$28)-MAX(0,($N294*(1-(Assumptions!$C$25+0.06*(1-$I294))-Assumptions!$C$27)-Assumptions!$C$28)*Assumptions!$C$31)+Assumptions!$C$28-Assumptions!$C$29-$N294*Assumptions!$C$30</f>
        <v>103.4309919</v>
      </c>
      <c r="T294" s="139">
        <f>($O294*(1-(Assumptions!$C$25+0.06*(1-$J294))-Assumptions!$C$27)-Assumptions!$C$28)-MAX(0,($O294*(1-(Assumptions!$C$25+0.06*(1-$J294))-Assumptions!$C$27)-Assumptions!$C$28)*Assumptions!$C$31)+Assumptions!$C$28-Assumptions!$C$29-$O294*Assumptions!$C$30</f>
        <v>109.2833363</v>
      </c>
      <c r="U294" s="139">
        <f>($P294*(1-(Assumptions!$C$25+0.06*(1-$K294))-Assumptions!$C$27)-Assumptions!$C$28)-MAX(0,($P294*(1-(Assumptions!$C$25+0.06*(1-$K294))-Assumptions!$C$27)-Assumptions!$C$28)*Assumptions!$C$31)+Assumptions!$C$28-Assumptions!$C$29-$P294*Assumptions!$C$30</f>
        <v>40.3000891</v>
      </c>
      <c r="V294" s="143">
        <f>(($Q294/(1+$D294)^1+$R294/(1+$D294)^2+$S294/(1+$D294)^3+$T294/(1+$D294)^4+$U294/(1+$D294)^5+$U294*(1+$E294)/($D294-$E294)/(1+$D294)^5)-Assumptions!$C$37)/Assumptions!$C$40/Assumptions!$C$38</f>
        <v>-0.2534260835</v>
      </c>
    </row>
    <row r="295" ht="12.0" customHeight="1">
      <c r="B295" s="139">
        <v>243.0</v>
      </c>
      <c r="C295" s="140">
        <f t="shared" si="6"/>
        <v>0.5292029737</v>
      </c>
      <c r="D295" s="141">
        <f t="shared" si="7"/>
        <v>0.09874831911</v>
      </c>
      <c r="E295" s="141">
        <f t="shared" si="8"/>
        <v>0.02328935779</v>
      </c>
      <c r="F295" s="140">
        <f t="shared" si="9"/>
        <v>0.6657023497</v>
      </c>
      <c r="G295" s="141">
        <f t="shared" si="10"/>
        <v>0.06546969689</v>
      </c>
      <c r="H295" s="142">
        <f t="shared" si="11"/>
        <v>1</v>
      </c>
      <c r="I295" s="142">
        <f t="shared" si="12"/>
        <v>0</v>
      </c>
      <c r="J295" s="142">
        <f t="shared" si="13"/>
        <v>1</v>
      </c>
      <c r="K295" s="142">
        <f t="shared" si="14"/>
        <v>0</v>
      </c>
      <c r="L295" s="139">
        <f>Assumptions!$C$6*Assumptions!$C$7*(1+$G295-0.05*(1-1))^1+Assumptions!$C$6*Assumptions!$C$8*(1+Assumptions!$C$11)^1+Assumptions!$C$16*1+Assumptions!$C$6*Assumptions!$C$9*(1+Assumptions!$C$12)^1</f>
        <v>748.5051</v>
      </c>
      <c r="M295" s="139">
        <f>Assumptions!$C$6*Assumptions!$C$7*(1+$G295-0.05*(1-$H295))^2+Assumptions!$C$6*Assumptions!$C$8*(1+Assumptions!$C$11)^2+Assumptions!$C$16*$H295+Assumptions!$C$6*Assumptions!$C$9*(1+Assumptions!$C$12)^2</f>
        <v>778.5823222</v>
      </c>
      <c r="N295" s="139">
        <f>Assumptions!$C$6*Assumptions!$C$7*(1+$G295-0.05*(1-$I295))^3+Assumptions!$C$6*Assumptions!$C$8*(1+Assumptions!$C$11)^3+Assumptions!$C$16*$I295+Assumptions!$C$6*Assumptions!$C$9*(1+Assumptions!$C$12)^3</f>
        <v>695.65887</v>
      </c>
      <c r="O295" s="139">
        <f>Assumptions!$C$6*Assumptions!$C$7*(1+$G295-0.05*(1-$J295))^4+Assumptions!$C$6*Assumptions!$C$8*(1+Assumptions!$C$11)^4+Assumptions!$C$16*$J295+Assumptions!$C$6*Assumptions!$C$9*(1+Assumptions!$C$12)^4</f>
        <v>843.8475469</v>
      </c>
      <c r="P295" s="139">
        <f>Assumptions!$C$6*Assumptions!$C$7*(1+$G295-0.05*(1-$K295))^5+Assumptions!$C$6*Assumptions!$C$8*(1+Assumptions!$C$11)^5+Assumptions!$C$16*$K295+Assumptions!$C$6*Assumptions!$C$9*(1+Assumptions!$C$12)^5</f>
        <v>720.5133121</v>
      </c>
      <c r="Q295" s="139">
        <f>($L295*(1-(Assumptions!$C$25+0.06*(1-1))-Assumptions!$C$27)-Assumptions!$C$28)-MAX(0,($L295*(1-(Assumptions!$C$25+0.06*(1-1))-Assumptions!$C$27)-Assumptions!$C$28)*Assumptions!$C$31)+Assumptions!$C$28-Assumptions!$C$29-$L295*Assumptions!$C$30</f>
        <v>93.42859649</v>
      </c>
      <c r="R295" s="139">
        <f>($M295*(1-(Assumptions!$C$25+0.06*(1-$H295))-Assumptions!$C$27)-Assumptions!$C$28)-MAX(0,($M295*(1-(Assumptions!$C$25+0.06*(1-$H295))-Assumptions!$C$27)-Assumptions!$C$28)*Assumptions!$C$31)+Assumptions!$C$28-Assumptions!$C$29-$M295*Assumptions!$C$30</f>
        <v>99.89519927</v>
      </c>
      <c r="S295" s="139">
        <f>($N295*(1-(Assumptions!$C$25+0.06*(1-$I295))-Assumptions!$C$27)-Assumptions!$C$28)-MAX(0,($N295*(1-(Assumptions!$C$25+0.06*(1-$I295))-Assumptions!$C$27)-Assumptions!$C$28)*Assumptions!$C$31)+Assumptions!$C$28-Assumptions!$C$29-$N295*Assumptions!$C$30</f>
        <v>40.0015401</v>
      </c>
      <c r="T295" s="139">
        <f>($O295*(1-(Assumptions!$C$25+0.06*(1-$J295))-Assumptions!$C$27)-Assumptions!$C$28)-MAX(0,($O295*(1-(Assumptions!$C$25+0.06*(1-$J295))-Assumptions!$C$27)-Assumptions!$C$28)*Assumptions!$C$31)+Assumptions!$C$28-Assumptions!$C$29-$O295*Assumptions!$C$30</f>
        <v>113.9272226</v>
      </c>
      <c r="U295" s="139">
        <f>($P295*(1-(Assumptions!$C$25+0.06*(1-$K295))-Assumptions!$C$27)-Assumptions!$C$28)-MAX(0,($P295*(1-(Assumptions!$C$25+0.06*(1-$K295))-Assumptions!$C$27)-Assumptions!$C$28)*Assumptions!$C$31)+Assumptions!$C$28-Assumptions!$C$29-$P295*Assumptions!$C$30</f>
        <v>45.71806178</v>
      </c>
      <c r="V295" s="143">
        <f>(($Q295/(1+$D295)^1+$R295/(1+$D295)^2+$S295/(1+$D295)^3+$T295/(1+$D295)^4+$U295/(1+$D295)^5+$U295*(1+$E295)/($D295-$E295)/(1+$D295)^5)-Assumptions!$C$37)/Assumptions!$C$40/Assumptions!$C$38</f>
        <v>0.0008392950168</v>
      </c>
    </row>
    <row r="296" ht="12.0" customHeight="1">
      <c r="B296" s="139">
        <v>244.0</v>
      </c>
      <c r="C296" s="140">
        <f t="shared" si="6"/>
        <v>0.5674968431</v>
      </c>
      <c r="D296" s="141">
        <f t="shared" si="7"/>
        <v>0.09942327791</v>
      </c>
      <c r="E296" s="141">
        <f t="shared" si="8"/>
        <v>0.02108097568</v>
      </c>
      <c r="F296" s="140">
        <f t="shared" si="9"/>
        <v>0.6111953898</v>
      </c>
      <c r="G296" s="141">
        <f t="shared" si="10"/>
        <v>0.06354535393</v>
      </c>
      <c r="H296" s="142">
        <f t="shared" si="11"/>
        <v>0</v>
      </c>
      <c r="I296" s="142">
        <f t="shared" si="12"/>
        <v>0</v>
      </c>
      <c r="J296" s="142">
        <f t="shared" si="13"/>
        <v>1</v>
      </c>
      <c r="K296" s="142">
        <f t="shared" si="14"/>
        <v>1</v>
      </c>
      <c r="L296" s="139">
        <f>Assumptions!$C$6*Assumptions!$C$7*(1+$G296-0.05*(1-1))^1+Assumptions!$C$6*Assumptions!$C$8*(1+Assumptions!$C$11)^1+Assumptions!$C$16*1+Assumptions!$C$6*Assumptions!$C$9*(1+Assumptions!$C$12)^1</f>
        <v>747.8573661</v>
      </c>
      <c r="M296" s="139">
        <f>Assumptions!$C$6*Assumptions!$C$7*(1+$G296-0.05*(1-$H296))^2+Assumptions!$C$6*Assumptions!$C$8*(1+Assumptions!$C$11)^2+Assumptions!$C$16*$H296+Assumptions!$C$6*Assumptions!$C$9*(1+Assumptions!$C$12)^2</f>
        <v>682.2458505</v>
      </c>
      <c r="N296" s="139">
        <f>Assumptions!$C$6*Assumptions!$C$7*(1+$G296-0.05*(1-$I296))^3+Assumptions!$C$6*Assumptions!$C$8*(1+Assumptions!$C$11)^3+Assumptions!$C$16*$I296+Assumptions!$C$6*Assumptions!$C$9*(1+Assumptions!$C$12)^3</f>
        <v>693.6588768</v>
      </c>
      <c r="O296" s="139">
        <f>Assumptions!$C$6*Assumptions!$C$7*(1+$G296-0.05*(1-$J296))^4+Assumptions!$C$6*Assumptions!$C$8*(1+Assumptions!$C$11)^4+Assumptions!$C$16*$J296+Assumptions!$C$6*Assumptions!$C$9*(1+Assumptions!$C$12)^4</f>
        <v>840.7221646</v>
      </c>
      <c r="P296" s="139">
        <f>Assumptions!$C$6*Assumptions!$C$7*(1+$G296-0.05*(1-$K296))^5+Assumptions!$C$6*Assumptions!$C$8*(1+Assumptions!$C$11)^5+Assumptions!$C$16*$K296+Assumptions!$C$6*Assumptions!$C$9*(1+Assumptions!$C$12)^5</f>
        <v>875.090007</v>
      </c>
      <c r="Q296" s="139">
        <f>($L296*(1-(Assumptions!$C$25+0.06*(1-1))-Assumptions!$C$27)-Assumptions!$C$28)-MAX(0,($L296*(1-(Assumptions!$C$25+0.06*(1-1))-Assumptions!$C$27)-Assumptions!$C$28)*Assumptions!$C$31)+Assumptions!$C$28-Assumptions!$C$29-$L296*Assumptions!$C$30</f>
        <v>93.28933372</v>
      </c>
      <c r="R296" s="139">
        <f>($M296*(1-(Assumptions!$C$25+0.06*(1-$H296))-Assumptions!$C$27)-Assumptions!$C$28)-MAX(0,($M296*(1-(Assumptions!$C$25+0.06*(1-$H296))-Assumptions!$C$27)-Assumptions!$C$28)*Assumptions!$C$31)+Assumptions!$C$28-Assumptions!$C$29-$M296*Assumptions!$C$30</f>
        <v>36.91654561</v>
      </c>
      <c r="S296" s="139">
        <f>($N296*(1-(Assumptions!$C$25+0.06*(1-$I296))-Assumptions!$C$27)-Assumptions!$C$28)-MAX(0,($N296*(1-(Assumptions!$C$25+0.06*(1-$I296))-Assumptions!$C$27)-Assumptions!$C$28)*Assumptions!$C$31)+Assumptions!$C$28-Assumptions!$C$29-$N296*Assumptions!$C$30</f>
        <v>39.54154167</v>
      </c>
      <c r="T296" s="139">
        <f>($O296*(1-(Assumptions!$C$25+0.06*(1-$J296))-Assumptions!$C$27)-Assumptions!$C$28)-MAX(0,($O296*(1-(Assumptions!$C$25+0.06*(1-$J296))-Assumptions!$C$27)-Assumptions!$C$28)*Assumptions!$C$31)+Assumptions!$C$28-Assumptions!$C$29-$O296*Assumptions!$C$30</f>
        <v>113.2552654</v>
      </c>
      <c r="U296" s="139">
        <f>($P296*(1-(Assumptions!$C$25+0.06*(1-$K296))-Assumptions!$C$27)-Assumptions!$C$28)-MAX(0,($P296*(1-(Assumptions!$C$25+0.06*(1-$K296))-Assumptions!$C$27)-Assumptions!$C$28)*Assumptions!$C$31)+Assumptions!$C$28-Assumptions!$C$29-$P296*Assumptions!$C$30</f>
        <v>120.6443515</v>
      </c>
      <c r="V296" s="143">
        <f>(($Q296/(1+$D296)^1+$R296/(1+$D296)^2+$S296/(1+$D296)^3+$T296/(1+$D296)^4+$U296/(1+$D296)^5+$U296*(1+$E296)/($D296-$E296)/(1+$D296)^5)-Assumptions!$C$37)/Assumptions!$C$40/Assumptions!$C$38</f>
        <v>4.565255653</v>
      </c>
    </row>
    <row r="297" ht="12.0" customHeight="1">
      <c r="B297" s="139">
        <v>245.0</v>
      </c>
      <c r="C297" s="140">
        <f t="shared" si="6"/>
        <v>0.9311931491</v>
      </c>
      <c r="D297" s="141">
        <f t="shared" si="7"/>
        <v>0.1087870584</v>
      </c>
      <c r="E297" s="141">
        <f t="shared" si="8"/>
        <v>0.02155305122</v>
      </c>
      <c r="F297" s="140">
        <f t="shared" si="9"/>
        <v>0.06302674194</v>
      </c>
      <c r="G297" s="141">
        <f t="shared" si="10"/>
        <v>0.04065120348</v>
      </c>
      <c r="H297" s="142">
        <f t="shared" si="11"/>
        <v>1</v>
      </c>
      <c r="I297" s="142">
        <f t="shared" si="12"/>
        <v>0</v>
      </c>
      <c r="J297" s="142">
        <f t="shared" si="13"/>
        <v>1</v>
      </c>
      <c r="K297" s="142">
        <f t="shared" si="14"/>
        <v>1</v>
      </c>
      <c r="L297" s="139">
        <f>Assumptions!$C$6*Assumptions!$C$7*(1+$G297-0.05*(1-1))^1+Assumptions!$C$6*Assumptions!$C$8*(1+Assumptions!$C$11)^1+Assumptions!$C$16*1+Assumptions!$C$6*Assumptions!$C$9*(1+Assumptions!$C$12)^1</f>
        <v>740.1511951</v>
      </c>
      <c r="M297" s="139">
        <f>Assumptions!$C$6*Assumptions!$C$7*(1+$G297-0.05*(1-$H297))^2+Assumptions!$C$6*Assumptions!$C$8*(1+Assumptions!$C$11)^2+Assumptions!$C$16*$H297+Assumptions!$C$6*Assumptions!$C$9*(1+Assumptions!$C$12)^2</f>
        <v>760.9879885</v>
      </c>
      <c r="N297" s="139">
        <f>Assumptions!$C$6*Assumptions!$C$7*(1+$G297-0.05*(1-$I297))^3+Assumptions!$C$6*Assumptions!$C$8*(1+Assumptions!$C$11)^3+Assumptions!$C$16*$I297+Assumptions!$C$6*Assumptions!$C$9*(1+Assumptions!$C$12)^3</f>
        <v>670.442234</v>
      </c>
      <c r="O297" s="139">
        <f>Assumptions!$C$6*Assumptions!$C$7*(1+$G297-0.05*(1-$J297))^4+Assumptions!$C$6*Assumptions!$C$8*(1+Assumptions!$C$11)^4+Assumptions!$C$16*$J297+Assumptions!$C$6*Assumptions!$C$9*(1+Assumptions!$C$12)^4</f>
        <v>804.8201372</v>
      </c>
      <c r="P297" s="139">
        <f>Assumptions!$C$6*Assumptions!$C$7*(1+$G297-0.05*(1-$K297))^5+Assumptions!$C$6*Assumptions!$C$8*(1+Assumptions!$C$11)^5+Assumptions!$C$16*$K297+Assumptions!$C$6*Assumptions!$C$9*(1+Assumptions!$C$12)^5</f>
        <v>827.8688416</v>
      </c>
      <c r="Q297" s="139">
        <f>($L297*(1-(Assumptions!$C$25+0.06*(1-1))-Assumptions!$C$27)-Assumptions!$C$28)-MAX(0,($L297*(1-(Assumptions!$C$25+0.06*(1-1))-Assumptions!$C$27)-Assumptions!$C$28)*Assumptions!$C$31)+Assumptions!$C$28-Assumptions!$C$29-$L297*Assumptions!$C$30</f>
        <v>91.63250694</v>
      </c>
      <c r="R297" s="139">
        <f>($M297*(1-(Assumptions!$C$25+0.06*(1-$H297))-Assumptions!$C$27)-Assumptions!$C$28)-MAX(0,($M297*(1-(Assumptions!$C$25+0.06*(1-$H297))-Assumptions!$C$27)-Assumptions!$C$28)*Assumptions!$C$31)+Assumptions!$C$28-Assumptions!$C$29-$M297*Assumptions!$C$30</f>
        <v>96.11241753</v>
      </c>
      <c r="S297" s="139">
        <f>($N297*(1-(Assumptions!$C$25+0.06*(1-$I297))-Assumptions!$C$27)-Assumptions!$C$28)-MAX(0,($N297*(1-(Assumptions!$C$25+0.06*(1-$I297))-Assumptions!$C$27)-Assumptions!$C$28)*Assumptions!$C$31)+Assumptions!$C$28-Assumptions!$C$29-$N297*Assumptions!$C$30</f>
        <v>34.20171381</v>
      </c>
      <c r="T297" s="139">
        <f>($O297*(1-(Assumptions!$C$25+0.06*(1-$J297))-Assumptions!$C$27)-Assumptions!$C$28)-MAX(0,($O297*(1-(Assumptions!$C$25+0.06*(1-$J297))-Assumptions!$C$27)-Assumptions!$C$28)*Assumptions!$C$31)+Assumptions!$C$28-Assumptions!$C$29-$O297*Assumptions!$C$30</f>
        <v>105.5363295</v>
      </c>
      <c r="U297" s="139">
        <f>($P297*(1-(Assumptions!$C$25+0.06*(1-$K297))-Assumptions!$C$27)-Assumptions!$C$28)-MAX(0,($P297*(1-(Assumptions!$C$25+0.06*(1-$K297))-Assumptions!$C$27)-Assumptions!$C$28)*Assumptions!$C$31)+Assumptions!$C$28-Assumptions!$C$29-$P297*Assumptions!$C$30</f>
        <v>110.4918009</v>
      </c>
      <c r="V297" s="143">
        <f>(($Q297/(1+$D297)^1+$R297/(1+$D297)^2+$S297/(1+$D297)^3+$T297/(1+$D297)^4+$U297/(1+$D297)^5+$U297*(1+$E297)/($D297-$E297)/(1+$D297)^5)-Assumptions!$C$37)/Assumptions!$C$40/Assumptions!$C$38</f>
        <v>3.137579841</v>
      </c>
    </row>
    <row r="298" ht="12.0" customHeight="1">
      <c r="B298" s="139">
        <v>246.0</v>
      </c>
      <c r="C298" s="140">
        <f t="shared" si="6"/>
        <v>0.3987957448</v>
      </c>
      <c r="D298" s="141">
        <f t="shared" si="7"/>
        <v>0.09663493569</v>
      </c>
      <c r="E298" s="141">
        <f t="shared" si="8"/>
        <v>0.01871121744</v>
      </c>
      <c r="F298" s="140">
        <f t="shared" si="9"/>
        <v>0.6718881353</v>
      </c>
      <c r="G298" s="141">
        <f t="shared" si="10"/>
        <v>0.06569770882</v>
      </c>
      <c r="H298" s="142">
        <f t="shared" si="11"/>
        <v>0</v>
      </c>
      <c r="I298" s="142">
        <f t="shared" si="12"/>
        <v>1</v>
      </c>
      <c r="J298" s="142">
        <f t="shared" si="13"/>
        <v>1</v>
      </c>
      <c r="K298" s="142">
        <f t="shared" si="14"/>
        <v>1</v>
      </c>
      <c r="L298" s="139">
        <f>Assumptions!$C$6*Assumptions!$C$7*(1+$G298-0.05*(1-1))^1+Assumptions!$C$6*Assumptions!$C$8*(1+Assumptions!$C$11)^1+Assumptions!$C$16*1+Assumptions!$C$6*Assumptions!$C$9*(1+Assumptions!$C$12)^1</f>
        <v>748.5818488</v>
      </c>
      <c r="M298" s="139">
        <f>Assumptions!$C$6*Assumptions!$C$7*(1+$G298-0.05*(1-$H298))^2+Assumptions!$C$6*Assumptions!$C$8*(1+Assumptions!$C$11)^2+Assumptions!$C$16*$H298+Assumptions!$C$6*Assumptions!$C$9*(1+Assumptions!$C$12)^2</f>
        <v>683.7160019</v>
      </c>
      <c r="N298" s="139">
        <f>Assumptions!$C$6*Assumptions!$C$7*(1+$G298-0.05*(1-$I298))^3+Assumptions!$C$6*Assumptions!$C$8*(1+Assumptions!$C$11)^3+Assumptions!$C$16*$I298+Assumptions!$C$6*Assumptions!$C$9*(1+Assumptions!$C$12)^3</f>
        <v>810.5901487</v>
      </c>
      <c r="O298" s="139">
        <f>Assumptions!$C$6*Assumptions!$C$7*(1+$G298-0.05*(1-$J298))^4+Assumptions!$C$6*Assumptions!$C$8*(1+Assumptions!$C$11)^4+Assumptions!$C$16*$J298+Assumptions!$C$6*Assumptions!$C$9*(1+Assumptions!$C$12)^4</f>
        <v>844.2189918</v>
      </c>
      <c r="P298" s="139">
        <f>Assumptions!$C$6*Assumptions!$C$7*(1+$G298-0.05*(1-$K298))^5+Assumptions!$C$6*Assumptions!$C$8*(1+Assumptions!$C$11)^5+Assumptions!$C$16*$K298+Assumptions!$C$6*Assumptions!$C$9*(1+Assumptions!$C$12)^5</f>
        <v>879.7435086</v>
      </c>
      <c r="Q298" s="139">
        <f>($L298*(1-(Assumptions!$C$25+0.06*(1-1))-Assumptions!$C$27)-Assumptions!$C$28)-MAX(0,($L298*(1-(Assumptions!$C$25+0.06*(1-1))-Assumptions!$C$27)-Assumptions!$C$28)*Assumptions!$C$31)+Assumptions!$C$28-Assumptions!$C$29-$L298*Assumptions!$C$30</f>
        <v>93.44509749</v>
      </c>
      <c r="R298" s="139">
        <f>($M298*(1-(Assumptions!$C$25+0.06*(1-$H298))-Assumptions!$C$27)-Assumptions!$C$28)-MAX(0,($M298*(1-(Assumptions!$C$25+0.06*(1-$H298))-Assumptions!$C$27)-Assumptions!$C$28)*Assumptions!$C$31)+Assumptions!$C$28-Assumptions!$C$29-$M298*Assumptions!$C$30</f>
        <v>37.25468044</v>
      </c>
      <c r="S298" s="139">
        <f>($N298*(1-(Assumptions!$C$25+0.06*(1-$I298))-Assumptions!$C$27)-Assumptions!$C$28)-MAX(0,($N298*(1-(Assumptions!$C$25+0.06*(1-$I298))-Assumptions!$C$27)-Assumptions!$C$28)*Assumptions!$C$31)+Assumptions!$C$28-Assumptions!$C$29-$N298*Assumptions!$C$30</f>
        <v>106.776882</v>
      </c>
      <c r="T298" s="139">
        <f>($O298*(1-(Assumptions!$C$25+0.06*(1-$J298))-Assumptions!$C$27)-Assumptions!$C$28)-MAX(0,($O298*(1-(Assumptions!$C$25+0.06*(1-$J298))-Assumptions!$C$27)-Assumptions!$C$28)*Assumptions!$C$31)+Assumptions!$C$28-Assumptions!$C$29-$O298*Assumptions!$C$30</f>
        <v>114.0070832</v>
      </c>
      <c r="U298" s="139">
        <f>($P298*(1-(Assumptions!$C$25+0.06*(1-$K298))-Assumptions!$C$27)-Assumptions!$C$28)-MAX(0,($P298*(1-(Assumptions!$C$25+0.06*(1-$K298))-Assumptions!$C$27)-Assumptions!$C$28)*Assumptions!$C$31)+Assumptions!$C$28-Assumptions!$C$29-$P298*Assumptions!$C$30</f>
        <v>121.6448543</v>
      </c>
      <c r="V298" s="143">
        <f>(($Q298/(1+$D298)^1+$R298/(1+$D298)^2+$S298/(1+$D298)^3+$T298/(1+$D298)^4+$U298/(1+$D298)^5+$U298*(1+$E298)/($D298-$E298)/(1+$D298)^5)-Assumptions!$C$37)/Assumptions!$C$40/Assumptions!$C$38</f>
        <v>5.179216849</v>
      </c>
    </row>
    <row r="299" ht="12.0" customHeight="1">
      <c r="B299" s="139">
        <v>247.0</v>
      </c>
      <c r="C299" s="140">
        <f t="shared" si="6"/>
        <v>0.5879259367</v>
      </c>
      <c r="D299" s="141">
        <f t="shared" si="7"/>
        <v>0.09979560756</v>
      </c>
      <c r="E299" s="141">
        <f t="shared" si="8"/>
        <v>0.02272909741</v>
      </c>
      <c r="F299" s="140">
        <f t="shared" si="9"/>
        <v>0.7948046947</v>
      </c>
      <c r="G299" s="141">
        <f t="shared" si="10"/>
        <v>0.070781479</v>
      </c>
      <c r="H299" s="142">
        <f t="shared" si="11"/>
        <v>1</v>
      </c>
      <c r="I299" s="142">
        <f t="shared" si="12"/>
        <v>1</v>
      </c>
      <c r="J299" s="142">
        <f t="shared" si="13"/>
        <v>1</v>
      </c>
      <c r="K299" s="142">
        <f t="shared" si="14"/>
        <v>0</v>
      </c>
      <c r="L299" s="139">
        <f>Assumptions!$C$6*Assumptions!$C$7*(1+$G299-0.05*(1-1))^1+Assumptions!$C$6*Assumptions!$C$8*(1+Assumptions!$C$11)^1+Assumptions!$C$16*1+Assumptions!$C$6*Assumptions!$C$9*(1+Assumptions!$C$12)^1</f>
        <v>750.2930458</v>
      </c>
      <c r="M299" s="139">
        <f>Assumptions!$C$6*Assumptions!$C$7*(1+$G299-0.05*(1-$H299))^2+Assumptions!$C$6*Assumptions!$C$8*(1+Assumptions!$C$11)^2+Assumptions!$C$16*$H299+Assumptions!$C$6*Assumptions!$C$9*(1+Assumptions!$C$12)^2</f>
        <v>782.4018236</v>
      </c>
      <c r="N299" s="139">
        <f>Assumptions!$C$6*Assumptions!$C$7*(1+$G299-0.05*(1-$I299))^3+Assumptions!$C$6*Assumptions!$C$8*(1+Assumptions!$C$11)^3+Assumptions!$C$16*$I299+Assumptions!$C$6*Assumptions!$C$9*(1+Assumptions!$C$12)^3</f>
        <v>816.4482845</v>
      </c>
      <c r="O299" s="139">
        <f>Assumptions!$C$6*Assumptions!$C$7*(1+$G299-0.05*(1-$J299))^4+Assumptions!$C$6*Assumptions!$C$8*(1+Assumptions!$C$11)^4+Assumptions!$C$16*$J299+Assumptions!$C$6*Assumptions!$C$9*(1+Assumptions!$C$12)^4</f>
        <v>852.5628801</v>
      </c>
      <c r="P299" s="139">
        <f>Assumptions!$C$6*Assumptions!$C$7*(1+$G299-0.05*(1-$K299))^5+Assumptions!$C$6*Assumptions!$C$8*(1+Assumptions!$C$11)^5+Assumptions!$C$16*$K299+Assumptions!$C$6*Assumptions!$C$9*(1+Assumptions!$C$12)^5</f>
        <v>730.1191596</v>
      </c>
      <c r="Q299" s="139">
        <f>($L299*(1-(Assumptions!$C$25+0.06*(1-1))-Assumptions!$C$27)-Assumptions!$C$28)-MAX(0,($L299*(1-(Assumptions!$C$25+0.06*(1-1))-Assumptions!$C$27)-Assumptions!$C$28)*Assumptions!$C$31)+Assumptions!$C$28-Assumptions!$C$29-$L299*Assumptions!$C$30</f>
        <v>93.81300485</v>
      </c>
      <c r="R299" s="139">
        <f>($M299*(1-(Assumptions!$C$25+0.06*(1-$H299))-Assumptions!$C$27)-Assumptions!$C$28)-MAX(0,($M299*(1-(Assumptions!$C$25+0.06*(1-$H299))-Assumptions!$C$27)-Assumptions!$C$28)*Assumptions!$C$31)+Assumptions!$C$28-Assumptions!$C$29-$M299*Assumptions!$C$30</f>
        <v>100.7163921</v>
      </c>
      <c r="S299" s="139">
        <f>($N299*(1-(Assumptions!$C$25+0.06*(1-$I299))-Assumptions!$C$27)-Assumptions!$C$28)-MAX(0,($N299*(1-(Assumptions!$C$25+0.06*(1-$I299))-Assumptions!$C$27)-Assumptions!$C$28)*Assumptions!$C$31)+Assumptions!$C$28-Assumptions!$C$29-$N299*Assumptions!$C$30</f>
        <v>108.0363812</v>
      </c>
      <c r="T299" s="139">
        <f>($O299*(1-(Assumptions!$C$25+0.06*(1-$J299))-Assumptions!$C$27)-Assumptions!$C$28)-MAX(0,($O299*(1-(Assumptions!$C$25+0.06*(1-$J299))-Assumptions!$C$27)-Assumptions!$C$28)*Assumptions!$C$31)+Assumptions!$C$28-Assumptions!$C$29-$O299*Assumptions!$C$30</f>
        <v>115.8010192</v>
      </c>
      <c r="U299" s="139">
        <f>($P299*(1-(Assumptions!$C$25+0.06*(1-$K299))-Assumptions!$C$27)-Assumptions!$C$28)-MAX(0,($P299*(1-(Assumptions!$C$25+0.06*(1-$K299))-Assumptions!$C$27)-Assumptions!$C$28)*Assumptions!$C$31)+Assumptions!$C$28-Assumptions!$C$29-$P299*Assumptions!$C$30</f>
        <v>47.9274067</v>
      </c>
      <c r="V299" s="143">
        <f>(($Q299/(1+$D299)^1+$R299/(1+$D299)^2+$S299/(1+$D299)^3+$T299/(1+$D299)^4+$U299/(1+$D299)^5+$U299*(1+$E299)/($D299-$E299)/(1+$D299)^5)-Assumptions!$C$37)/Assumptions!$C$40/Assumptions!$C$38</f>
        <v>0.4863020256</v>
      </c>
    </row>
    <row r="300" ht="12.0" customHeight="1">
      <c r="B300" s="139">
        <v>248.0</v>
      </c>
      <c r="C300" s="140">
        <f t="shared" si="6"/>
        <v>0.03464903754</v>
      </c>
      <c r="D300" s="141">
        <f t="shared" si="7"/>
        <v>0.08842724725</v>
      </c>
      <c r="E300" s="141">
        <f t="shared" si="8"/>
        <v>0.02393365044</v>
      </c>
      <c r="F300" s="140">
        <f t="shared" si="9"/>
        <v>0.5868714646</v>
      </c>
      <c r="G300" s="141">
        <f t="shared" si="10"/>
        <v>0.06273039488</v>
      </c>
      <c r="H300" s="142">
        <f t="shared" si="11"/>
        <v>1</v>
      </c>
      <c r="I300" s="142">
        <f t="shared" si="12"/>
        <v>0</v>
      </c>
      <c r="J300" s="142">
        <f t="shared" si="13"/>
        <v>0</v>
      </c>
      <c r="K300" s="142">
        <f t="shared" si="14"/>
        <v>1</v>
      </c>
      <c r="L300" s="139">
        <f>Assumptions!$C$6*Assumptions!$C$7*(1+$G300-0.05*(1-1))^1+Assumptions!$C$6*Assumptions!$C$8*(1+Assumptions!$C$11)^1+Assumptions!$C$16*1+Assumptions!$C$6*Assumptions!$C$9*(1+Assumptions!$C$12)^1</f>
        <v>747.5830509</v>
      </c>
      <c r="M300" s="139">
        <f>Assumptions!$C$6*Assumptions!$C$7*(1+$G300-0.05*(1-$H300))^2+Assumptions!$C$6*Assumptions!$C$8*(1+Assumptions!$C$11)^2+Assumptions!$C$16*$H300+Assumptions!$C$6*Assumptions!$C$9*(1+Assumptions!$C$12)^2</f>
        <v>776.6200173</v>
      </c>
      <c r="N300" s="139">
        <f>Assumptions!$C$6*Assumptions!$C$7*(1+$G300-0.05*(1-$I300))^3+Assumptions!$C$6*Assumptions!$C$8*(1+Assumptions!$C$11)^3+Assumptions!$C$16*$I300+Assumptions!$C$6*Assumptions!$C$9*(1+Assumptions!$C$12)^3</f>
        <v>692.8141656</v>
      </c>
      <c r="O300" s="139">
        <f>Assumptions!$C$6*Assumptions!$C$7*(1+$G300-0.05*(1-$J300))^4+Assumptions!$C$6*Assumptions!$C$8*(1+Assumptions!$C$11)^4+Assumptions!$C$16*$J300+Assumptions!$C$6*Assumptions!$C$9*(1+Assumptions!$C$12)^4</f>
        <v>704.1288532</v>
      </c>
      <c r="P300" s="139">
        <f>Assumptions!$C$6*Assumptions!$C$7*(1+$G300-0.05*(1-$K300))^5+Assumptions!$C$6*Assumptions!$C$8*(1+Assumptions!$C$11)^5+Assumptions!$C$16*$K300+Assumptions!$C$6*Assumptions!$C$9*(1+Assumptions!$C$12)^5</f>
        <v>873.3378283</v>
      </c>
      <c r="Q300" s="139">
        <f>($L300*(1-(Assumptions!$C$25+0.06*(1-1))-Assumptions!$C$27)-Assumptions!$C$28)-MAX(0,($L300*(1-(Assumptions!$C$25+0.06*(1-1))-Assumptions!$C$27)-Assumptions!$C$28)*Assumptions!$C$31)+Assumptions!$C$28-Assumptions!$C$29-$L300*Assumptions!$C$30</f>
        <v>93.23035595</v>
      </c>
      <c r="R300" s="139">
        <f>($M300*(1-(Assumptions!$C$25+0.06*(1-$H300))-Assumptions!$C$27)-Assumptions!$C$28)-MAX(0,($M300*(1-(Assumptions!$C$25+0.06*(1-$H300))-Assumptions!$C$27)-Assumptions!$C$28)*Assumptions!$C$31)+Assumptions!$C$28-Assumptions!$C$29-$M300*Assumptions!$C$30</f>
        <v>99.47330372</v>
      </c>
      <c r="S300" s="139">
        <f>($N300*(1-(Assumptions!$C$25+0.06*(1-$I300))-Assumptions!$C$27)-Assumptions!$C$28)-MAX(0,($N300*(1-(Assumptions!$C$25+0.06*(1-$I300))-Assumptions!$C$27)-Assumptions!$C$28)*Assumptions!$C$31)+Assumptions!$C$28-Assumptions!$C$29-$N300*Assumptions!$C$30</f>
        <v>39.34725808</v>
      </c>
      <c r="T300" s="139">
        <f>($O300*(1-(Assumptions!$C$25+0.06*(1-$J300))-Assumptions!$C$27)-Assumptions!$C$28)-MAX(0,($O300*(1-(Assumptions!$C$25+0.06*(1-$J300))-Assumptions!$C$27)-Assumptions!$C$28)*Assumptions!$C$31)+Assumptions!$C$28-Assumptions!$C$29-$O300*Assumptions!$C$30</f>
        <v>41.94963623</v>
      </c>
      <c r="U300" s="139">
        <f>($P300*(1-(Assumptions!$C$25+0.06*(1-$K300))-Assumptions!$C$27)-Assumptions!$C$28)-MAX(0,($P300*(1-(Assumptions!$C$25+0.06*(1-$K300))-Assumptions!$C$27)-Assumptions!$C$28)*Assumptions!$C$31)+Assumptions!$C$28-Assumptions!$C$29-$P300*Assumptions!$C$30</f>
        <v>120.2676331</v>
      </c>
      <c r="V300" s="143">
        <f>(($Q300/(1+$D300)^1+$R300/(1+$D300)^2+$S300/(1+$D300)^3+$T300/(1+$D300)^4+$U300/(1+$D300)^5+$U300*(1+$E300)/($D300-$E300)/(1+$D300)^5)-Assumptions!$C$37)/Assumptions!$C$40/Assumptions!$C$38</f>
        <v>6.766440299</v>
      </c>
    </row>
    <row r="301" ht="12.0" customHeight="1">
      <c r="B301" s="139">
        <v>249.0</v>
      </c>
      <c r="C301" s="140">
        <f t="shared" si="6"/>
        <v>0.3069949729</v>
      </c>
      <c r="D301" s="141">
        <f t="shared" si="7"/>
        <v>0.09520153399</v>
      </c>
      <c r="E301" s="141">
        <f t="shared" si="8"/>
        <v>0.02440403371</v>
      </c>
      <c r="F301" s="140">
        <f t="shared" si="9"/>
        <v>0.5855138233</v>
      </c>
      <c r="G301" s="141">
        <f t="shared" si="10"/>
        <v>0.06268562433</v>
      </c>
      <c r="H301" s="142">
        <f t="shared" si="11"/>
        <v>1</v>
      </c>
      <c r="I301" s="142">
        <f t="shared" si="12"/>
        <v>0</v>
      </c>
      <c r="J301" s="142">
        <f t="shared" si="13"/>
        <v>0</v>
      </c>
      <c r="K301" s="142">
        <f t="shared" si="14"/>
        <v>0</v>
      </c>
      <c r="L301" s="139">
        <f>Assumptions!$C$6*Assumptions!$C$7*(1+$G301-0.05*(1-1))^1+Assumptions!$C$6*Assumptions!$C$8*(1+Assumptions!$C$11)^1+Assumptions!$C$16*1+Assumptions!$C$6*Assumptions!$C$9*(1+Assumptions!$C$12)^1</f>
        <v>747.5679812</v>
      </c>
      <c r="M301" s="139">
        <f>Assumptions!$C$6*Assumptions!$C$7*(1+$G301-0.05*(1-$H301))^2+Assumptions!$C$6*Assumptions!$C$8*(1+Assumptions!$C$11)^2+Assumptions!$C$16*$H301+Assumptions!$C$6*Assumptions!$C$9*(1+Assumptions!$C$12)^2</f>
        <v>776.5879878</v>
      </c>
      <c r="N301" s="139">
        <f>Assumptions!$C$6*Assumptions!$C$7*(1+$G301-0.05*(1-$I301))^3+Assumptions!$C$6*Assumptions!$C$8*(1+Assumptions!$C$11)^3+Assumptions!$C$16*$I301+Assumptions!$C$6*Assumptions!$C$9*(1+Assumptions!$C$12)^3</f>
        <v>692.7677999</v>
      </c>
      <c r="O301" s="139">
        <f>Assumptions!$C$6*Assumptions!$C$7*(1+$G301-0.05*(1-$J301))^4+Assumptions!$C$6*Assumptions!$C$8*(1+Assumptions!$C$11)^4+Assumptions!$C$16*$J301+Assumptions!$C$6*Assumptions!$C$9*(1+Assumptions!$C$12)^4</f>
        <v>704.0662467</v>
      </c>
      <c r="P301" s="139">
        <f>Assumptions!$C$6*Assumptions!$C$7*(1+$G301-0.05*(1-$K301))^5+Assumptions!$C$6*Assumptions!$C$8*(1+Assumptions!$C$11)^5+Assumptions!$C$16*$K301+Assumptions!$C$6*Assumptions!$C$9*(1+Assumptions!$C$12)^5</f>
        <v>715.5582264</v>
      </c>
      <c r="Q301" s="139">
        <f>($L301*(1-(Assumptions!$C$25+0.06*(1-1))-Assumptions!$C$27)-Assumptions!$C$28)-MAX(0,($L301*(1-(Assumptions!$C$25+0.06*(1-1))-Assumptions!$C$27)-Assumptions!$C$28)*Assumptions!$C$31)+Assumptions!$C$28-Assumptions!$C$29-$L301*Assumptions!$C$30</f>
        <v>93.22711595</v>
      </c>
      <c r="R301" s="139">
        <f>($M301*(1-(Assumptions!$C$25+0.06*(1-$H301))-Assumptions!$C$27)-Assumptions!$C$28)-MAX(0,($M301*(1-(Assumptions!$C$25+0.06*(1-$H301))-Assumptions!$C$27)-Assumptions!$C$28)*Assumptions!$C$31)+Assumptions!$C$28-Assumptions!$C$29-$M301*Assumptions!$C$30</f>
        <v>99.46641738</v>
      </c>
      <c r="S301" s="139">
        <f>($N301*(1-(Assumptions!$C$25+0.06*(1-$I301))-Assumptions!$C$27)-Assumptions!$C$28)-MAX(0,($N301*(1-(Assumptions!$C$25+0.06*(1-$I301))-Assumptions!$C$27)-Assumptions!$C$28)*Assumptions!$C$31)+Assumptions!$C$28-Assumptions!$C$29-$N301*Assumptions!$C$30</f>
        <v>39.33659398</v>
      </c>
      <c r="T301" s="139">
        <f>($O301*(1-(Assumptions!$C$25+0.06*(1-$J301))-Assumptions!$C$27)-Assumptions!$C$28)-MAX(0,($O301*(1-(Assumptions!$C$25+0.06*(1-$J301))-Assumptions!$C$27)-Assumptions!$C$28)*Assumptions!$C$31)+Assumptions!$C$28-Assumptions!$C$29-$O301*Assumptions!$C$30</f>
        <v>41.93523674</v>
      </c>
      <c r="U301" s="139">
        <f>($P301*(1-(Assumptions!$C$25+0.06*(1-$K301))-Assumptions!$C$27)-Assumptions!$C$28)-MAX(0,($P301*(1-(Assumptions!$C$25+0.06*(1-$K301))-Assumptions!$C$27)-Assumptions!$C$28)*Assumptions!$C$31)+Assumptions!$C$28-Assumptions!$C$29-$P301*Assumptions!$C$30</f>
        <v>44.57839208</v>
      </c>
      <c r="V301" s="143">
        <f>(($Q301/(1+$D301)^1+$R301/(1+$D301)^2+$S301/(1+$D301)^3+$T301/(1+$D301)^4+$U301/(1+$D301)^5+$U301*(1+$E301)/($D301-$E301)/(1+$D301)^5)-Assumptions!$C$37)/Assumptions!$C$40/Assumptions!$C$38</f>
        <v>-0.209972355</v>
      </c>
    </row>
    <row r="302" ht="12.0" customHeight="1">
      <c r="B302" s="139">
        <v>250.0</v>
      </c>
      <c r="C302" s="140">
        <f t="shared" si="6"/>
        <v>0.5167586383</v>
      </c>
      <c r="D302" s="141">
        <f t="shared" si="7"/>
        <v>0.09853493383</v>
      </c>
      <c r="E302" s="141">
        <f t="shared" si="8"/>
        <v>0.01938862577</v>
      </c>
      <c r="F302" s="140">
        <f t="shared" si="9"/>
        <v>0.5801511833</v>
      </c>
      <c r="G302" s="141">
        <f t="shared" si="10"/>
        <v>0.06250949491</v>
      </c>
      <c r="H302" s="142">
        <f t="shared" si="11"/>
        <v>1</v>
      </c>
      <c r="I302" s="142">
        <f t="shared" si="12"/>
        <v>0</v>
      </c>
      <c r="J302" s="142">
        <f t="shared" si="13"/>
        <v>1</v>
      </c>
      <c r="K302" s="142">
        <f t="shared" si="14"/>
        <v>0</v>
      </c>
      <c r="L302" s="139">
        <f>Assumptions!$C$6*Assumptions!$C$7*(1+$G302-0.05*(1-1))^1+Assumptions!$C$6*Assumptions!$C$8*(1+Assumptions!$C$11)^1+Assumptions!$C$16*1+Assumptions!$C$6*Assumptions!$C$9*(1+Assumptions!$C$12)^1</f>
        <v>747.508696</v>
      </c>
      <c r="M302" s="139">
        <f>Assumptions!$C$6*Assumptions!$C$7*(1+$G302-0.05*(1-$H302))^2+Assumptions!$C$6*Assumptions!$C$8*(1+Assumptions!$C$11)^2+Assumptions!$C$16*$H302+Assumptions!$C$6*Assumptions!$C$9*(1+Assumptions!$C$12)^2</f>
        <v>776.4619953</v>
      </c>
      <c r="N302" s="139">
        <f>Assumptions!$C$6*Assumptions!$C$7*(1+$G302-0.05*(1-$I302))^3+Assumptions!$C$6*Assumptions!$C$8*(1+Assumptions!$C$11)^3+Assumptions!$C$16*$I302+Assumptions!$C$6*Assumptions!$C$9*(1+Assumptions!$C$12)^3</f>
        <v>692.5854351</v>
      </c>
      <c r="O302" s="139">
        <f>Assumptions!$C$6*Assumptions!$C$7*(1+$G302-0.05*(1-$J302))^4+Assumptions!$C$6*Assumptions!$C$8*(1+Assumptions!$C$11)^4+Assumptions!$C$16*$J302+Assumptions!$C$6*Assumptions!$C$9*(1+Assumptions!$C$12)^4</f>
        <v>839.0468042</v>
      </c>
      <c r="P302" s="139">
        <f>Assumptions!$C$6*Assumptions!$C$7*(1+$G302-0.05*(1-$K302))^5+Assumptions!$C$6*Assumptions!$C$8*(1+Assumptions!$C$11)^5+Assumptions!$C$16*$K302+Assumptions!$C$6*Assumptions!$C$9*(1+Assumptions!$C$12)^5</f>
        <v>715.246579</v>
      </c>
      <c r="Q302" s="139">
        <f>($L302*(1-(Assumptions!$C$25+0.06*(1-1))-Assumptions!$C$27)-Assumptions!$C$28)-MAX(0,($L302*(1-(Assumptions!$C$25+0.06*(1-1))-Assumptions!$C$27)-Assumptions!$C$28)*Assumptions!$C$31)+Assumptions!$C$28-Assumptions!$C$29-$L302*Assumptions!$C$30</f>
        <v>93.21436964</v>
      </c>
      <c r="R302" s="139">
        <f>($M302*(1-(Assumptions!$C$25+0.06*(1-$H302))-Assumptions!$C$27)-Assumptions!$C$28)-MAX(0,($M302*(1-(Assumptions!$C$25+0.06*(1-$H302))-Assumptions!$C$27)-Assumptions!$C$28)*Assumptions!$C$31)+Assumptions!$C$28-Assumptions!$C$29-$M302*Assumptions!$C$30</f>
        <v>99.43932898</v>
      </c>
      <c r="S302" s="139">
        <f>($N302*(1-(Assumptions!$C$25+0.06*(1-$I302))-Assumptions!$C$27)-Assumptions!$C$28)-MAX(0,($N302*(1-(Assumptions!$C$25+0.06*(1-$I302))-Assumptions!$C$27)-Assumptions!$C$28)*Assumptions!$C$31)+Assumptions!$C$28-Assumptions!$C$29-$N302*Assumptions!$C$30</f>
        <v>39.29465008</v>
      </c>
      <c r="T302" s="139">
        <f>($O302*(1-(Assumptions!$C$25+0.06*(1-$J302))-Assumptions!$C$27)-Assumptions!$C$28)-MAX(0,($O302*(1-(Assumptions!$C$25+0.06*(1-$J302))-Assumptions!$C$27)-Assumptions!$C$28)*Assumptions!$C$31)+Assumptions!$C$28-Assumptions!$C$29-$O302*Assumptions!$C$30</f>
        <v>112.8950629</v>
      </c>
      <c r="U302" s="139">
        <f>($P302*(1-(Assumptions!$C$25+0.06*(1-$K302))-Assumptions!$C$27)-Assumptions!$C$28)-MAX(0,($P302*(1-(Assumptions!$C$25+0.06*(1-$K302))-Assumptions!$C$27)-Assumptions!$C$28)*Assumptions!$C$31)+Assumptions!$C$28-Assumptions!$C$29-$P302*Assumptions!$C$30</f>
        <v>44.50671317</v>
      </c>
      <c r="V302" s="143">
        <f>(($Q302/(1+$D302)^1+$R302/(1+$D302)^2+$S302/(1+$D302)^3+$T302/(1+$D302)^4+$U302/(1+$D302)^5+$U302*(1+$E302)/($D302-$E302)/(1+$D302)^5)-Assumptions!$C$37)/Assumptions!$C$40/Assumptions!$C$38</f>
        <v>-0.2430849833</v>
      </c>
    </row>
    <row r="303" ht="12.0" customHeight="1">
      <c r="B303" s="139">
        <v>251.0</v>
      </c>
      <c r="C303" s="140">
        <f t="shared" si="6"/>
        <v>0.4518387693</v>
      </c>
      <c r="D303" s="141">
        <f t="shared" si="7"/>
        <v>0.09746379601</v>
      </c>
      <c r="E303" s="141">
        <f t="shared" si="8"/>
        <v>0.01758429822</v>
      </c>
      <c r="F303" s="140">
        <f t="shared" si="9"/>
        <v>0.2233785517</v>
      </c>
      <c r="G303" s="141">
        <f t="shared" si="10"/>
        <v>0.05005196731</v>
      </c>
      <c r="H303" s="142">
        <f t="shared" si="11"/>
        <v>1</v>
      </c>
      <c r="I303" s="142">
        <f t="shared" si="12"/>
        <v>1</v>
      </c>
      <c r="J303" s="142">
        <f t="shared" si="13"/>
        <v>0</v>
      </c>
      <c r="K303" s="142">
        <f t="shared" si="14"/>
        <v>0</v>
      </c>
      <c r="L303" s="139">
        <f>Assumptions!$C$6*Assumptions!$C$7*(1+$G303-0.05*(1-1))^1+Assumptions!$C$6*Assumptions!$C$8*(1+Assumptions!$C$11)^1+Assumptions!$C$16*1+Assumptions!$C$6*Assumptions!$C$9*(1+Assumptions!$C$12)^1</f>
        <v>743.3154922</v>
      </c>
      <c r="M303" s="139">
        <f>Assumptions!$C$6*Assumptions!$C$7*(1+$G303-0.05*(1-$H303))^2+Assumptions!$C$6*Assumptions!$C$8*(1+Assumptions!$C$11)^2+Assumptions!$C$16*$H303+Assumptions!$C$6*Assumptions!$C$9*(1+Assumptions!$C$12)^2</f>
        <v>767.6035945</v>
      </c>
      <c r="N303" s="139">
        <f>Assumptions!$C$6*Assumptions!$C$7*(1+$G303-0.05*(1-$I303))^3+Assumptions!$C$6*Assumptions!$C$8*(1+Assumptions!$C$11)^3+Assumptions!$C$16*$I303+Assumptions!$C$6*Assumptions!$C$9*(1+Assumptions!$C$12)^3</f>
        <v>792.9091005</v>
      </c>
      <c r="O303" s="139">
        <f>Assumptions!$C$6*Assumptions!$C$7*(1+$G303-0.05*(1-$J303))^4+Assumptions!$C$6*Assumptions!$C$8*(1+Assumptions!$C$11)^4+Assumptions!$C$16*$J303+Assumptions!$C$6*Assumptions!$C$9*(1+Assumptions!$C$12)^4</f>
        <v>686.7285348</v>
      </c>
      <c r="P303" s="139">
        <f>Assumptions!$C$6*Assumptions!$C$7*(1+$G303-0.05*(1-$K303))^5+Assumptions!$C$6*Assumptions!$C$8*(1+Assumptions!$C$11)^5+Assumptions!$C$16*$K303+Assumptions!$C$6*Assumptions!$C$9*(1+Assumptions!$C$12)^5</f>
        <v>693.7472018</v>
      </c>
      <c r="Q303" s="139">
        <f>($L303*(1-(Assumptions!$C$25+0.06*(1-1))-Assumptions!$C$27)-Assumptions!$C$28)-MAX(0,($L303*(1-(Assumptions!$C$25+0.06*(1-1))-Assumptions!$C$27)-Assumptions!$C$28)*Assumptions!$C$31)+Assumptions!$C$28-Assumptions!$C$29-$L303*Assumptions!$C$30</f>
        <v>92.31283082</v>
      </c>
      <c r="R303" s="139">
        <f>($M303*(1-(Assumptions!$C$25+0.06*(1-$H303))-Assumptions!$C$27)-Assumptions!$C$28)-MAX(0,($M303*(1-(Assumptions!$C$25+0.06*(1-$H303))-Assumptions!$C$27)-Assumptions!$C$28)*Assumptions!$C$31)+Assumptions!$C$28-Assumptions!$C$29-$M303*Assumptions!$C$30</f>
        <v>97.53477282</v>
      </c>
      <c r="S303" s="139">
        <f>($N303*(1-(Assumptions!$C$25+0.06*(1-$I303))-Assumptions!$C$27)-Assumptions!$C$28)-MAX(0,($N303*(1-(Assumptions!$C$25+0.06*(1-$I303))-Assumptions!$C$27)-Assumptions!$C$28)*Assumptions!$C$31)+Assumptions!$C$28-Assumptions!$C$29-$N303*Assumptions!$C$30</f>
        <v>102.9754566</v>
      </c>
      <c r="T303" s="139">
        <f>($O303*(1-(Assumptions!$C$25+0.06*(1-$J303))-Assumptions!$C$27)-Assumptions!$C$28)-MAX(0,($O303*(1-(Assumptions!$C$25+0.06*(1-$J303))-Assumptions!$C$27)-Assumptions!$C$28)*Assumptions!$C$31)+Assumptions!$C$28-Assumptions!$C$29-$O303*Assumptions!$C$30</f>
        <v>37.947563</v>
      </c>
      <c r="U303" s="139">
        <f>($P303*(1-(Assumptions!$C$25+0.06*(1-$K303))-Assumptions!$C$27)-Assumptions!$C$28)-MAX(0,($P303*(1-(Assumptions!$C$25+0.06*(1-$K303))-Assumptions!$C$27)-Assumptions!$C$28)*Assumptions!$C$31)+Assumptions!$C$28-Assumptions!$C$29-$P303*Assumptions!$C$30</f>
        <v>39.56185642</v>
      </c>
      <c r="V303" s="143">
        <f>(($Q303/(1+$D303)^1+$R303/(1+$D303)^2+$S303/(1+$D303)^3+$T303/(1+$D303)^4+$U303/(1+$D303)^5+$U303*(1+$E303)/($D303-$E303)/(1+$D303)^5)-Assumptions!$C$37)/Assumptions!$C$40/Assumptions!$C$38</f>
        <v>-0.6331198028</v>
      </c>
    </row>
    <row r="304" ht="12.0" customHeight="1">
      <c r="B304" s="139">
        <v>252.0</v>
      </c>
      <c r="C304" s="140">
        <f t="shared" si="6"/>
        <v>0.6746528541</v>
      </c>
      <c r="D304" s="141">
        <f t="shared" si="7"/>
        <v>0.101490013</v>
      </c>
      <c r="E304" s="141">
        <f t="shared" si="8"/>
        <v>0.01832413186</v>
      </c>
      <c r="F304" s="140">
        <f t="shared" si="9"/>
        <v>0.4566157835</v>
      </c>
      <c r="G304" s="141">
        <f t="shared" si="10"/>
        <v>0.05866894505</v>
      </c>
      <c r="H304" s="142">
        <f t="shared" si="11"/>
        <v>1</v>
      </c>
      <c r="I304" s="142">
        <f t="shared" si="12"/>
        <v>1</v>
      </c>
      <c r="J304" s="142">
        <f t="shared" si="13"/>
        <v>0</v>
      </c>
      <c r="K304" s="142">
        <f t="shared" si="14"/>
        <v>1</v>
      </c>
      <c r="L304" s="139">
        <f>Assumptions!$C$6*Assumptions!$C$7*(1+$G304-0.05*(1-1))^1+Assumptions!$C$6*Assumptions!$C$8*(1+Assumptions!$C$11)^1+Assumptions!$C$16*1+Assumptions!$C$6*Assumptions!$C$9*(1+Assumptions!$C$12)^1</f>
        <v>746.2159669</v>
      </c>
      <c r="M304" s="139">
        <f>Assumptions!$C$6*Assumptions!$C$7*(1+$G304-0.05*(1-$H304))^2+Assumptions!$C$6*Assumptions!$C$8*(1+Assumptions!$C$11)^2+Assumptions!$C$16*$H304+Assumptions!$C$6*Assumptions!$C$9*(1+Assumptions!$C$12)^2</f>
        <v>773.7198862</v>
      </c>
      <c r="N304" s="139">
        <f>Assumptions!$C$6*Assumptions!$C$7*(1+$G304-0.05*(1-$I304))^3+Assumptions!$C$6*Assumptions!$C$8*(1+Assumptions!$C$11)^3+Assumptions!$C$16*$I304+Assumptions!$C$6*Assumptions!$C$9*(1+Assumptions!$C$12)^3</f>
        <v>802.5823185</v>
      </c>
      <c r="O304" s="139">
        <f>Assumptions!$C$6*Assumptions!$C$7*(1+$G304-0.05*(1-$J304))^4+Assumptions!$C$6*Assumptions!$C$8*(1+Assumptions!$C$11)^4+Assumptions!$C$16*$J304+Assumptions!$C$6*Assumptions!$C$9*(1+Assumptions!$C$12)^4</f>
        <v>698.4830814</v>
      </c>
      <c r="P304" s="139">
        <f>Assumptions!$C$6*Assumptions!$C$7*(1+$G304-0.05*(1-$K304))^5+Assumptions!$C$6*Assumptions!$C$8*(1+Assumptions!$C$11)^5+Assumptions!$C$16*$K304+Assumptions!$C$6*Assumptions!$C$9*(1+Assumptions!$C$12)^5</f>
        <v>864.6853977</v>
      </c>
      <c r="Q304" s="139">
        <f>($L304*(1-(Assumptions!$C$25+0.06*(1-1))-Assumptions!$C$27)-Assumptions!$C$28)-MAX(0,($L304*(1-(Assumptions!$C$25+0.06*(1-1))-Assumptions!$C$27)-Assumptions!$C$28)*Assumptions!$C$31)+Assumptions!$C$28-Assumptions!$C$29-$L304*Assumptions!$C$30</f>
        <v>92.93643288</v>
      </c>
      <c r="R304" s="139">
        <f>($M304*(1-(Assumptions!$C$25+0.06*(1-$H304))-Assumptions!$C$27)-Assumptions!$C$28)-MAX(0,($M304*(1-(Assumptions!$C$25+0.06*(1-$H304))-Assumptions!$C$27)-Assumptions!$C$28)*Assumptions!$C$31)+Assumptions!$C$28-Assumptions!$C$29-$M304*Assumptions!$C$30</f>
        <v>98.84977553</v>
      </c>
      <c r="S304" s="139">
        <f>($N304*(1-(Assumptions!$C$25+0.06*(1-$I304))-Assumptions!$C$27)-Assumptions!$C$28)-MAX(0,($N304*(1-(Assumptions!$C$25+0.06*(1-$I304))-Assumptions!$C$27)-Assumptions!$C$28)*Assumptions!$C$31)+Assumptions!$C$28-Assumptions!$C$29-$N304*Assumptions!$C$30</f>
        <v>105.0551985</v>
      </c>
      <c r="T304" s="139">
        <f>($O304*(1-(Assumptions!$C$25+0.06*(1-$J304))-Assumptions!$C$27)-Assumptions!$C$28)-MAX(0,($O304*(1-(Assumptions!$C$25+0.06*(1-$J304))-Assumptions!$C$27)-Assumptions!$C$28)*Assumptions!$C$31)+Assumptions!$C$28-Assumptions!$C$29-$O304*Assumptions!$C$30</f>
        <v>40.65110872</v>
      </c>
      <c r="U304" s="139">
        <f>($P304*(1-(Assumptions!$C$25+0.06*(1-$K304))-Assumptions!$C$27)-Assumptions!$C$28)-MAX(0,($P304*(1-(Assumptions!$C$25+0.06*(1-$K304))-Assumptions!$C$27)-Assumptions!$C$28)*Assumptions!$C$31)+Assumptions!$C$28-Assumptions!$C$29-$P304*Assumptions!$C$30</f>
        <v>118.4073605</v>
      </c>
      <c r="V304" s="143">
        <f>(($Q304/(1+$D304)^1+$R304/(1+$D304)^2+$S304/(1+$D304)^3+$T304/(1+$D304)^4+$U304/(1+$D304)^5+$U304*(1+$E304)/($D304-$E304)/(1+$D304)^5)-Assumptions!$C$37)/Assumptions!$C$40/Assumptions!$C$38</f>
        <v>4.273141048</v>
      </c>
    </row>
    <row r="305" ht="12.0" customHeight="1">
      <c r="B305" s="139">
        <v>253.0</v>
      </c>
      <c r="C305" s="140">
        <f t="shared" si="6"/>
        <v>0.3176038433</v>
      </c>
      <c r="D305" s="141">
        <f t="shared" si="7"/>
        <v>0.09537630488</v>
      </c>
      <c r="E305" s="141">
        <f t="shared" si="8"/>
        <v>0.01120856743</v>
      </c>
      <c r="F305" s="140">
        <f t="shared" si="9"/>
        <v>0.5328696528</v>
      </c>
      <c r="G305" s="141">
        <f t="shared" si="10"/>
        <v>0.06100285143</v>
      </c>
      <c r="H305" s="142">
        <f t="shared" si="11"/>
        <v>0</v>
      </c>
      <c r="I305" s="142">
        <f t="shared" si="12"/>
        <v>1</v>
      </c>
      <c r="J305" s="142">
        <f t="shared" si="13"/>
        <v>1</v>
      </c>
      <c r="K305" s="142">
        <f t="shared" si="14"/>
        <v>0</v>
      </c>
      <c r="L305" s="139">
        <f>Assumptions!$C$6*Assumptions!$C$7*(1+$G305-0.05*(1-1))^1+Assumptions!$C$6*Assumptions!$C$8*(1+Assumptions!$C$11)^1+Assumptions!$C$16*1+Assumptions!$C$6*Assumptions!$C$9*(1+Assumptions!$C$12)^1</f>
        <v>747.0015598</v>
      </c>
      <c r="M305" s="139">
        <f>Assumptions!$C$6*Assumptions!$C$7*(1+$G305-0.05*(1-$H305))^2+Assumptions!$C$6*Assumptions!$C$8*(1+Assumptions!$C$11)^2+Assumptions!$C$16*$H305+Assumptions!$C$6*Assumptions!$C$9*(1+Assumptions!$C$12)^2</f>
        <v>680.5132293</v>
      </c>
      <c r="N305" s="139">
        <f>Assumptions!$C$6*Assumptions!$C$7*(1+$G305-0.05*(1-$I305))^3+Assumptions!$C$6*Assumptions!$C$8*(1+Assumptions!$C$11)^3+Assumptions!$C$16*$I305+Assumptions!$C$6*Assumptions!$C$9*(1+Assumptions!$C$12)^3</f>
        <v>805.2295762</v>
      </c>
      <c r="O305" s="139">
        <f>Assumptions!$C$6*Assumptions!$C$7*(1+$G305-0.05*(1-$J305))^4+Assumptions!$C$6*Assumptions!$C$8*(1+Assumptions!$C$11)^4+Assumptions!$C$16*$J305+Assumptions!$C$6*Assumptions!$C$9*(1+Assumptions!$C$12)^4</f>
        <v>836.6187454</v>
      </c>
      <c r="P305" s="139">
        <f>Assumptions!$C$6*Assumptions!$C$7*(1+$G305-0.05*(1-$K305))^5+Assumptions!$C$6*Assumptions!$C$8*(1+Assumptions!$C$11)^5+Assumptions!$C$16*$K305+Assumptions!$C$6*Assumptions!$C$9*(1+Assumptions!$C$12)^5</f>
        <v>712.5895363</v>
      </c>
      <c r="Q305" s="139">
        <f>($L305*(1-(Assumptions!$C$25+0.06*(1-1))-Assumptions!$C$27)-Assumptions!$C$28)-MAX(0,($L305*(1-(Assumptions!$C$25+0.06*(1-1))-Assumptions!$C$27)-Assumptions!$C$28)*Assumptions!$C$31)+Assumptions!$C$28-Assumptions!$C$29-$L305*Assumptions!$C$30</f>
        <v>93.10533536</v>
      </c>
      <c r="R305" s="139">
        <f>($M305*(1-(Assumptions!$C$25+0.06*(1-$H305))-Assumptions!$C$27)-Assumptions!$C$28)-MAX(0,($M305*(1-(Assumptions!$C$25+0.06*(1-$H305))-Assumptions!$C$27)-Assumptions!$C$28)*Assumptions!$C$31)+Assumptions!$C$28-Assumptions!$C$29-$M305*Assumptions!$C$30</f>
        <v>36.51804274</v>
      </c>
      <c r="S305" s="139">
        <f>($N305*(1-(Assumptions!$C$25+0.06*(1-$I305))-Assumptions!$C$27)-Assumptions!$C$28)-MAX(0,($N305*(1-(Assumptions!$C$25+0.06*(1-$I305))-Assumptions!$C$27)-Assumptions!$C$28)*Assumptions!$C$31)+Assumptions!$C$28-Assumptions!$C$29-$N305*Assumptions!$C$30</f>
        <v>105.6243589</v>
      </c>
      <c r="T305" s="139">
        <f>($O305*(1-(Assumptions!$C$25+0.06*(1-$J305))-Assumptions!$C$27)-Assumptions!$C$28)-MAX(0,($O305*(1-(Assumptions!$C$25+0.06*(1-$J305))-Assumptions!$C$27)-Assumptions!$C$28)*Assumptions!$C$31)+Assumptions!$C$28-Assumptions!$C$29-$O305*Assumptions!$C$30</f>
        <v>112.3730303</v>
      </c>
      <c r="U305" s="139">
        <f>($P305*(1-(Assumptions!$C$25+0.06*(1-$K305))-Assumptions!$C$27)-Assumptions!$C$28)-MAX(0,($P305*(1-(Assumptions!$C$25+0.06*(1-$K305))-Assumptions!$C$27)-Assumptions!$C$28)*Assumptions!$C$31)+Assumptions!$C$28-Assumptions!$C$29-$P305*Assumptions!$C$30</f>
        <v>43.89559334</v>
      </c>
      <c r="V305" s="143">
        <f>(($Q305/(1+$D305)^1+$R305/(1+$D305)^2+$S305/(1+$D305)^3+$T305/(1+$D305)^4+$U305/(1+$D305)^5+$U305*(1+$E305)/($D305-$E305)/(1+$D305)^5)-Assumptions!$C$37)/Assumptions!$C$40/Assumptions!$C$38</f>
        <v>-0.4337596405</v>
      </c>
    </row>
    <row r="306" ht="12.0" customHeight="1">
      <c r="B306" s="139">
        <v>254.0</v>
      </c>
      <c r="C306" s="140">
        <f t="shared" si="6"/>
        <v>0.088092305</v>
      </c>
      <c r="D306" s="141">
        <f t="shared" si="7"/>
        <v>0.09046473159</v>
      </c>
      <c r="E306" s="141">
        <f t="shared" si="8"/>
        <v>0.0132149408</v>
      </c>
      <c r="F306" s="140">
        <f t="shared" si="9"/>
        <v>0.3504871805</v>
      </c>
      <c r="G306" s="141">
        <f t="shared" si="10"/>
        <v>0.05511726349</v>
      </c>
      <c r="H306" s="142">
        <f t="shared" si="11"/>
        <v>1</v>
      </c>
      <c r="I306" s="142">
        <f t="shared" si="12"/>
        <v>0</v>
      </c>
      <c r="J306" s="142">
        <f t="shared" si="13"/>
        <v>1</v>
      </c>
      <c r="K306" s="142">
        <f t="shared" si="14"/>
        <v>1</v>
      </c>
      <c r="L306" s="139">
        <f>Assumptions!$C$6*Assumptions!$C$7*(1+$G306-0.05*(1-1))^1+Assumptions!$C$6*Assumptions!$C$8*(1+Assumptions!$C$11)^1+Assumptions!$C$16*1+Assumptions!$C$6*Assumptions!$C$9*(1+Assumptions!$C$12)^1</f>
        <v>745.0204709</v>
      </c>
      <c r="M306" s="139">
        <f>Assumptions!$C$6*Assumptions!$C$7*(1+$G306-0.05*(1-$H306))^2+Assumptions!$C$6*Assumptions!$C$8*(1+Assumptions!$C$11)^2+Assumptions!$C$16*$H306+Assumptions!$C$6*Assumptions!$C$9*(1+Assumptions!$C$12)^2</f>
        <v>771.1928632</v>
      </c>
      <c r="N306" s="139">
        <f>Assumptions!$C$6*Assumptions!$C$7*(1+$G306-0.05*(1-$I306))^3+Assumptions!$C$6*Assumptions!$C$8*(1+Assumptions!$C$11)^3+Assumptions!$C$16*$I306+Assumptions!$C$6*Assumptions!$C$9*(1+Assumptions!$C$12)^3</f>
        <v>684.988568</v>
      </c>
      <c r="O306" s="139">
        <f>Assumptions!$C$6*Assumptions!$C$7*(1+$G306-0.05*(1-$J306))^4+Assumptions!$C$6*Assumptions!$C$8*(1+Assumptions!$C$11)^4+Assumptions!$C$16*$J306+Assumptions!$C$6*Assumptions!$C$9*(1+Assumptions!$C$12)^4</f>
        <v>827.2323623</v>
      </c>
      <c r="P306" s="139">
        <f>Assumptions!$C$6*Assumptions!$C$7*(1+$G306-0.05*(1-$K306))^5+Assumptions!$C$6*Assumptions!$C$8*(1+Assumptions!$C$11)^5+Assumptions!$C$16*$K306+Assumptions!$C$6*Assumptions!$C$9*(1+Assumptions!$C$12)^5</f>
        <v>857.2270118</v>
      </c>
      <c r="Q306" s="139">
        <f>($L306*(1-(Assumptions!$C$25+0.06*(1-1))-Assumptions!$C$27)-Assumptions!$C$28)-MAX(0,($L306*(1-(Assumptions!$C$25+0.06*(1-1))-Assumptions!$C$27)-Assumptions!$C$28)*Assumptions!$C$31)+Assumptions!$C$28-Assumptions!$C$29-$L306*Assumptions!$C$30</f>
        <v>92.67940124</v>
      </c>
      <c r="R306" s="139">
        <f>($M306*(1-(Assumptions!$C$25+0.06*(1-$H306))-Assumptions!$C$27)-Assumptions!$C$28)-MAX(0,($M306*(1-(Assumptions!$C$25+0.06*(1-$H306))-Assumptions!$C$27)-Assumptions!$C$28)*Assumptions!$C$31)+Assumptions!$C$28-Assumptions!$C$29-$M306*Assumptions!$C$30</f>
        <v>98.30646559</v>
      </c>
      <c r="S306" s="139">
        <f>($N306*(1-(Assumptions!$C$25+0.06*(1-$I306))-Assumptions!$C$27)-Assumptions!$C$28)-MAX(0,($N306*(1-(Assumptions!$C$25+0.06*(1-$I306))-Assumptions!$C$27)-Assumptions!$C$28)*Assumptions!$C$31)+Assumptions!$C$28-Assumptions!$C$29-$N306*Assumptions!$C$30</f>
        <v>37.54737064</v>
      </c>
      <c r="T306" s="139">
        <f>($O306*(1-(Assumptions!$C$25+0.06*(1-$J306))-Assumptions!$C$27)-Assumptions!$C$28)-MAX(0,($O306*(1-(Assumptions!$C$25+0.06*(1-$J306))-Assumptions!$C$27)-Assumptions!$C$28)*Assumptions!$C$31)+Assumptions!$C$28-Assumptions!$C$29-$O306*Assumptions!$C$30</f>
        <v>110.3549579</v>
      </c>
      <c r="U306" s="139">
        <f>($P306*(1-(Assumptions!$C$25+0.06*(1-$K306))-Assumptions!$C$27)-Assumptions!$C$28)-MAX(0,($P306*(1-(Assumptions!$C$25+0.06*(1-$K306))-Assumptions!$C$27)-Assumptions!$C$28)*Assumptions!$C$31)+Assumptions!$C$28-Assumptions!$C$29-$P306*Assumptions!$C$30</f>
        <v>116.8038075</v>
      </c>
      <c r="V306" s="143">
        <f>(($Q306/(1+$D306)^1+$R306/(1+$D306)^2+$S306/(1+$D306)^3+$T306/(1+$D306)^4+$U306/(1+$D306)^5+$U306*(1+$E306)/($D306-$E306)/(1+$D306)^5)-Assumptions!$C$37)/Assumptions!$C$40/Assumptions!$C$38</f>
        <v>5.090508928</v>
      </c>
    </row>
    <row r="307" ht="12.0" customHeight="1">
      <c r="B307" s="139">
        <v>255.0</v>
      </c>
      <c r="C307" s="140">
        <f t="shared" si="6"/>
        <v>0.08954744921</v>
      </c>
      <c r="D307" s="141">
        <f t="shared" si="7"/>
        <v>0.09050968105</v>
      </c>
      <c r="E307" s="141">
        <f t="shared" si="8"/>
        <v>0.02260846595</v>
      </c>
      <c r="F307" s="140">
        <f t="shared" si="9"/>
        <v>0.8922773919</v>
      </c>
      <c r="G307" s="141">
        <f t="shared" si="10"/>
        <v>0.07607517703</v>
      </c>
      <c r="H307" s="142">
        <f t="shared" si="11"/>
        <v>1</v>
      </c>
      <c r="I307" s="142">
        <f t="shared" si="12"/>
        <v>1</v>
      </c>
      <c r="J307" s="142">
        <f t="shared" si="13"/>
        <v>1</v>
      </c>
      <c r="K307" s="142">
        <f t="shared" si="14"/>
        <v>0</v>
      </c>
      <c r="L307" s="139">
        <f>Assumptions!$C$6*Assumptions!$C$7*(1+$G307-0.05*(1-1))^1+Assumptions!$C$6*Assumptions!$C$8*(1+Assumptions!$C$11)^1+Assumptions!$C$16*1+Assumptions!$C$6*Assumptions!$C$9*(1+Assumptions!$C$12)^1</f>
        <v>752.0749046</v>
      </c>
      <c r="M307" s="139">
        <f>Assumptions!$C$6*Assumptions!$C$7*(1+$G307-0.05*(1-$H307))^2+Assumptions!$C$6*Assumptions!$C$8*(1+Assumptions!$C$11)^2+Assumptions!$C$16*$H307+Assumptions!$C$6*Assumptions!$C$9*(1+Assumptions!$C$12)^2</f>
        <v>786.227219</v>
      </c>
      <c r="N307" s="139">
        <f>Assumptions!$C$6*Assumptions!$C$7*(1+$G307-0.05*(1-$I307))^3+Assumptions!$C$6*Assumptions!$C$8*(1+Assumptions!$C$11)^3+Assumptions!$C$16*$I307+Assumptions!$C$6*Assumptions!$C$9*(1+Assumptions!$C$12)^3</f>
        <v>822.6077286</v>
      </c>
      <c r="O307" s="139">
        <f>Assumptions!$C$6*Assumptions!$C$7*(1+$G307-0.05*(1-$J307))^4+Assumptions!$C$6*Assumptions!$C$8*(1+Assumptions!$C$11)^4+Assumptions!$C$16*$J307+Assumptions!$C$6*Assumptions!$C$9*(1+Assumptions!$C$12)^4</f>
        <v>861.3785448</v>
      </c>
      <c r="P307" s="139">
        <f>Assumptions!$C$6*Assumptions!$C$7*(1+$G307-0.05*(1-$K307))^5+Assumptions!$C$6*Assumptions!$C$8*(1+Assumptions!$C$11)^5+Assumptions!$C$16*$K307+Assumptions!$C$6*Assumptions!$C$9*(1+Assumptions!$C$12)^5</f>
        <v>739.8933057</v>
      </c>
      <c r="Q307" s="139">
        <f>($L307*(1-(Assumptions!$C$25+0.06*(1-1))-Assumptions!$C$27)-Assumptions!$C$28)-MAX(0,($L307*(1-(Assumptions!$C$25+0.06*(1-1))-Assumptions!$C$27)-Assumptions!$C$28)*Assumptions!$C$31)+Assumptions!$C$28-Assumptions!$C$29-$L307*Assumptions!$C$30</f>
        <v>94.19610449</v>
      </c>
      <c r="R307" s="139">
        <f>($M307*(1-(Assumptions!$C$25+0.06*(1-$H307))-Assumptions!$C$27)-Assumptions!$C$28)-MAX(0,($M307*(1-(Assumptions!$C$25+0.06*(1-$H307))-Assumptions!$C$27)-Assumptions!$C$28)*Assumptions!$C$31)+Assumptions!$C$28-Assumptions!$C$29-$M307*Assumptions!$C$30</f>
        <v>101.5388521</v>
      </c>
      <c r="S307" s="139">
        <f>($N307*(1-(Assumptions!$C$25+0.06*(1-$I307))-Assumptions!$C$27)-Assumptions!$C$28)-MAX(0,($N307*(1-(Assumptions!$C$25+0.06*(1-$I307))-Assumptions!$C$27)-Assumptions!$C$28)*Assumptions!$C$31)+Assumptions!$C$28-Assumptions!$C$29-$N307*Assumptions!$C$30</f>
        <v>109.3606616</v>
      </c>
      <c r="T307" s="139">
        <f>($O307*(1-(Assumptions!$C$25+0.06*(1-$J307))-Assumptions!$C$27)-Assumptions!$C$28)-MAX(0,($O307*(1-(Assumptions!$C$25+0.06*(1-$J307))-Assumptions!$C$27)-Assumptions!$C$28)*Assumptions!$C$31)+Assumptions!$C$28-Assumptions!$C$29-$O307*Assumptions!$C$30</f>
        <v>117.6963871</v>
      </c>
      <c r="U307" s="139">
        <f>($P307*(1-(Assumptions!$C$25+0.06*(1-$K307))-Assumptions!$C$27)-Assumptions!$C$28)-MAX(0,($P307*(1-(Assumptions!$C$25+0.06*(1-$K307))-Assumptions!$C$27)-Assumptions!$C$28)*Assumptions!$C$31)+Assumptions!$C$28-Assumptions!$C$29-$P307*Assumptions!$C$30</f>
        <v>50.1754603</v>
      </c>
      <c r="V307" s="143">
        <f>(($Q307/(1+$D307)^1+$R307/(1+$D307)^2+$S307/(1+$D307)^3+$T307/(1+$D307)^4+$U307/(1+$D307)^5+$U307*(1+$E307)/($D307-$E307)/(1+$D307)^5)-Assumptions!$C$37)/Assumptions!$C$40/Assumptions!$C$38</f>
        <v>1.327643262</v>
      </c>
    </row>
    <row r="308" ht="12.0" customHeight="1">
      <c r="B308" s="139">
        <v>256.0</v>
      </c>
      <c r="C308" s="140">
        <f t="shared" si="6"/>
        <v>0.611188848</v>
      </c>
      <c r="D308" s="141">
        <f t="shared" si="7"/>
        <v>0.1002310103</v>
      </c>
      <c r="E308" s="141">
        <f t="shared" si="8"/>
        <v>0.01866863318</v>
      </c>
      <c r="F308" s="140">
        <f t="shared" si="9"/>
        <v>0.1884632357</v>
      </c>
      <c r="G308" s="141">
        <f t="shared" si="10"/>
        <v>0.04841830134</v>
      </c>
      <c r="H308" s="142">
        <f t="shared" si="11"/>
        <v>0</v>
      </c>
      <c r="I308" s="142">
        <f t="shared" si="12"/>
        <v>1</v>
      </c>
      <c r="J308" s="142">
        <f t="shared" si="13"/>
        <v>0</v>
      </c>
      <c r="K308" s="142">
        <f t="shared" si="14"/>
        <v>0</v>
      </c>
      <c r="L308" s="139">
        <f>Assumptions!$C$6*Assumptions!$C$7*(1+$G308-0.05*(1-1))^1+Assumptions!$C$6*Assumptions!$C$8*(1+Assumptions!$C$11)^1+Assumptions!$C$16*1+Assumptions!$C$6*Assumptions!$C$9*(1+Assumptions!$C$12)^1</f>
        <v>742.7656002</v>
      </c>
      <c r="M308" s="139">
        <f>Assumptions!$C$6*Assumptions!$C$7*(1+$G308-0.05*(1-$H308))^2+Assumptions!$C$6*Assumptions!$C$8*(1+Assumptions!$C$11)^2+Assumptions!$C$16*$H308+Assumptions!$C$6*Assumptions!$C$9*(1+Assumptions!$C$12)^2</f>
        <v>672.0014026</v>
      </c>
      <c r="N308" s="139">
        <f>Assumptions!$C$6*Assumptions!$C$7*(1+$G308-0.05*(1-$I308))^3+Assumptions!$C$6*Assumptions!$C$8*(1+Assumptions!$C$11)^3+Assumptions!$C$16*$I308+Assumptions!$C$6*Assumptions!$C$9*(1+Assumptions!$C$12)^3</f>
        <v>791.0929812</v>
      </c>
      <c r="O308" s="139">
        <f>Assumptions!$C$6*Assumptions!$C$7*(1+$G308-0.05*(1-$J308))^4+Assumptions!$C$6*Assumptions!$C$8*(1+Assumptions!$C$11)^4+Assumptions!$C$16*$J308+Assumptions!$C$6*Assumptions!$C$9*(1+Assumptions!$C$12)^4</f>
        <v>684.5340087</v>
      </c>
      <c r="P308" s="139">
        <f>Assumptions!$C$6*Assumptions!$C$7*(1+$G308-0.05*(1-$K308))^5+Assumptions!$C$6*Assumptions!$C$8*(1+Assumptions!$C$11)^5+Assumptions!$C$16*$K308+Assumptions!$C$6*Assumptions!$C$9*(1+Assumptions!$C$12)^5</f>
        <v>691.0061406</v>
      </c>
      <c r="Q308" s="139">
        <f>($L308*(1-(Assumptions!$C$25+0.06*(1-1))-Assumptions!$C$27)-Assumptions!$C$28)-MAX(0,($L308*(1-(Assumptions!$C$25+0.06*(1-1))-Assumptions!$C$27)-Assumptions!$C$28)*Assumptions!$C$31)+Assumptions!$C$28-Assumptions!$C$29-$L308*Assumptions!$C$30</f>
        <v>92.19460405</v>
      </c>
      <c r="R308" s="139">
        <f>($M308*(1-(Assumptions!$C$25+0.06*(1-$H308))-Assumptions!$C$27)-Assumptions!$C$28)-MAX(0,($M308*(1-(Assumptions!$C$25+0.06*(1-$H308))-Assumptions!$C$27)-Assumptions!$C$28)*Assumptions!$C$31)+Assumptions!$C$28-Assumptions!$C$29-$M308*Assumptions!$C$30</f>
        <v>34.56032259</v>
      </c>
      <c r="S308" s="139">
        <f>($N308*(1-(Assumptions!$C$25+0.06*(1-$I308))-Assumptions!$C$27)-Assumptions!$C$28)-MAX(0,($N308*(1-(Assumptions!$C$25+0.06*(1-$I308))-Assumptions!$C$27)-Assumptions!$C$28)*Assumptions!$C$31)+Assumptions!$C$28-Assumptions!$C$29-$N308*Assumptions!$C$30</f>
        <v>102.584991</v>
      </c>
      <c r="T308" s="139">
        <f>($O308*(1-(Assumptions!$C$25+0.06*(1-$J308))-Assumptions!$C$27)-Assumptions!$C$28)-MAX(0,($O308*(1-(Assumptions!$C$25+0.06*(1-$J308))-Assumptions!$C$27)-Assumptions!$C$28)*Assumptions!$C$31)+Assumptions!$C$28-Assumptions!$C$29-$O308*Assumptions!$C$30</f>
        <v>37.44282201</v>
      </c>
      <c r="U308" s="139">
        <f>($P308*(1-(Assumptions!$C$25+0.06*(1-$K308))-Assumptions!$C$27)-Assumptions!$C$28)-MAX(0,($P308*(1-(Assumptions!$C$25+0.06*(1-$K308))-Assumptions!$C$27)-Assumptions!$C$28)*Assumptions!$C$31)+Assumptions!$C$28-Assumptions!$C$29-$P308*Assumptions!$C$30</f>
        <v>38.93141233</v>
      </c>
      <c r="V308" s="143">
        <f>(($Q308/(1+$D308)^1+$R308/(1+$D308)^2+$S308/(1+$D308)^3+$T308/(1+$D308)^4+$U308/(1+$D308)^5+$U308*(1+$E308)/($D308-$E308)/(1+$D308)^5)-Assumptions!$C$37)/Assumptions!$C$40/Assumptions!$C$38</f>
        <v>-1.178662019</v>
      </c>
    </row>
    <row r="309" ht="12.0" customHeight="1">
      <c r="B309" s="139">
        <v>257.0</v>
      </c>
      <c r="C309" s="140">
        <f t="shared" si="6"/>
        <v>0.6100046838</v>
      </c>
      <c r="D309" s="141">
        <f t="shared" si="7"/>
        <v>0.1002085372</v>
      </c>
      <c r="E309" s="141">
        <f t="shared" si="8"/>
        <v>0.01936251923</v>
      </c>
      <c r="F309" s="140">
        <f t="shared" si="9"/>
        <v>0.2486097236</v>
      </c>
      <c r="G309" s="141">
        <f t="shared" si="10"/>
        <v>0.05115413677</v>
      </c>
      <c r="H309" s="142">
        <f t="shared" si="11"/>
        <v>0</v>
      </c>
      <c r="I309" s="142">
        <f t="shared" si="12"/>
        <v>1</v>
      </c>
      <c r="J309" s="142">
        <f t="shared" si="13"/>
        <v>1</v>
      </c>
      <c r="K309" s="142">
        <f t="shared" si="14"/>
        <v>0</v>
      </c>
      <c r="L309" s="139">
        <f>Assumptions!$C$6*Assumptions!$C$7*(1+$G309-0.05*(1-1))^1+Assumptions!$C$6*Assumptions!$C$8*(1+Assumptions!$C$11)^1+Assumptions!$C$16*1+Assumptions!$C$6*Assumptions!$C$9*(1+Assumptions!$C$12)^1</f>
        <v>743.6864824</v>
      </c>
      <c r="M309" s="139">
        <f>Assumptions!$C$6*Assumptions!$C$7*(1+$G309-0.05*(1-$H309))^2+Assumptions!$C$6*Assumptions!$C$8*(1+Assumptions!$C$11)^2+Assumptions!$C$16*$H309+Assumptions!$C$6*Assumptions!$C$9*(1+Assumptions!$C$12)^2</f>
        <v>673.8427732</v>
      </c>
      <c r="N309" s="139">
        <f>Assumptions!$C$6*Assumptions!$C$7*(1+$G309-0.05*(1-$I309))^3+Assumptions!$C$6*Assumptions!$C$8*(1+Assumptions!$C$11)^3+Assumptions!$C$16*$I309+Assumptions!$C$6*Assumptions!$C$9*(1+Assumptions!$C$12)^3</f>
        <v>794.1375607</v>
      </c>
      <c r="O309" s="139">
        <f>Assumptions!$C$6*Assumptions!$C$7*(1+$G309-0.05*(1-$J309))^4+Assumptions!$C$6*Assumptions!$C$8*(1+Assumptions!$C$11)^4+Assumptions!$C$16*$J309+Assumptions!$C$6*Assumptions!$C$9*(1+Assumptions!$C$12)^4</f>
        <v>820.9998003</v>
      </c>
      <c r="P309" s="139">
        <f>Assumptions!$C$6*Assumptions!$C$7*(1+$G309-0.05*(1-$K309))^5+Assumptions!$C$6*Assumptions!$C$8*(1+Assumptions!$C$11)^5+Assumptions!$C$16*$K309+Assumptions!$C$6*Assumptions!$C$9*(1+Assumptions!$C$12)^5</f>
        <v>695.6066327</v>
      </c>
      <c r="Q309" s="139">
        <f>($L309*(1-(Assumptions!$C$25+0.06*(1-1))-Assumptions!$C$27)-Assumptions!$C$28)-MAX(0,($L309*(1-(Assumptions!$C$25+0.06*(1-1))-Assumptions!$C$27)-Assumptions!$C$28)*Assumptions!$C$31)+Assumptions!$C$28-Assumptions!$C$29-$L309*Assumptions!$C$30</f>
        <v>92.39259372</v>
      </c>
      <c r="R309" s="139">
        <f>($M309*(1-(Assumptions!$C$25+0.06*(1-$H309))-Assumptions!$C$27)-Assumptions!$C$28)-MAX(0,($M309*(1-(Assumptions!$C$25+0.06*(1-$H309))-Assumptions!$C$27)-Assumptions!$C$28)*Assumptions!$C$31)+Assumptions!$C$28-Assumptions!$C$29-$M309*Assumptions!$C$30</f>
        <v>34.98383784</v>
      </c>
      <c r="S309" s="139">
        <f>($N309*(1-(Assumptions!$C$25+0.06*(1-$I309))-Assumptions!$C$27)-Assumptions!$C$28)-MAX(0,($N309*(1-(Assumptions!$C$25+0.06*(1-$I309))-Assumptions!$C$27)-Assumptions!$C$28)*Assumptions!$C$31)+Assumptions!$C$28-Assumptions!$C$29-$N309*Assumptions!$C$30</f>
        <v>103.2395756</v>
      </c>
      <c r="T309" s="139">
        <f>($O309*(1-(Assumptions!$C$25+0.06*(1-$J309))-Assumptions!$C$27)-Assumptions!$C$28)-MAX(0,($O309*(1-(Assumptions!$C$25+0.06*(1-$J309))-Assumptions!$C$27)-Assumptions!$C$28)*Assumptions!$C$31)+Assumptions!$C$28-Assumptions!$C$29-$O309*Assumptions!$C$30</f>
        <v>109.0149571</v>
      </c>
      <c r="U309" s="139">
        <f>($P309*(1-(Assumptions!$C$25+0.06*(1-$K309))-Assumptions!$C$27)-Assumptions!$C$28)-MAX(0,($P309*(1-(Assumptions!$C$25+0.06*(1-$K309))-Assumptions!$C$27)-Assumptions!$C$28)*Assumptions!$C$31)+Assumptions!$C$28-Assumptions!$C$29-$P309*Assumptions!$C$30</f>
        <v>39.98952553</v>
      </c>
      <c r="V309" s="143">
        <f>(($Q309/(1+$D309)^1+$R309/(1+$D309)^2+$S309/(1+$D309)^3+$T309/(1+$D309)^4+$U309/(1+$D309)^5+$U309*(1+$E309)/($D309-$E309)/(1+$D309)^5)-Assumptions!$C$37)/Assumptions!$C$40/Assumptions!$C$38</f>
        <v>-0.6969668623</v>
      </c>
    </row>
    <row r="310" ht="12.0" customHeight="1">
      <c r="B310" s="139">
        <v>258.0</v>
      </c>
      <c r="C310" s="140">
        <f t="shared" si="6"/>
        <v>0.3145054677</v>
      </c>
      <c r="D310" s="141">
        <f t="shared" si="7"/>
        <v>0.09532556795</v>
      </c>
      <c r="E310" s="141">
        <f t="shared" si="8"/>
        <v>0.02920973622</v>
      </c>
      <c r="F310" s="140">
        <f t="shared" si="9"/>
        <v>0.1182597099</v>
      </c>
      <c r="G310" s="141">
        <f t="shared" si="10"/>
        <v>0.04458997868</v>
      </c>
      <c r="H310" s="142">
        <f t="shared" si="11"/>
        <v>1</v>
      </c>
      <c r="I310" s="142">
        <f t="shared" si="12"/>
        <v>0</v>
      </c>
      <c r="J310" s="142">
        <f t="shared" si="13"/>
        <v>0</v>
      </c>
      <c r="K310" s="142">
        <f t="shared" si="14"/>
        <v>0</v>
      </c>
      <c r="L310" s="139">
        <f>Assumptions!$C$6*Assumptions!$C$7*(1+$G310-0.05*(1-1))^1+Assumptions!$C$6*Assumptions!$C$8*(1+Assumptions!$C$11)^1+Assumptions!$C$16*1+Assumptions!$C$6*Assumptions!$C$9*(1+Assumptions!$C$12)^1</f>
        <v>741.4769868</v>
      </c>
      <c r="M310" s="139">
        <f>Assumptions!$C$6*Assumptions!$C$7*(1+$G310-0.05*(1-$H310))^2+Assumptions!$C$6*Assumptions!$C$8*(1+Assumptions!$C$11)^2+Assumptions!$C$16*$H310+Assumptions!$C$6*Assumptions!$C$9*(1+Assumptions!$C$12)^2</f>
        <v>763.7525841</v>
      </c>
      <c r="N310" s="139">
        <f>Assumptions!$C$6*Assumptions!$C$7*(1+$G310-0.05*(1-$I310))^3+Assumptions!$C$6*Assumptions!$C$8*(1+Assumptions!$C$11)^3+Assumptions!$C$16*$I310+Assumptions!$C$6*Assumptions!$C$9*(1+Assumptions!$C$12)^3</f>
        <v>674.3611295</v>
      </c>
      <c r="O310" s="139">
        <f>Assumptions!$C$6*Assumptions!$C$7*(1+$G310-0.05*(1-$J310))^4+Assumptions!$C$6*Assumptions!$C$8*(1+Assumptions!$C$11)^4+Assumptions!$C$16*$J310+Assumptions!$C$6*Assumptions!$C$9*(1+Assumptions!$C$12)^4</f>
        <v>679.4334053</v>
      </c>
      <c r="P310" s="139">
        <f>Assumptions!$C$6*Assumptions!$C$7*(1+$G310-0.05*(1-$K310))^5+Assumptions!$C$6*Assumptions!$C$8*(1+Assumptions!$C$11)^5+Assumptions!$C$16*$K310+Assumptions!$C$6*Assumptions!$C$9*(1+Assumptions!$C$12)^5</f>
        <v>684.6526515</v>
      </c>
      <c r="Q310" s="139">
        <f>($L310*(1-(Assumptions!$C$25+0.06*(1-1))-Assumptions!$C$27)-Assumptions!$C$28)-MAX(0,($L310*(1-(Assumptions!$C$25+0.06*(1-1))-Assumptions!$C$27)-Assumptions!$C$28)*Assumptions!$C$31)+Assumptions!$C$28-Assumptions!$C$29-$L310*Assumptions!$C$30</f>
        <v>91.91755217</v>
      </c>
      <c r="R310" s="139">
        <f>($M310*(1-(Assumptions!$C$25+0.06*(1-$H310))-Assumptions!$C$27)-Assumptions!$C$28)-MAX(0,($M310*(1-(Assumptions!$C$25+0.06*(1-$H310))-Assumptions!$C$27)-Assumptions!$C$28)*Assumptions!$C$31)+Assumptions!$C$28-Assumptions!$C$29-$M310*Assumptions!$C$30</f>
        <v>96.70680557</v>
      </c>
      <c r="S310" s="139">
        <f>($N310*(1-(Assumptions!$C$25+0.06*(1-$I310))-Assumptions!$C$27)-Assumptions!$C$28)-MAX(0,($N310*(1-(Assumptions!$C$25+0.06*(1-$I310))-Assumptions!$C$27)-Assumptions!$C$28)*Assumptions!$C$31)+Assumptions!$C$28-Assumptions!$C$29-$N310*Assumptions!$C$30</f>
        <v>35.10305979</v>
      </c>
      <c r="T310" s="139">
        <f>($O310*(1-(Assumptions!$C$25+0.06*(1-$J310))-Assumptions!$C$27)-Assumptions!$C$28)-MAX(0,($O310*(1-(Assumptions!$C$25+0.06*(1-$J310))-Assumptions!$C$27)-Assumptions!$C$28)*Assumptions!$C$31)+Assumptions!$C$28-Assumptions!$C$29-$O310*Assumptions!$C$30</f>
        <v>36.26968321</v>
      </c>
      <c r="U310" s="139">
        <f>($P310*(1-(Assumptions!$C$25+0.06*(1-$K310))-Assumptions!$C$27)-Assumptions!$C$28)-MAX(0,($P310*(1-(Assumptions!$C$25+0.06*(1-$K310))-Assumptions!$C$27)-Assumptions!$C$28)*Assumptions!$C$31)+Assumptions!$C$28-Assumptions!$C$29-$P310*Assumptions!$C$30</f>
        <v>37.47010985</v>
      </c>
      <c r="V310" s="143">
        <f>(($Q310/(1+$D310)^1+$R310/(1+$D310)^2+$S310/(1+$D310)^3+$T310/(1+$D310)^4+$U310/(1+$D310)^5+$U310*(1+$E310)/($D310-$E310)/(1+$D310)^5)-Assumptions!$C$37)/Assumptions!$C$40/Assumptions!$C$38</f>
        <v>-0.6362355437</v>
      </c>
    </row>
    <row r="311" ht="12.0" customHeight="1">
      <c r="B311" s="139">
        <v>259.0</v>
      </c>
      <c r="C311" s="140">
        <f t="shared" si="6"/>
        <v>0.4085865647</v>
      </c>
      <c r="D311" s="141">
        <f t="shared" si="7"/>
        <v>0.09678509025</v>
      </c>
      <c r="E311" s="141">
        <f t="shared" si="8"/>
        <v>0.01821047828</v>
      </c>
      <c r="F311" s="140">
        <f t="shared" si="9"/>
        <v>0.2662754124</v>
      </c>
      <c r="G311" s="141">
        <f t="shared" si="10"/>
        <v>0.05189282399</v>
      </c>
      <c r="H311" s="142">
        <f t="shared" si="11"/>
        <v>0</v>
      </c>
      <c r="I311" s="142">
        <f t="shared" si="12"/>
        <v>0</v>
      </c>
      <c r="J311" s="142">
        <f t="shared" si="13"/>
        <v>0</v>
      </c>
      <c r="K311" s="142">
        <f t="shared" si="14"/>
        <v>1</v>
      </c>
      <c r="L311" s="139">
        <f>Assumptions!$C$6*Assumptions!$C$7*(1+$G311-0.05*(1-1))^1+Assumptions!$C$6*Assumptions!$C$8*(1+Assumptions!$C$11)^1+Assumptions!$C$16*1+Assumptions!$C$6*Assumptions!$C$9*(1+Assumptions!$C$12)^1</f>
        <v>743.9351246</v>
      </c>
      <c r="M311" s="139">
        <f>Assumptions!$C$6*Assumptions!$C$7*(1+$G311-0.05*(1-$H311))^2+Assumptions!$C$6*Assumptions!$C$8*(1+Assumptions!$C$11)^2+Assumptions!$C$16*$H311+Assumptions!$C$6*Assumptions!$C$9*(1+Assumptions!$C$12)^2</f>
        <v>674.3408151</v>
      </c>
      <c r="N311" s="139">
        <f>Assumptions!$C$6*Assumptions!$C$7*(1+$G311-0.05*(1-$I311))^3+Assumptions!$C$6*Assumptions!$C$8*(1+Assumptions!$C$11)^3+Assumptions!$C$16*$I311+Assumptions!$C$6*Assumptions!$C$9*(1+Assumptions!$C$12)^3</f>
        <v>681.709661</v>
      </c>
      <c r="O311" s="139">
        <f>Assumptions!$C$6*Assumptions!$C$7*(1+$G311-0.05*(1-$J311))^4+Assumptions!$C$6*Assumptions!$C$8*(1+Assumptions!$C$11)^4+Assumptions!$C$16*$J311+Assumptions!$C$6*Assumptions!$C$9*(1+Assumptions!$C$12)^4</f>
        <v>689.2143037</v>
      </c>
      <c r="P311" s="139">
        <f>Assumptions!$C$6*Assumptions!$C$7*(1+$G311-0.05*(1-$K311))^5+Assumptions!$C$6*Assumptions!$C$8*(1+Assumptions!$C$11)^5+Assumptions!$C$16*$K311+Assumptions!$C$6*Assumptions!$C$9*(1+Assumptions!$C$12)^5</f>
        <v>850.5422358</v>
      </c>
      <c r="Q311" s="139">
        <f>($L311*(1-(Assumptions!$C$25+0.06*(1-1))-Assumptions!$C$27)-Assumptions!$C$28)-MAX(0,($L311*(1-(Assumptions!$C$25+0.06*(1-1))-Assumptions!$C$27)-Assumptions!$C$28)*Assumptions!$C$31)+Assumptions!$C$28-Assumptions!$C$29-$L311*Assumptions!$C$30</f>
        <v>92.44605178</v>
      </c>
      <c r="R311" s="139">
        <f>($M311*(1-(Assumptions!$C$25+0.06*(1-$H311))-Assumptions!$C$27)-Assumptions!$C$28)-MAX(0,($M311*(1-(Assumptions!$C$25+0.06*(1-$H311))-Assumptions!$C$27)-Assumptions!$C$28)*Assumptions!$C$31)+Assumptions!$C$28-Assumptions!$C$29-$M311*Assumptions!$C$30</f>
        <v>35.09838747</v>
      </c>
      <c r="S311" s="139">
        <f>($N311*(1-(Assumptions!$C$25+0.06*(1-$I311))-Assumptions!$C$27)-Assumptions!$C$28)-MAX(0,($N311*(1-(Assumptions!$C$25+0.06*(1-$I311))-Assumptions!$C$27)-Assumptions!$C$28)*Assumptions!$C$31)+Assumptions!$C$28-Assumptions!$C$29-$N311*Assumptions!$C$30</f>
        <v>36.79322204</v>
      </c>
      <c r="T311" s="139">
        <f>($O311*(1-(Assumptions!$C$25+0.06*(1-$J311))-Assumptions!$C$27)-Assumptions!$C$28)-MAX(0,($O311*(1-(Assumptions!$C$25+0.06*(1-$J311))-Assumptions!$C$27)-Assumptions!$C$28)*Assumptions!$C$31)+Assumptions!$C$28-Assumptions!$C$29-$O311*Assumptions!$C$30</f>
        <v>38.51928985</v>
      </c>
      <c r="U311" s="139">
        <f>($P311*(1-(Assumptions!$C$25+0.06*(1-$K311))-Assumptions!$C$27)-Assumptions!$C$28)-MAX(0,($P311*(1-(Assumptions!$C$25+0.06*(1-$K311))-Assumptions!$C$27)-Assumptions!$C$28)*Assumptions!$C$31)+Assumptions!$C$28-Assumptions!$C$29-$P311*Assumptions!$C$30</f>
        <v>115.3665807</v>
      </c>
      <c r="V311" s="143">
        <f>(($Q311/(1+$D311)^1+$R311/(1+$D311)^2+$S311/(1+$D311)^3+$T311/(1+$D311)^4+$U311/(1+$D311)^5+$U311*(1+$E311)/($D311-$E311)/(1+$D311)^5)-Assumptions!$C$37)/Assumptions!$C$40/Assumptions!$C$38</f>
        <v>3.831049831</v>
      </c>
    </row>
    <row r="312" ht="12.0" customHeight="1">
      <c r="B312" s="139">
        <v>260.0</v>
      </c>
      <c r="C312" s="140">
        <f t="shared" si="6"/>
        <v>0.03102947594</v>
      </c>
      <c r="D312" s="141">
        <f t="shared" si="7"/>
        <v>0.08824329961</v>
      </c>
      <c r="E312" s="141">
        <f t="shared" si="8"/>
        <v>0.02481418897</v>
      </c>
      <c r="F312" s="140">
        <f t="shared" si="9"/>
        <v>0.5673568268</v>
      </c>
      <c r="G312" s="141">
        <f t="shared" si="10"/>
        <v>0.0620937693</v>
      </c>
      <c r="H312" s="142">
        <f t="shared" si="11"/>
        <v>0</v>
      </c>
      <c r="I312" s="142">
        <f t="shared" si="12"/>
        <v>1</v>
      </c>
      <c r="J312" s="142">
        <f t="shared" si="13"/>
        <v>1</v>
      </c>
      <c r="K312" s="142">
        <f t="shared" si="14"/>
        <v>0</v>
      </c>
      <c r="L312" s="139">
        <f>Assumptions!$C$6*Assumptions!$C$7*(1+$G312-0.05*(1-1))^1+Assumptions!$C$6*Assumptions!$C$8*(1+Assumptions!$C$11)^1+Assumptions!$C$16*1+Assumptions!$C$6*Assumptions!$C$9*(1+Assumptions!$C$12)^1</f>
        <v>747.3687627</v>
      </c>
      <c r="M312" s="139">
        <f>Assumptions!$C$6*Assumptions!$C$7*(1+$G312-0.05*(1-$H312))^2+Assumptions!$C$6*Assumptions!$C$8*(1+Assumptions!$C$11)^2+Assumptions!$C$16*$H312+Assumptions!$C$6*Assumptions!$C$9*(1+Assumptions!$C$12)^2</f>
        <v>681.2561164</v>
      </c>
      <c r="N312" s="139">
        <f>Assumptions!$C$6*Assumptions!$C$7*(1+$G312-0.05*(1-$I312))^3+Assumptions!$C$6*Assumptions!$C$8*(1+Assumptions!$C$11)^3+Assumptions!$C$16*$I312+Assumptions!$C$6*Assumptions!$C$9*(1+Assumptions!$C$12)^3</f>
        <v>806.4709626</v>
      </c>
      <c r="O312" s="139">
        <f>Assumptions!$C$6*Assumptions!$C$7*(1+$G312-0.05*(1-$J312))^4+Assumptions!$C$6*Assumptions!$C$8*(1+Assumptions!$C$11)^4+Assumptions!$C$16*$J312+Assumptions!$C$6*Assumptions!$C$9*(1+Assumptions!$C$12)^4</f>
        <v>838.3758012</v>
      </c>
      <c r="P312" s="139">
        <f>Assumptions!$C$6*Assumptions!$C$7*(1+$G312-0.05*(1-$K312))^5+Assumptions!$C$6*Assumptions!$C$8*(1+Assumptions!$C$11)^5+Assumptions!$C$16*$K312+Assumptions!$C$6*Assumptions!$C$9*(1+Assumptions!$C$12)^5</f>
        <v>714.5118441</v>
      </c>
      <c r="Q312" s="139">
        <f>($L312*(1-(Assumptions!$C$25+0.06*(1-1))-Assumptions!$C$27)-Assumptions!$C$28)-MAX(0,($L312*(1-(Assumptions!$C$25+0.06*(1-1))-Assumptions!$C$27)-Assumptions!$C$28)*Assumptions!$C$31)+Assumptions!$C$28-Assumptions!$C$29-$L312*Assumptions!$C$30</f>
        <v>93.18428399</v>
      </c>
      <c r="R312" s="139">
        <f>($M312*(1-(Assumptions!$C$25+0.06*(1-$H312))-Assumptions!$C$27)-Assumptions!$C$28)-MAX(0,($M312*(1-(Assumptions!$C$25+0.06*(1-$H312))-Assumptions!$C$27)-Assumptions!$C$28)*Assumptions!$C$31)+Assumptions!$C$28-Assumptions!$C$29-$M312*Assumptions!$C$30</f>
        <v>36.68890676</v>
      </c>
      <c r="S312" s="139">
        <f>($N312*(1-(Assumptions!$C$25+0.06*(1-$I312))-Assumptions!$C$27)-Assumptions!$C$28)-MAX(0,($N312*(1-(Assumptions!$C$25+0.06*(1-$I312))-Assumptions!$C$27)-Assumptions!$C$28)*Assumptions!$C$31)+Assumptions!$C$28-Assumptions!$C$29-$N312*Assumptions!$C$30</f>
        <v>105.891257</v>
      </c>
      <c r="T312" s="139">
        <f>($O312*(1-(Assumptions!$C$25+0.06*(1-$J312))-Assumptions!$C$27)-Assumptions!$C$28)-MAX(0,($O312*(1-(Assumptions!$C$25+0.06*(1-$J312))-Assumptions!$C$27)-Assumptions!$C$28)*Assumptions!$C$31)+Assumptions!$C$28-Assumptions!$C$29-$O312*Assumptions!$C$30</f>
        <v>112.7507973</v>
      </c>
      <c r="U312" s="139">
        <f>($P312*(1-(Assumptions!$C$25+0.06*(1-$K312))-Assumptions!$C$27)-Assumptions!$C$28)-MAX(0,($P312*(1-(Assumptions!$C$25+0.06*(1-$K312))-Assumptions!$C$27)-Assumptions!$C$28)*Assumptions!$C$31)+Assumptions!$C$28-Assumptions!$C$29-$P312*Assumptions!$C$30</f>
        <v>44.33772414</v>
      </c>
      <c r="V312" s="143">
        <f>(($Q312/(1+$D312)^1+$R312/(1+$D312)^2+$S312/(1+$D312)^3+$T312/(1+$D312)^4+$U312/(1+$D312)^5+$U312*(1+$E312)/($D312-$E312)/(1+$D312)^5)-Assumptions!$C$37)/Assumptions!$C$40/Assumptions!$C$38</f>
        <v>0.6701109686</v>
      </c>
    </row>
    <row r="313" ht="12.0" customHeight="1">
      <c r="B313" s="139">
        <v>261.0</v>
      </c>
      <c r="C313" s="140">
        <f t="shared" si="6"/>
        <v>0.8987042141</v>
      </c>
      <c r="D313" s="141">
        <f t="shared" si="7"/>
        <v>0.1074616357</v>
      </c>
      <c r="E313" s="141">
        <f t="shared" si="8"/>
        <v>0.0154537459</v>
      </c>
      <c r="F313" s="140">
        <f t="shared" si="9"/>
        <v>0.8140695134</v>
      </c>
      <c r="G313" s="141">
        <f t="shared" si="10"/>
        <v>0.07170587865</v>
      </c>
      <c r="H313" s="142">
        <f t="shared" si="11"/>
        <v>0</v>
      </c>
      <c r="I313" s="142">
        <f t="shared" si="12"/>
        <v>0</v>
      </c>
      <c r="J313" s="142">
        <f t="shared" si="13"/>
        <v>0</v>
      </c>
      <c r="K313" s="142">
        <f t="shared" si="14"/>
        <v>0</v>
      </c>
      <c r="L313" s="139">
        <f>Assumptions!$C$6*Assumptions!$C$7*(1+$G313-0.05*(1-1))^1+Assumptions!$C$6*Assumptions!$C$8*(1+Assumptions!$C$11)^1+Assumptions!$C$16*1+Assumptions!$C$6*Assumptions!$C$9*(1+Assumptions!$C$12)^1</f>
        <v>750.6041988</v>
      </c>
      <c r="M313" s="139">
        <f>Assumptions!$C$6*Assumptions!$C$7*(1+$G313-0.05*(1-$H313))^2+Assumptions!$C$6*Assumptions!$C$8*(1+Assumptions!$C$11)^2+Assumptions!$C$16*$H313+Assumptions!$C$6*Assumptions!$C$9*(1+Assumptions!$C$12)^2</f>
        <v>687.836345</v>
      </c>
      <c r="N313" s="139">
        <f>Assumptions!$C$6*Assumptions!$C$7*(1+$G313-0.05*(1-$I313))^3+Assumptions!$C$6*Assumptions!$C$8*(1+Assumptions!$C$11)^3+Assumptions!$C$16*$I313+Assumptions!$C$6*Assumptions!$C$9*(1+Assumptions!$C$12)^3</f>
        <v>702.1924681</v>
      </c>
      <c r="O313" s="139">
        <f>Assumptions!$C$6*Assumptions!$C$7*(1+$G313-0.05*(1-$J313))^4+Assumptions!$C$6*Assumptions!$C$8*(1+Assumptions!$C$11)^4+Assumptions!$C$16*$J313+Assumptions!$C$6*Assumptions!$C$9*(1+Assumptions!$C$12)^4</f>
        <v>716.8487242</v>
      </c>
      <c r="P313" s="139">
        <f>Assumptions!$C$6*Assumptions!$C$7*(1+$G313-0.05*(1-$K313))^5+Assumptions!$C$6*Assumptions!$C$8*(1+Assumptions!$C$11)^5+Assumptions!$C$16*$K313+Assumptions!$C$6*Assumptions!$C$9*(1+Assumptions!$C$12)^5</f>
        <v>731.8113982</v>
      </c>
      <c r="Q313" s="139">
        <f>($L313*(1-(Assumptions!$C$25+0.06*(1-1))-Assumptions!$C$27)-Assumptions!$C$28)-MAX(0,($L313*(1-(Assumptions!$C$25+0.06*(1-1))-Assumptions!$C$27)-Assumptions!$C$28)*Assumptions!$C$31)+Assumptions!$C$28-Assumptions!$C$29-$L313*Assumptions!$C$30</f>
        <v>93.87990273</v>
      </c>
      <c r="R313" s="139">
        <f>($M313*(1-(Assumptions!$C$25+0.06*(1-$H313))-Assumptions!$C$27)-Assumptions!$C$28)-MAX(0,($M313*(1-(Assumptions!$C$25+0.06*(1-$H313))-Assumptions!$C$27)-Assumptions!$C$28)*Assumptions!$C$31)+Assumptions!$C$28-Assumptions!$C$29-$M313*Assumptions!$C$30</f>
        <v>38.20235934</v>
      </c>
      <c r="S313" s="139">
        <f>($N313*(1-(Assumptions!$C$25+0.06*(1-$I313))-Assumptions!$C$27)-Assumptions!$C$28)-MAX(0,($N313*(1-(Assumptions!$C$25+0.06*(1-$I313))-Assumptions!$C$27)-Assumptions!$C$28)*Assumptions!$C$31)+Assumptions!$C$28-Assumptions!$C$29-$N313*Assumptions!$C$30</f>
        <v>41.50426767</v>
      </c>
      <c r="T313" s="139">
        <f>($O313*(1-(Assumptions!$C$25+0.06*(1-$J313))-Assumptions!$C$27)-Assumptions!$C$28)-MAX(0,($O313*(1-(Assumptions!$C$25+0.06*(1-$J313))-Assumptions!$C$27)-Assumptions!$C$28)*Assumptions!$C$31)+Assumptions!$C$28-Assumptions!$C$29-$O313*Assumptions!$C$30</f>
        <v>44.87520656</v>
      </c>
      <c r="U313" s="139">
        <f>($P313*(1-(Assumptions!$C$25+0.06*(1-$K313))-Assumptions!$C$27)-Assumptions!$C$28)-MAX(0,($P313*(1-(Assumptions!$C$25+0.06*(1-$K313))-Assumptions!$C$27)-Assumptions!$C$28)*Assumptions!$C$31)+Assumptions!$C$28-Assumptions!$C$29-$P313*Assumptions!$C$30</f>
        <v>48.31662158</v>
      </c>
      <c r="V313" s="143">
        <f>(($Q313/(1+$D313)^1+$R313/(1+$D313)^2+$S313/(1+$D313)^3+$T313/(1+$D313)^4+$U313/(1+$D313)^5+$U313*(1+$E313)/($D313-$E313)/(1+$D313)^5)-Assumptions!$C$37)/Assumptions!$C$40/Assumptions!$C$38</f>
        <v>-1.297694563</v>
      </c>
    </row>
    <row r="314" ht="12.0" customHeight="1">
      <c r="B314" s="139">
        <v>262.0</v>
      </c>
      <c r="C314" s="140">
        <f t="shared" si="6"/>
        <v>0.7554835136</v>
      </c>
      <c r="D314" s="141">
        <f t="shared" si="7"/>
        <v>0.1032878803</v>
      </c>
      <c r="E314" s="141">
        <f t="shared" si="8"/>
        <v>0.01879187339</v>
      </c>
      <c r="F314" s="140">
        <f t="shared" si="9"/>
        <v>0.4713618349</v>
      </c>
      <c r="G314" s="141">
        <f t="shared" si="10"/>
        <v>0.05912818743</v>
      </c>
      <c r="H314" s="142">
        <f t="shared" si="11"/>
        <v>0</v>
      </c>
      <c r="I314" s="142">
        <f t="shared" si="12"/>
        <v>0</v>
      </c>
      <c r="J314" s="142">
        <f t="shared" si="13"/>
        <v>0</v>
      </c>
      <c r="K314" s="142">
        <f t="shared" si="14"/>
        <v>1</v>
      </c>
      <c r="L314" s="139">
        <f>Assumptions!$C$6*Assumptions!$C$7*(1+$G314-0.05*(1-1))^1+Assumptions!$C$6*Assumptions!$C$8*(1+Assumptions!$C$11)^1+Assumptions!$C$16*1+Assumptions!$C$6*Assumptions!$C$9*(1+Assumptions!$C$12)^1</f>
        <v>746.3705479</v>
      </c>
      <c r="M314" s="139">
        <f>Assumptions!$C$6*Assumptions!$C$7*(1+$G314-0.05*(1-$H314))^2+Assumptions!$C$6*Assumptions!$C$8*(1+Assumptions!$C$11)^2+Assumptions!$C$16*$H314+Assumptions!$C$6*Assumptions!$C$9*(1+Assumptions!$C$12)^2</f>
        <v>679.2385026</v>
      </c>
      <c r="N314" s="139">
        <f>Assumptions!$C$6*Assumptions!$C$7*(1+$G314-0.05*(1-$I314))^3+Assumptions!$C$6*Assumptions!$C$8*(1+Assumptions!$C$11)^3+Assumptions!$C$16*$I314+Assumptions!$C$6*Assumptions!$C$9*(1+Assumptions!$C$12)^3</f>
        <v>689.0967073</v>
      </c>
      <c r="O314" s="139">
        <f>Assumptions!$C$6*Assumptions!$C$7*(1+$G314-0.05*(1-$J314))^4+Assumptions!$C$6*Assumptions!$C$8*(1+Assumptions!$C$11)^4+Assumptions!$C$16*$J314+Assumptions!$C$6*Assumptions!$C$9*(1+Assumptions!$C$12)^4</f>
        <v>699.1180593</v>
      </c>
      <c r="P314" s="139">
        <f>Assumptions!$C$6*Assumptions!$C$7*(1+$G314-0.05*(1-$K314))^5+Assumptions!$C$6*Assumptions!$C$8*(1+Assumptions!$C$11)^5+Assumptions!$C$16*$K314+Assumptions!$C$6*Assumptions!$C$9*(1+Assumptions!$C$12)^5</f>
        <v>865.6571231</v>
      </c>
      <c r="Q314" s="139">
        <f>($L314*(1-(Assumptions!$C$25+0.06*(1-1))-Assumptions!$C$27)-Assumptions!$C$28)-MAX(0,($L314*(1-(Assumptions!$C$25+0.06*(1-1))-Assumptions!$C$27)-Assumptions!$C$28)*Assumptions!$C$31)+Assumptions!$C$28-Assumptions!$C$29-$L314*Assumptions!$C$30</f>
        <v>92.9696678</v>
      </c>
      <c r="R314" s="139">
        <f>($M314*(1-(Assumptions!$C$25+0.06*(1-$H314))-Assumptions!$C$27)-Assumptions!$C$28)-MAX(0,($M314*(1-(Assumptions!$C$25+0.06*(1-$H314))-Assumptions!$C$27)-Assumptions!$C$28)*Assumptions!$C$31)+Assumptions!$C$28-Assumptions!$C$29-$M314*Assumptions!$C$30</f>
        <v>36.22485559</v>
      </c>
      <c r="S314" s="139">
        <f>($N314*(1-(Assumptions!$C$25+0.06*(1-$I314))-Assumptions!$C$27)-Assumptions!$C$28)-MAX(0,($N314*(1-(Assumptions!$C$25+0.06*(1-$I314))-Assumptions!$C$27)-Assumptions!$C$28)*Assumptions!$C$31)+Assumptions!$C$28-Assumptions!$C$29-$N314*Assumptions!$C$30</f>
        <v>38.49224267</v>
      </c>
      <c r="T314" s="139">
        <f>($O314*(1-(Assumptions!$C$25+0.06*(1-$J314))-Assumptions!$C$27)-Assumptions!$C$28)-MAX(0,($O314*(1-(Assumptions!$C$25+0.06*(1-$J314))-Assumptions!$C$27)-Assumptions!$C$28)*Assumptions!$C$31)+Assumptions!$C$28-Assumptions!$C$29-$O314*Assumptions!$C$30</f>
        <v>40.79715363</v>
      </c>
      <c r="U314" s="139">
        <f>($P314*(1-(Assumptions!$C$25+0.06*(1-$K314))-Assumptions!$C$27)-Assumptions!$C$28)-MAX(0,($P314*(1-(Assumptions!$C$25+0.06*(1-$K314))-Assumptions!$C$27)-Assumptions!$C$28)*Assumptions!$C$31)+Assumptions!$C$28-Assumptions!$C$29-$P314*Assumptions!$C$30</f>
        <v>118.6162815</v>
      </c>
      <c r="V314" s="143">
        <f>(($Q314/(1+$D314)^1+$R314/(1+$D314)^2+$S314/(1+$D314)^3+$T314/(1+$D314)^4+$U314/(1+$D314)^5+$U314*(1+$E314)/($D314-$E314)/(1+$D314)^5)-Assumptions!$C$37)/Assumptions!$C$40/Assumptions!$C$38</f>
        <v>3.324210158</v>
      </c>
    </row>
    <row r="315" ht="12.0" customHeight="1">
      <c r="B315" s="139">
        <v>263.0</v>
      </c>
      <c r="C315" s="140">
        <f t="shared" si="6"/>
        <v>0.06270819912</v>
      </c>
      <c r="D315" s="141">
        <f t="shared" si="7"/>
        <v>0.08961064849</v>
      </c>
      <c r="E315" s="141">
        <f t="shared" si="8"/>
        <v>0.02183218075</v>
      </c>
      <c r="F315" s="140">
        <f t="shared" si="9"/>
        <v>0.8228634336</v>
      </c>
      <c r="G315" s="141">
        <f t="shared" si="10"/>
        <v>0.07214374565</v>
      </c>
      <c r="H315" s="142">
        <f t="shared" si="11"/>
        <v>1</v>
      </c>
      <c r="I315" s="142">
        <f t="shared" si="12"/>
        <v>0</v>
      </c>
      <c r="J315" s="142">
        <f t="shared" si="13"/>
        <v>1</v>
      </c>
      <c r="K315" s="142">
        <f t="shared" si="14"/>
        <v>1</v>
      </c>
      <c r="L315" s="139">
        <f>Assumptions!$C$6*Assumptions!$C$7*(1+$G315-0.05*(1-1))^1+Assumptions!$C$6*Assumptions!$C$8*(1+Assumptions!$C$11)^1+Assumptions!$C$16*1+Assumptions!$C$6*Assumptions!$C$9*(1+Assumptions!$C$12)^1</f>
        <v>750.7515848</v>
      </c>
      <c r="M315" s="139">
        <f>Assumptions!$C$6*Assumptions!$C$7*(1+$G315-0.05*(1-$H315))^2+Assumptions!$C$6*Assumptions!$C$8*(1+Assumptions!$C$11)^2+Assumptions!$C$16*$H315+Assumptions!$C$6*Assumptions!$C$9*(1+Assumptions!$C$12)^2</f>
        <v>783.3844383</v>
      </c>
      <c r="N315" s="139">
        <f>Assumptions!$C$6*Assumptions!$C$7*(1+$G315-0.05*(1-$I315))^3+Assumptions!$C$6*Assumptions!$C$8*(1+Assumptions!$C$11)^3+Assumptions!$C$16*$I315+Assumptions!$C$6*Assumptions!$C$9*(1+Assumptions!$C$12)^3</f>
        <v>702.6542272</v>
      </c>
      <c r="O315" s="139">
        <f>Assumptions!$C$6*Assumptions!$C$7*(1+$G315-0.05*(1-$J315))^4+Assumptions!$C$6*Assumptions!$C$8*(1+Assumptions!$C$11)^4+Assumptions!$C$16*$J315+Assumptions!$C$6*Assumptions!$C$9*(1+Assumptions!$C$12)^4</f>
        <v>854.8190275</v>
      </c>
      <c r="P315" s="139">
        <f>Assumptions!$C$6*Assumptions!$C$7*(1+$G315-0.05*(1-$K315))^5+Assumptions!$C$6*Assumptions!$C$8*(1+Assumptions!$C$11)^5+Assumptions!$C$16*$K315+Assumptions!$C$6*Assumptions!$C$9*(1+Assumptions!$C$12)^5</f>
        <v>893.9068847</v>
      </c>
      <c r="Q315" s="139">
        <f>($L315*(1-(Assumptions!$C$25+0.06*(1-1))-Assumptions!$C$27)-Assumptions!$C$28)-MAX(0,($L315*(1-(Assumptions!$C$25+0.06*(1-1))-Assumptions!$C$27)-Assumptions!$C$28)*Assumptions!$C$31)+Assumptions!$C$28-Assumptions!$C$29-$L315*Assumptions!$C$30</f>
        <v>93.91159073</v>
      </c>
      <c r="R315" s="139">
        <f>($M315*(1-(Assumptions!$C$25+0.06*(1-$H315))-Assumptions!$C$27)-Assumptions!$C$28)-MAX(0,($M315*(1-(Assumptions!$C$25+0.06*(1-$H315))-Assumptions!$C$27)-Assumptions!$C$28)*Assumptions!$C$31)+Assumptions!$C$28-Assumptions!$C$29-$M315*Assumptions!$C$30</f>
        <v>100.9276542</v>
      </c>
      <c r="S315" s="139">
        <f>($N315*(1-(Assumptions!$C$25+0.06*(1-$I315))-Assumptions!$C$27)-Assumptions!$C$28)-MAX(0,($N315*(1-(Assumptions!$C$25+0.06*(1-$I315))-Assumptions!$C$27)-Assumptions!$C$28)*Assumptions!$C$31)+Assumptions!$C$28-Assumptions!$C$29-$N315*Assumptions!$C$30</f>
        <v>41.61047227</v>
      </c>
      <c r="T315" s="139">
        <f>($O315*(1-(Assumptions!$C$25+0.06*(1-$J315))-Assumptions!$C$27)-Assumptions!$C$28)-MAX(0,($O315*(1-(Assumptions!$C$25+0.06*(1-$J315))-Assumptions!$C$27)-Assumptions!$C$28)*Assumptions!$C$31)+Assumptions!$C$28-Assumptions!$C$29-$O315*Assumptions!$C$30</f>
        <v>116.2860909</v>
      </c>
      <c r="U315" s="139">
        <f>($P315*(1-(Assumptions!$C$25+0.06*(1-$K315))-Assumptions!$C$27)-Assumptions!$C$28)-MAX(0,($P315*(1-(Assumptions!$C$25+0.06*(1-$K315))-Assumptions!$C$27)-Assumptions!$C$28)*Assumptions!$C$31)+Assumptions!$C$28-Assumptions!$C$29-$P315*Assumptions!$C$30</f>
        <v>124.6899802</v>
      </c>
      <c r="V315" s="143">
        <f>(($Q315/(1+$D315)^1+$R315/(1+$D315)^2+$S315/(1+$D315)^3+$T315/(1+$D315)^4+$U315/(1+$D315)^5+$U315*(1+$E315)/($D315-$E315)/(1+$D315)^5)-Assumptions!$C$37)/Assumptions!$C$40/Assumptions!$C$38</f>
        <v>7.018050182</v>
      </c>
    </row>
    <row r="316" ht="12.0" customHeight="1">
      <c r="B316" s="139">
        <v>264.0</v>
      </c>
      <c r="C316" s="140">
        <f t="shared" si="6"/>
        <v>0.2964972061</v>
      </c>
      <c r="D316" s="141">
        <f t="shared" si="7"/>
        <v>0.09502559489</v>
      </c>
      <c r="E316" s="141">
        <f t="shared" si="8"/>
        <v>0.01708586102</v>
      </c>
      <c r="F316" s="140">
        <f t="shared" si="9"/>
        <v>0.5240557219</v>
      </c>
      <c r="G316" s="141">
        <f t="shared" si="10"/>
        <v>0.06073056713</v>
      </c>
      <c r="H316" s="142">
        <f t="shared" si="11"/>
        <v>1</v>
      </c>
      <c r="I316" s="142">
        <f t="shared" si="12"/>
        <v>0</v>
      </c>
      <c r="J316" s="142">
        <f t="shared" si="13"/>
        <v>0</v>
      </c>
      <c r="K316" s="142">
        <f t="shared" si="14"/>
        <v>1</v>
      </c>
      <c r="L316" s="139">
        <f>Assumptions!$C$6*Assumptions!$C$7*(1+$G316-0.05*(1-1))^1+Assumptions!$C$6*Assumptions!$C$8*(1+Assumptions!$C$11)^1+Assumptions!$C$16*1+Assumptions!$C$6*Assumptions!$C$9*(1+Assumptions!$C$12)^1</f>
        <v>746.9099089</v>
      </c>
      <c r="M316" s="139">
        <f>Assumptions!$C$6*Assumptions!$C$7*(1+$G316-0.05*(1-$H316))^2+Assumptions!$C$6*Assumptions!$C$8*(1+Assumptions!$C$11)^2+Assumptions!$C$16*$H316+Assumptions!$C$6*Assumptions!$C$9*(1+Assumptions!$C$12)^2</f>
        <v>775.1906265</v>
      </c>
      <c r="N316" s="139">
        <f>Assumptions!$C$6*Assumptions!$C$7*(1+$G316-0.05*(1-$I316))^3+Assumptions!$C$6*Assumptions!$C$8*(1+Assumptions!$C$11)^3+Assumptions!$C$16*$I316+Assumptions!$C$6*Assumptions!$C$9*(1+Assumptions!$C$12)^3</f>
        <v>690.7470833</v>
      </c>
      <c r="O316" s="139">
        <f>Assumptions!$C$6*Assumptions!$C$7*(1+$G316-0.05*(1-$J316))^4+Assumptions!$C$6*Assumptions!$C$8*(1+Assumptions!$C$11)^4+Assumptions!$C$16*$J316+Assumptions!$C$6*Assumptions!$C$9*(1+Assumptions!$C$12)^4</f>
        <v>701.3404112</v>
      </c>
      <c r="P316" s="139">
        <f>Assumptions!$C$6*Assumptions!$C$7*(1+$G316-0.05*(1-$K316))^5+Assumptions!$C$6*Assumptions!$C$8*(1+Assumptions!$C$11)^5+Assumptions!$C$16*$K316+Assumptions!$C$6*Assumptions!$C$9*(1+Assumptions!$C$12)^5</f>
        <v>869.0608739</v>
      </c>
      <c r="Q316" s="139">
        <f>($L316*(1-(Assumptions!$C$25+0.06*(1-1))-Assumptions!$C$27)-Assumptions!$C$28)-MAX(0,($L316*(1-(Assumptions!$C$25+0.06*(1-1))-Assumptions!$C$27)-Assumptions!$C$28)*Assumptions!$C$31)+Assumptions!$C$28-Assumptions!$C$29-$L316*Assumptions!$C$30</f>
        <v>93.08563041</v>
      </c>
      <c r="R316" s="139">
        <f>($M316*(1-(Assumptions!$C$25+0.06*(1-$H316))-Assumptions!$C$27)-Assumptions!$C$28)-MAX(0,($M316*(1-(Assumptions!$C$25+0.06*(1-$H316))-Assumptions!$C$27)-Assumptions!$C$28)*Assumptions!$C$31)+Assumptions!$C$28-Assumptions!$C$29-$M316*Assumptions!$C$30</f>
        <v>99.1659847</v>
      </c>
      <c r="S316" s="139">
        <f>($N316*(1-(Assumptions!$C$25+0.06*(1-$I316))-Assumptions!$C$27)-Assumptions!$C$28)-MAX(0,($N316*(1-(Assumptions!$C$25+0.06*(1-$I316))-Assumptions!$C$27)-Assumptions!$C$28)*Assumptions!$C$31)+Assumptions!$C$28-Assumptions!$C$29-$N316*Assumptions!$C$30</f>
        <v>38.87182915</v>
      </c>
      <c r="T316" s="139">
        <f>($O316*(1-(Assumptions!$C$25+0.06*(1-$J316))-Assumptions!$C$27)-Assumptions!$C$28)-MAX(0,($O316*(1-(Assumptions!$C$25+0.06*(1-$J316))-Assumptions!$C$27)-Assumptions!$C$28)*Assumptions!$C$31)+Assumptions!$C$28-Assumptions!$C$29-$O316*Assumptions!$C$30</f>
        <v>41.30829456</v>
      </c>
      <c r="U316" s="139">
        <f>($P316*(1-(Assumptions!$C$25+0.06*(1-$K316))-Assumptions!$C$27)-Assumptions!$C$28)-MAX(0,($P316*(1-(Assumptions!$C$25+0.06*(1-$K316))-Assumptions!$C$27)-Assumptions!$C$28)*Assumptions!$C$31)+Assumptions!$C$28-Assumptions!$C$29-$P316*Assumptions!$C$30</f>
        <v>119.3480879</v>
      </c>
      <c r="V316" s="143">
        <f>(($Q316/(1+$D316)^1+$R316/(1+$D316)^2+$S316/(1+$D316)^3+$T316/(1+$D316)^4+$U316/(1+$D316)^5+$U316*(1+$E316)/($D316-$E316)/(1+$D316)^5)-Assumptions!$C$37)/Assumptions!$C$40/Assumptions!$C$38</f>
        <v>4.677451624</v>
      </c>
    </row>
    <row r="317" ht="12.0" customHeight="1">
      <c r="B317" s="139">
        <v>265.0</v>
      </c>
      <c r="C317" s="140">
        <f t="shared" si="6"/>
        <v>0.8544907904</v>
      </c>
      <c r="D317" s="141">
        <f t="shared" si="7"/>
        <v>0.1059650309</v>
      </c>
      <c r="E317" s="141">
        <f t="shared" si="8"/>
        <v>0.0198200161</v>
      </c>
      <c r="F317" s="140">
        <f t="shared" si="9"/>
        <v>0.775715</v>
      </c>
      <c r="G317" s="141">
        <f t="shared" si="10"/>
        <v>0.06990738942</v>
      </c>
      <c r="H317" s="142">
        <f t="shared" si="11"/>
        <v>1</v>
      </c>
      <c r="I317" s="142">
        <f t="shared" si="12"/>
        <v>1</v>
      </c>
      <c r="J317" s="142">
        <f t="shared" si="13"/>
        <v>0</v>
      </c>
      <c r="K317" s="142">
        <f t="shared" si="14"/>
        <v>1</v>
      </c>
      <c r="L317" s="139">
        <f>Assumptions!$C$6*Assumptions!$C$7*(1+$G317-0.05*(1-1))^1+Assumptions!$C$6*Assumptions!$C$8*(1+Assumptions!$C$11)^1+Assumptions!$C$16*1+Assumptions!$C$6*Assumptions!$C$9*(1+Assumptions!$C$12)^1</f>
        <v>749.9988273</v>
      </c>
      <c r="M317" s="139">
        <f>Assumptions!$C$6*Assumptions!$C$7*(1+$G317-0.05*(1-$H317))^2+Assumptions!$C$6*Assumptions!$C$8*(1+Assumptions!$C$11)^2+Assumptions!$C$16*$H317+Assumptions!$C$6*Assumptions!$C$9*(1+Assumptions!$C$12)^2</f>
        <v>781.7719933</v>
      </c>
      <c r="N317" s="139">
        <f>Assumptions!$C$6*Assumptions!$C$7*(1+$G317-0.05*(1-$I317))^3+Assumptions!$C$6*Assumptions!$C$8*(1+Assumptions!$C$11)^3+Assumptions!$C$16*$I317+Assumptions!$C$6*Assumptions!$C$9*(1+Assumptions!$C$12)^3</f>
        <v>815.4370813</v>
      </c>
      <c r="O317" s="139">
        <f>Assumptions!$C$6*Assumptions!$C$7*(1+$G317-0.05*(1-$J317))^4+Assumptions!$C$6*Assumptions!$C$8*(1+Assumptions!$C$11)^4+Assumptions!$C$16*$J317+Assumptions!$C$6*Assumptions!$C$9*(1+Assumptions!$C$12)^4</f>
        <v>714.2729207</v>
      </c>
      <c r="P317" s="139">
        <f>Assumptions!$C$6*Assumptions!$C$7*(1+$G317-0.05*(1-$K317))^5+Assumptions!$C$6*Assumptions!$C$8*(1+Assumptions!$C$11)^5+Assumptions!$C$16*$K317+Assumptions!$C$6*Assumptions!$C$9*(1+Assumptions!$C$12)^5</f>
        <v>888.9543743</v>
      </c>
      <c r="Q317" s="139">
        <f>($L317*(1-(Assumptions!$C$25+0.06*(1-1))-Assumptions!$C$27)-Assumptions!$C$28)-MAX(0,($L317*(1-(Assumptions!$C$25+0.06*(1-1))-Assumptions!$C$27)-Assumptions!$C$28)*Assumptions!$C$31)+Assumptions!$C$28-Assumptions!$C$29-$L317*Assumptions!$C$30</f>
        <v>93.74974786</v>
      </c>
      <c r="R317" s="139">
        <f>($M317*(1-(Assumptions!$C$25+0.06*(1-$H317))-Assumptions!$C$27)-Assumptions!$C$28)-MAX(0,($M317*(1-(Assumptions!$C$25+0.06*(1-$H317))-Assumptions!$C$27)-Assumptions!$C$28)*Assumptions!$C$31)+Assumptions!$C$28-Assumptions!$C$29-$M317*Assumptions!$C$30</f>
        <v>100.5809786</v>
      </c>
      <c r="S317" s="139">
        <f>($N317*(1-(Assumptions!$C$25+0.06*(1-$I317))-Assumptions!$C$27)-Assumptions!$C$28)-MAX(0,($N317*(1-(Assumptions!$C$25+0.06*(1-$I317))-Assumptions!$C$27)-Assumptions!$C$28)*Assumptions!$C$31)+Assumptions!$C$28-Assumptions!$C$29-$N317*Assumptions!$C$30</f>
        <v>107.8189725</v>
      </c>
      <c r="T317" s="139">
        <f>($O317*(1-(Assumptions!$C$25+0.06*(1-$J317))-Assumptions!$C$27)-Assumptions!$C$28)-MAX(0,($O317*(1-(Assumptions!$C$25+0.06*(1-$J317))-Assumptions!$C$27)-Assumptions!$C$28)*Assumptions!$C$31)+Assumptions!$C$28-Assumptions!$C$29-$O317*Assumptions!$C$30</f>
        <v>44.28277175</v>
      </c>
      <c r="U317" s="139">
        <f>($P317*(1-(Assumptions!$C$25+0.06*(1-$K317))-Assumptions!$C$27)-Assumptions!$C$28)-MAX(0,($P317*(1-(Assumptions!$C$25+0.06*(1-$K317))-Assumptions!$C$27)-Assumptions!$C$28)*Assumptions!$C$31)+Assumptions!$C$28-Assumptions!$C$29-$P317*Assumptions!$C$30</f>
        <v>123.6251905</v>
      </c>
      <c r="V317" s="143">
        <f>(($Q317/(1+$D317)^1+$R317/(1+$D317)^2+$S317/(1+$D317)^3+$T317/(1+$D317)^4+$U317/(1+$D317)^5+$U317*(1+$E317)/($D317-$E317)/(1+$D317)^5)-Assumptions!$C$37)/Assumptions!$C$40/Assumptions!$C$38</f>
        <v>4.243821343</v>
      </c>
    </row>
    <row r="318" ht="12.0" customHeight="1">
      <c r="B318" s="139">
        <v>266.0</v>
      </c>
      <c r="C318" s="140">
        <f t="shared" si="6"/>
        <v>0.5608720387</v>
      </c>
      <c r="D318" s="141">
        <f t="shared" si="7"/>
        <v>0.09930443418</v>
      </c>
      <c r="E318" s="141">
        <f t="shared" si="8"/>
        <v>0.01638656434</v>
      </c>
      <c r="F318" s="140">
        <f t="shared" si="9"/>
        <v>0.4200625092</v>
      </c>
      <c r="G318" s="141">
        <f t="shared" si="10"/>
        <v>0.05749750019</v>
      </c>
      <c r="H318" s="142">
        <f t="shared" si="11"/>
        <v>1</v>
      </c>
      <c r="I318" s="142">
        <f t="shared" si="12"/>
        <v>0</v>
      </c>
      <c r="J318" s="142">
        <f t="shared" si="13"/>
        <v>1</v>
      </c>
      <c r="K318" s="142">
        <f t="shared" si="14"/>
        <v>0</v>
      </c>
      <c r="L318" s="139">
        <f>Assumptions!$C$6*Assumptions!$C$7*(1+$G318-0.05*(1-1))^1+Assumptions!$C$6*Assumptions!$C$8*(1+Assumptions!$C$11)^1+Assumptions!$C$16*1+Assumptions!$C$6*Assumptions!$C$9*(1+Assumptions!$C$12)^1</f>
        <v>745.8216586</v>
      </c>
      <c r="M318" s="139">
        <f>Assumptions!$C$6*Assumptions!$C$7*(1+$G318-0.05*(1-$H318))^2+Assumptions!$C$6*Assumptions!$C$8*(1+Assumptions!$C$11)^2+Assumptions!$C$16*$H318+Assumptions!$C$6*Assumptions!$C$9*(1+Assumptions!$C$12)^2</f>
        <v>772.8854641</v>
      </c>
      <c r="N318" s="139">
        <f>Assumptions!$C$6*Assumptions!$C$7*(1+$G318-0.05*(1-$I318))^3+Assumptions!$C$6*Assumptions!$C$8*(1+Assumptions!$C$11)^3+Assumptions!$C$16*$I318+Assumptions!$C$6*Assumptions!$C$9*(1+Assumptions!$C$12)^3</f>
        <v>687.4225481</v>
      </c>
      <c r="O318" s="139">
        <f>Assumptions!$C$6*Assumptions!$C$7*(1+$G318-0.05*(1-$J318))^4+Assumptions!$C$6*Assumptions!$C$8*(1+Assumptions!$C$11)^4+Assumptions!$C$16*$J318+Assumptions!$C$6*Assumptions!$C$9*(1+Assumptions!$C$12)^4</f>
        <v>831.0095254</v>
      </c>
      <c r="P318" s="139">
        <f>Assumptions!$C$6*Assumptions!$C$7*(1+$G318-0.05*(1-$K318))^5+Assumptions!$C$6*Assumptions!$C$8*(1+Assumptions!$C$11)^5+Assumptions!$C$16*$K318+Assumptions!$C$6*Assumptions!$C$9*(1+Assumptions!$C$12)^5</f>
        <v>706.4686598</v>
      </c>
      <c r="Q318" s="139">
        <f>($L318*(1-(Assumptions!$C$25+0.06*(1-1))-Assumptions!$C$27)-Assumptions!$C$28)-MAX(0,($L318*(1-(Assumptions!$C$25+0.06*(1-1))-Assumptions!$C$27)-Assumptions!$C$28)*Assumptions!$C$31)+Assumptions!$C$28-Assumptions!$C$29-$L318*Assumptions!$C$30</f>
        <v>92.85165659</v>
      </c>
      <c r="R318" s="139">
        <f>($M318*(1-(Assumptions!$C$25+0.06*(1-$H318))-Assumptions!$C$27)-Assumptions!$C$28)-MAX(0,($M318*(1-(Assumptions!$C$25+0.06*(1-$H318))-Assumptions!$C$27)-Assumptions!$C$28)*Assumptions!$C$31)+Assumptions!$C$28-Assumptions!$C$29-$M318*Assumptions!$C$30</f>
        <v>98.67037478</v>
      </c>
      <c r="S318" s="139">
        <f>($N318*(1-(Assumptions!$C$25+0.06*(1-$I318))-Assumptions!$C$27)-Assumptions!$C$28)-MAX(0,($N318*(1-(Assumptions!$C$25+0.06*(1-$I318))-Assumptions!$C$27)-Assumptions!$C$28)*Assumptions!$C$31)+Assumptions!$C$28-Assumptions!$C$29-$N318*Assumptions!$C$30</f>
        <v>38.10718607</v>
      </c>
      <c r="T318" s="139">
        <f>($O318*(1-(Assumptions!$C$25+0.06*(1-$J318))-Assumptions!$C$27)-Assumptions!$C$28)-MAX(0,($O318*(1-(Assumptions!$C$25+0.06*(1-$J318))-Assumptions!$C$27)-Assumptions!$C$28)*Assumptions!$C$31)+Assumptions!$C$28-Assumptions!$C$29-$O318*Assumptions!$C$30</f>
        <v>111.167048</v>
      </c>
      <c r="U318" s="139">
        <f>($P318*(1-(Assumptions!$C$25+0.06*(1-$K318))-Assumptions!$C$27)-Assumptions!$C$28)-MAX(0,($P318*(1-(Assumptions!$C$25+0.06*(1-$K318))-Assumptions!$C$27)-Assumptions!$C$28)*Assumptions!$C$31)+Assumptions!$C$28-Assumptions!$C$29-$P318*Assumptions!$C$30</f>
        <v>42.48779176</v>
      </c>
      <c r="V318" s="143">
        <f>(($Q318/(1+$D318)^1+$R318/(1+$D318)^2+$S318/(1+$D318)^3+$T318/(1+$D318)^4+$U318/(1+$D318)^5+$U318*(1+$E318)/($D318-$E318)/(1+$D318)^5)-Assumptions!$C$37)/Assumptions!$C$40/Assumptions!$C$38</f>
        <v>-0.5455978677</v>
      </c>
    </row>
    <row r="319" ht="12.0" customHeight="1">
      <c r="B319" s="139">
        <v>267.0</v>
      </c>
      <c r="C319" s="140">
        <f t="shared" si="6"/>
        <v>0.4745496913</v>
      </c>
      <c r="D319" s="141">
        <f t="shared" si="7"/>
        <v>0.09783091082</v>
      </c>
      <c r="E319" s="141">
        <f t="shared" si="8"/>
        <v>0.02951856991</v>
      </c>
      <c r="F319" s="140">
        <f t="shared" si="9"/>
        <v>0.8800810089</v>
      </c>
      <c r="G319" s="141">
        <f t="shared" si="10"/>
        <v>0.07530802314</v>
      </c>
      <c r="H319" s="142">
        <f t="shared" si="11"/>
        <v>1</v>
      </c>
      <c r="I319" s="142">
        <f t="shared" si="12"/>
        <v>0</v>
      </c>
      <c r="J319" s="142">
        <f t="shared" si="13"/>
        <v>0</v>
      </c>
      <c r="K319" s="142">
        <f t="shared" si="14"/>
        <v>1</v>
      </c>
      <c r="L319" s="139">
        <f>Assumptions!$C$6*Assumptions!$C$7*(1+$G319-0.05*(1-1))^1+Assumptions!$C$6*Assumptions!$C$8*(1+Assumptions!$C$11)^1+Assumptions!$C$16*1+Assumptions!$C$6*Assumptions!$C$9*(1+Assumptions!$C$12)^1</f>
        <v>751.8166806</v>
      </c>
      <c r="M319" s="139">
        <f>Assumptions!$C$6*Assumptions!$C$7*(1+$G319-0.05*(1-$H319))^2+Assumptions!$C$6*Assumptions!$C$8*(1+Assumptions!$C$11)^2+Assumptions!$C$16*$H319+Assumptions!$C$6*Assumptions!$C$9*(1+Assumptions!$C$12)^2</f>
        <v>785.6716802</v>
      </c>
      <c r="N319" s="139">
        <f>Assumptions!$C$6*Assumptions!$C$7*(1+$G319-0.05*(1-$I319))^3+Assumptions!$C$6*Assumptions!$C$8*(1+Assumptions!$C$11)^3+Assumptions!$C$16*$I319+Assumptions!$C$6*Assumptions!$C$9*(1+Assumptions!$C$12)^3</f>
        <v>706.002938</v>
      </c>
      <c r="O319" s="139">
        <f>Assumptions!$C$6*Assumptions!$C$7*(1+$G319-0.05*(1-$J319))^4+Assumptions!$C$6*Assumptions!$C$8*(1+Assumptions!$C$11)^4+Assumptions!$C$16*$J319+Assumptions!$C$6*Assumptions!$C$9*(1+Assumptions!$C$12)^4</f>
        <v>722.0487915</v>
      </c>
      <c r="P319" s="139">
        <f>Assumptions!$C$6*Assumptions!$C$7*(1+$G319-0.05*(1-$K319))^5+Assumptions!$C$6*Assumptions!$C$8*(1+Assumptions!$C$11)^5+Assumptions!$C$16*$K319+Assumptions!$C$6*Assumptions!$C$9*(1+Assumptions!$C$12)^5</f>
        <v>900.9852709</v>
      </c>
      <c r="Q319" s="139">
        <f>($L319*(1-(Assumptions!$C$25+0.06*(1-1))-Assumptions!$C$27)-Assumptions!$C$28)-MAX(0,($L319*(1-(Assumptions!$C$25+0.06*(1-1))-Assumptions!$C$27)-Assumptions!$C$28)*Assumptions!$C$31)+Assumptions!$C$28-Assumptions!$C$29-$L319*Assumptions!$C$30</f>
        <v>94.14058633</v>
      </c>
      <c r="R319" s="139">
        <f>($M319*(1-(Assumptions!$C$25+0.06*(1-$H319))-Assumptions!$C$27)-Assumptions!$C$28)-MAX(0,($M319*(1-(Assumptions!$C$25+0.06*(1-$H319))-Assumptions!$C$27)-Assumptions!$C$28)*Assumptions!$C$31)+Assumptions!$C$28-Assumptions!$C$29-$M319*Assumptions!$C$30</f>
        <v>101.4194112</v>
      </c>
      <c r="S319" s="139">
        <f>($N319*(1-(Assumptions!$C$25+0.06*(1-$I319))-Assumptions!$C$27)-Assumptions!$C$28)-MAX(0,($N319*(1-(Assumptions!$C$25+0.06*(1-$I319))-Assumptions!$C$27)-Assumptions!$C$28)*Assumptions!$C$31)+Assumptions!$C$28-Assumptions!$C$29-$N319*Assumptions!$C$30</f>
        <v>42.38067575</v>
      </c>
      <c r="T319" s="139">
        <f>($O319*(1-(Assumptions!$C$25+0.06*(1-$J319))-Assumptions!$C$27)-Assumptions!$C$28)-MAX(0,($O319*(1-(Assumptions!$C$25+0.06*(1-$J319))-Assumptions!$C$27)-Assumptions!$C$28)*Assumptions!$C$31)+Assumptions!$C$28-Assumptions!$C$29-$O319*Assumptions!$C$30</f>
        <v>46.07122205</v>
      </c>
      <c r="U319" s="139">
        <f>($P319*(1-(Assumptions!$C$25+0.06*(1-$K319))-Assumptions!$C$27)-Assumptions!$C$28)-MAX(0,($P319*(1-(Assumptions!$C$25+0.06*(1-$K319))-Assumptions!$C$27)-Assumptions!$C$28)*Assumptions!$C$31)+Assumptions!$C$28-Assumptions!$C$29-$P319*Assumptions!$C$30</f>
        <v>126.2118333</v>
      </c>
      <c r="V319" s="143">
        <f>(($Q319/(1+$D319)^1+$R319/(1+$D319)^2+$S319/(1+$D319)^3+$T319/(1+$D319)^4+$U319/(1+$D319)^5+$U319*(1+$E319)/($D319-$E319)/(1+$D319)^5)-Assumptions!$C$37)/Assumptions!$C$40/Assumptions!$C$38</f>
        <v>6.351378473</v>
      </c>
    </row>
    <row r="320" ht="12.0" customHeight="1">
      <c r="B320" s="139">
        <v>268.0</v>
      </c>
      <c r="C320" s="140">
        <f t="shared" si="6"/>
        <v>0.04232183432</v>
      </c>
      <c r="D320" s="141">
        <f t="shared" si="7"/>
        <v>0.08878775683</v>
      </c>
      <c r="E320" s="141">
        <f t="shared" si="8"/>
        <v>0.01457295007</v>
      </c>
      <c r="F320" s="140">
        <f t="shared" si="9"/>
        <v>0.9949507188</v>
      </c>
      <c r="G320" s="141">
        <f t="shared" si="10"/>
        <v>0.0869852519</v>
      </c>
      <c r="H320" s="142">
        <f t="shared" si="11"/>
        <v>1</v>
      </c>
      <c r="I320" s="142">
        <f t="shared" si="12"/>
        <v>0</v>
      </c>
      <c r="J320" s="142">
        <f t="shared" si="13"/>
        <v>1</v>
      </c>
      <c r="K320" s="142">
        <f t="shared" si="14"/>
        <v>0</v>
      </c>
      <c r="L320" s="139">
        <f>Assumptions!$C$6*Assumptions!$C$7*(1+$G320-0.05*(1-1))^1+Assumptions!$C$6*Assumptions!$C$8*(1+Assumptions!$C$11)^1+Assumptions!$C$16*1+Assumptions!$C$6*Assumptions!$C$9*(1+Assumptions!$C$12)^1</f>
        <v>755.7472358</v>
      </c>
      <c r="M320" s="139">
        <f>Assumptions!$C$6*Assumptions!$C$7*(1+$G320-0.05*(1-$H320))^2+Assumptions!$C$6*Assumptions!$C$8*(1+Assumptions!$C$11)^2+Assumptions!$C$16*$H320+Assumptions!$C$6*Assumptions!$C$9*(1+Assumptions!$C$12)^2</f>
        <v>794.1706933</v>
      </c>
      <c r="N320" s="139">
        <f>Assumptions!$C$6*Assumptions!$C$7*(1+$G320-0.05*(1-$I320))^3+Assumptions!$C$6*Assumptions!$C$8*(1+Assumptions!$C$11)^3+Assumptions!$C$16*$I320+Assumptions!$C$6*Assumptions!$C$9*(1+Assumptions!$C$12)^3</f>
        <v>718.5407184</v>
      </c>
      <c r="O320" s="139">
        <f>Assumptions!$C$6*Assumptions!$C$7*(1+$G320-0.05*(1-$J320))^4+Assumptions!$C$6*Assumptions!$C$8*(1+Assumptions!$C$11)^4+Assumptions!$C$16*$J320+Assumptions!$C$6*Assumptions!$C$9*(1+Assumptions!$C$12)^4</f>
        <v>879.9621022</v>
      </c>
      <c r="P320" s="139">
        <f>Assumptions!$C$6*Assumptions!$C$7*(1+$G320-0.05*(1-$K320))^5+Assumptions!$C$6*Assumptions!$C$8*(1+Assumptions!$C$11)^5+Assumptions!$C$16*$K320+Assumptions!$C$6*Assumptions!$C$9*(1+Assumptions!$C$12)^5</f>
        <v>760.6837586</v>
      </c>
      <c r="Q320" s="139">
        <f>($L320*(1-(Assumptions!$C$25+0.06*(1-1))-Assumptions!$C$27)-Assumptions!$C$28)-MAX(0,($L320*(1-(Assumptions!$C$25+0.06*(1-1))-Assumptions!$C$27)-Assumptions!$C$28)*Assumptions!$C$31)+Assumptions!$C$28-Assumptions!$C$29-$L320*Assumptions!$C$30</f>
        <v>94.98565569</v>
      </c>
      <c r="R320" s="139">
        <f>($M320*(1-(Assumptions!$C$25+0.06*(1-$H320))-Assumptions!$C$27)-Assumptions!$C$28)-MAX(0,($M320*(1-(Assumptions!$C$25+0.06*(1-$H320))-Assumptions!$C$27)-Assumptions!$C$28)*Assumptions!$C$31)+Assumptions!$C$28-Assumptions!$C$29-$M320*Assumptions!$C$30</f>
        <v>103.2466991</v>
      </c>
      <c r="S320" s="139">
        <f>($N320*(1-(Assumptions!$C$25+0.06*(1-$I320))-Assumptions!$C$27)-Assumptions!$C$28)-MAX(0,($N320*(1-(Assumptions!$C$25+0.06*(1-$I320))-Assumptions!$C$27)-Assumptions!$C$28)*Assumptions!$C$31)+Assumptions!$C$28-Assumptions!$C$29-$N320*Assumptions!$C$30</f>
        <v>45.26436522</v>
      </c>
      <c r="T320" s="139">
        <f>($O320*(1-(Assumptions!$C$25+0.06*(1-$J320))-Assumptions!$C$27)-Assumptions!$C$28)-MAX(0,($O320*(1-(Assumptions!$C$25+0.06*(1-$J320))-Assumptions!$C$27)-Assumptions!$C$28)*Assumptions!$C$31)+Assumptions!$C$28-Assumptions!$C$29-$O320*Assumptions!$C$30</f>
        <v>121.691852</v>
      </c>
      <c r="U320" s="139">
        <f>($P320*(1-(Assumptions!$C$25+0.06*(1-$K320))-Assumptions!$C$27)-Assumptions!$C$28)-MAX(0,($P320*(1-(Assumptions!$C$25+0.06*(1-$K320))-Assumptions!$C$27)-Assumptions!$C$28)*Assumptions!$C$31)+Assumptions!$C$28-Assumptions!$C$29-$P320*Assumptions!$C$30</f>
        <v>54.95726448</v>
      </c>
      <c r="V320" s="143">
        <f>(($Q320/(1+$D320)^1+$R320/(1+$D320)^2+$S320/(1+$D320)^3+$T320/(1+$D320)^4+$U320/(1+$D320)^5+$U320*(1+$E320)/($D320-$E320)/(1+$D320)^5)-Assumptions!$C$37)/Assumptions!$C$40/Assumptions!$C$38</f>
        <v>1.024177587</v>
      </c>
    </row>
    <row r="321" ht="12.0" customHeight="1">
      <c r="B321" s="139">
        <v>269.0</v>
      </c>
      <c r="C321" s="140">
        <f t="shared" si="6"/>
        <v>0.4161080196</v>
      </c>
      <c r="D321" s="141">
        <f t="shared" si="7"/>
        <v>0.09690128731</v>
      </c>
      <c r="E321" s="141">
        <f t="shared" si="8"/>
        <v>0.02304786776</v>
      </c>
      <c r="F321" s="140">
        <f t="shared" si="9"/>
        <v>0.7412895283</v>
      </c>
      <c r="G321" s="141">
        <f t="shared" si="10"/>
        <v>0.06842040665</v>
      </c>
      <c r="H321" s="142">
        <f t="shared" si="11"/>
        <v>1</v>
      </c>
      <c r="I321" s="142">
        <f t="shared" si="12"/>
        <v>1</v>
      </c>
      <c r="J321" s="142">
        <f t="shared" si="13"/>
        <v>0</v>
      </c>
      <c r="K321" s="142">
        <f t="shared" si="14"/>
        <v>1</v>
      </c>
      <c r="L321" s="139">
        <f>Assumptions!$C$6*Assumptions!$C$7*(1+$G321-0.05*(1-1))^1+Assumptions!$C$6*Assumptions!$C$8*(1+Assumptions!$C$11)^1+Assumptions!$C$16*1+Assumptions!$C$6*Assumptions!$C$9*(1+Assumptions!$C$12)^1</f>
        <v>749.4983089</v>
      </c>
      <c r="M321" s="139">
        <f>Assumptions!$C$6*Assumptions!$C$7*(1+$G321-0.05*(1-$H321))^2+Assumptions!$C$6*Assumptions!$C$8*(1+Assumptions!$C$11)^2+Assumptions!$C$16*$H321+Assumptions!$C$6*Assumptions!$C$9*(1+Assumptions!$C$12)^2</f>
        <v>780.7017209</v>
      </c>
      <c r="N321" s="139">
        <f>Assumptions!$C$6*Assumptions!$C$7*(1+$G321-0.05*(1-$I321))^3+Assumptions!$C$6*Assumptions!$C$8*(1+Assumptions!$C$11)^3+Assumptions!$C$16*$I321+Assumptions!$C$6*Assumptions!$C$9*(1+Assumptions!$C$12)^3</f>
        <v>813.7206361</v>
      </c>
      <c r="O321" s="139">
        <f>Assumptions!$C$6*Assumptions!$C$7*(1+$G321-0.05*(1-$J321))^4+Assumptions!$C$6*Assumptions!$C$8*(1+Assumptions!$C$11)^4+Assumptions!$C$16*$J321+Assumptions!$C$6*Assumptions!$C$9*(1+Assumptions!$C$12)^4</f>
        <v>712.1535234</v>
      </c>
      <c r="P321" s="139">
        <f>Assumptions!$C$6*Assumptions!$C$7*(1+$G321-0.05*(1-$K321))^5+Assumptions!$C$6*Assumptions!$C$8*(1+Assumptions!$C$11)^5+Assumptions!$C$16*$K321+Assumptions!$C$6*Assumptions!$C$9*(1+Assumptions!$C$12)^5</f>
        <v>885.6842247</v>
      </c>
      <c r="Q321" s="139">
        <f>($L321*(1-(Assumptions!$C$25+0.06*(1-1))-Assumptions!$C$27)-Assumptions!$C$28)-MAX(0,($L321*(1-(Assumptions!$C$25+0.06*(1-1))-Assumptions!$C$27)-Assumptions!$C$28)*Assumptions!$C$31)+Assumptions!$C$28-Assumptions!$C$29-$L321*Assumptions!$C$30</f>
        <v>93.64213641</v>
      </c>
      <c r="R321" s="139">
        <f>($M321*(1-(Assumptions!$C$25+0.06*(1-$H321))-Assumptions!$C$27)-Assumptions!$C$28)-MAX(0,($M321*(1-(Assumptions!$C$25+0.06*(1-$H321))-Assumptions!$C$27)-Assumptions!$C$28)*Assumptions!$C$31)+Assumptions!$C$28-Assumptions!$C$29-$M321*Assumptions!$C$30</f>
        <v>100.35087</v>
      </c>
      <c r="S321" s="139">
        <f>($N321*(1-(Assumptions!$C$25+0.06*(1-$I321))-Assumptions!$C$27)-Assumptions!$C$28)-MAX(0,($N321*(1-(Assumptions!$C$25+0.06*(1-$I321))-Assumptions!$C$27)-Assumptions!$C$28)*Assumptions!$C$31)+Assumptions!$C$28-Assumptions!$C$29-$N321*Assumptions!$C$30</f>
        <v>107.4499368</v>
      </c>
      <c r="T321" s="139">
        <f>($O321*(1-(Assumptions!$C$25+0.06*(1-$J321))-Assumptions!$C$27)-Assumptions!$C$28)-MAX(0,($O321*(1-(Assumptions!$C$25+0.06*(1-$J321))-Assumptions!$C$27)-Assumptions!$C$28)*Assumptions!$C$31)+Assumptions!$C$28-Assumptions!$C$29-$O321*Assumptions!$C$30</f>
        <v>43.79531039</v>
      </c>
      <c r="U321" s="139">
        <f>($P321*(1-(Assumptions!$C$25+0.06*(1-$K321))-Assumptions!$C$27)-Assumptions!$C$28)-MAX(0,($P321*(1-(Assumptions!$C$25+0.06*(1-$K321))-Assumptions!$C$27)-Assumptions!$C$28)*Assumptions!$C$31)+Assumptions!$C$28-Assumptions!$C$29-$P321*Assumptions!$C$30</f>
        <v>122.9221083</v>
      </c>
      <c r="V321" s="143">
        <f>(($Q321/(1+$D321)^1+$R321/(1+$D321)^2+$S321/(1+$D321)^3+$T321/(1+$D321)^4+$U321/(1+$D321)^5+$U321*(1+$E321)/($D321-$E321)/(1+$D321)^5)-Assumptions!$C$37)/Assumptions!$C$40/Assumptions!$C$38</f>
        <v>5.762860809</v>
      </c>
    </row>
    <row r="322" ht="12.0" customHeight="1">
      <c r="B322" s="139">
        <v>270.0</v>
      </c>
      <c r="C322" s="140">
        <f t="shared" si="6"/>
        <v>0.7680746328</v>
      </c>
      <c r="D322" s="141">
        <f t="shared" si="7"/>
        <v>0.1035934172</v>
      </c>
      <c r="E322" s="141">
        <f t="shared" si="8"/>
        <v>0.02262965069</v>
      </c>
      <c r="F322" s="140">
        <f t="shared" si="9"/>
        <v>0.8158664538</v>
      </c>
      <c r="G322" s="141">
        <f t="shared" si="10"/>
        <v>0.0717944958</v>
      </c>
      <c r="H322" s="142">
        <f t="shared" si="11"/>
        <v>1</v>
      </c>
      <c r="I322" s="142">
        <f t="shared" si="12"/>
        <v>1</v>
      </c>
      <c r="J322" s="142">
        <f t="shared" si="13"/>
        <v>0</v>
      </c>
      <c r="K322" s="142">
        <f t="shared" si="14"/>
        <v>1</v>
      </c>
      <c r="L322" s="139">
        <f>Assumptions!$C$6*Assumptions!$C$7*(1+$G322-0.05*(1-1))^1+Assumptions!$C$6*Assumptions!$C$8*(1+Assumptions!$C$11)^1+Assumptions!$C$16*1+Assumptions!$C$6*Assumptions!$C$9*(1+Assumptions!$C$12)^1</f>
        <v>750.6340273</v>
      </c>
      <c r="M322" s="139">
        <f>Assumptions!$C$6*Assumptions!$C$7*(1+$G322-0.05*(1-$H322))^2+Assumptions!$C$6*Assumptions!$C$8*(1+Assumptions!$C$11)^2+Assumptions!$C$16*$H322+Assumptions!$C$6*Assumptions!$C$9*(1+Assumptions!$C$12)^2</f>
        <v>783.1324023</v>
      </c>
      <c r="N322" s="139">
        <f>Assumptions!$C$6*Assumptions!$C$7*(1+$G322-0.05*(1-$I322))^3+Assumptions!$C$6*Assumptions!$C$8*(1+Assumptions!$C$11)^3+Assumptions!$C$16*$I322+Assumptions!$C$6*Assumptions!$C$9*(1+Assumptions!$C$12)^3</f>
        <v>817.6222749</v>
      </c>
      <c r="O322" s="139">
        <f>Assumptions!$C$6*Assumptions!$C$7*(1+$G322-0.05*(1-$J322))^4+Assumptions!$C$6*Assumptions!$C$8*(1+Assumptions!$C$11)^4+Assumptions!$C$16*$J322+Assumptions!$C$6*Assumptions!$C$9*(1+Assumptions!$C$12)^4</f>
        <v>716.9759942</v>
      </c>
      <c r="P322" s="139">
        <f>Assumptions!$C$6*Assumptions!$C$7*(1+$G322-0.05*(1-$K322))^5+Assumptions!$C$6*Assumptions!$C$8*(1+Assumptions!$C$11)^5+Assumptions!$C$16*$K322+Assumptions!$C$6*Assumptions!$C$9*(1+Assumptions!$C$12)^5</f>
        <v>893.1307279</v>
      </c>
      <c r="Q322" s="139">
        <f>($L322*(1-(Assumptions!$C$25+0.06*(1-1))-Assumptions!$C$27)-Assumptions!$C$28)-MAX(0,($L322*(1-(Assumptions!$C$25+0.06*(1-1))-Assumptions!$C$27)-Assumptions!$C$28)*Assumptions!$C$31)+Assumptions!$C$28-Assumptions!$C$29-$L322*Assumptions!$C$30</f>
        <v>93.88631587</v>
      </c>
      <c r="R322" s="139">
        <f>($M322*(1-(Assumptions!$C$25+0.06*(1-$H322))-Assumptions!$C$27)-Assumptions!$C$28)-MAX(0,($M322*(1-(Assumptions!$C$25+0.06*(1-$H322))-Assumptions!$C$27)-Assumptions!$C$28)*Assumptions!$C$31)+Assumptions!$C$28-Assumptions!$C$29-$M322*Assumptions!$C$30</f>
        <v>100.8734665</v>
      </c>
      <c r="S322" s="139">
        <f>($N322*(1-(Assumptions!$C$25+0.06*(1-$I322))-Assumptions!$C$27)-Assumptions!$C$28)-MAX(0,($N322*(1-(Assumptions!$C$25+0.06*(1-$I322))-Assumptions!$C$27)-Assumptions!$C$28)*Assumptions!$C$31)+Assumptions!$C$28-Assumptions!$C$29-$N322*Assumptions!$C$30</f>
        <v>108.2887891</v>
      </c>
      <c r="T322" s="139">
        <f>($O322*(1-(Assumptions!$C$25+0.06*(1-$J322))-Assumptions!$C$27)-Assumptions!$C$28)-MAX(0,($O322*(1-(Assumptions!$C$25+0.06*(1-$J322))-Assumptions!$C$27)-Assumptions!$C$28)*Assumptions!$C$31)+Assumptions!$C$28-Assumptions!$C$29-$O322*Assumptions!$C$30</f>
        <v>44.90447866</v>
      </c>
      <c r="U322" s="139">
        <f>($P322*(1-(Assumptions!$C$25+0.06*(1-$K322))-Assumptions!$C$27)-Assumptions!$C$28)-MAX(0,($P322*(1-(Assumptions!$C$25+0.06*(1-$K322))-Assumptions!$C$27)-Assumptions!$C$28)*Assumptions!$C$31)+Assumptions!$C$28-Assumptions!$C$29-$P322*Assumptions!$C$30</f>
        <v>124.5231065</v>
      </c>
      <c r="V322" s="143">
        <f>(($Q322/(1+$D322)^1+$R322/(1+$D322)^2+$S322/(1+$D322)^3+$T322/(1+$D322)^4+$U322/(1+$D322)^5+$U322*(1+$E322)/($D322-$E322)/(1+$D322)^5)-Assumptions!$C$37)/Assumptions!$C$40/Assumptions!$C$38</f>
        <v>4.868923958</v>
      </c>
    </row>
    <row r="323" ht="12.0" customHeight="1">
      <c r="B323" s="139">
        <v>271.0</v>
      </c>
      <c r="C323" s="140">
        <f t="shared" si="6"/>
        <v>0.0553998812</v>
      </c>
      <c r="D323" s="141">
        <f t="shared" si="7"/>
        <v>0.08933365432</v>
      </c>
      <c r="E323" s="141">
        <f t="shared" si="8"/>
        <v>0.01907277239</v>
      </c>
      <c r="F323" s="140">
        <f t="shared" si="9"/>
        <v>0.04588557418</v>
      </c>
      <c r="G323" s="141">
        <f t="shared" si="10"/>
        <v>0.03908812596</v>
      </c>
      <c r="H323" s="142">
        <f t="shared" si="11"/>
        <v>0</v>
      </c>
      <c r="I323" s="142">
        <f t="shared" si="12"/>
        <v>0</v>
      </c>
      <c r="J323" s="142">
        <f t="shared" si="13"/>
        <v>1</v>
      </c>
      <c r="K323" s="142">
        <f t="shared" si="14"/>
        <v>1</v>
      </c>
      <c r="L323" s="139">
        <f>Assumptions!$C$6*Assumptions!$C$7*(1+$G323-0.05*(1-1))^1+Assumptions!$C$6*Assumptions!$C$8*(1+Assumptions!$C$11)^1+Assumptions!$C$16*1+Assumptions!$C$6*Assumptions!$C$9*(1+Assumptions!$C$12)^1</f>
        <v>739.6250632</v>
      </c>
      <c r="M323" s="139">
        <f>Assumptions!$C$6*Assumptions!$C$7*(1+$G323-0.05*(1-$H323))^2+Assumptions!$C$6*Assumptions!$C$8*(1+Assumptions!$C$11)^2+Assumptions!$C$16*$H323+Assumptions!$C$6*Assumptions!$C$9*(1+Assumptions!$C$12)^2</f>
        <v>665.759565</v>
      </c>
      <c r="N323" s="139">
        <f>Assumptions!$C$6*Assumptions!$C$7*(1+$G323-0.05*(1-$I323))^3+Assumptions!$C$6*Assumptions!$C$8*(1+Assumptions!$C$11)^3+Assumptions!$C$16*$I323+Assumptions!$C$6*Assumptions!$C$9*(1+Assumptions!$C$12)^3</f>
        <v>668.8956553</v>
      </c>
      <c r="O323" s="139">
        <f>Assumptions!$C$6*Assumptions!$C$7*(1+$G323-0.05*(1-$J323))^4+Assumptions!$C$6*Assumptions!$C$8*(1+Assumptions!$C$11)^4+Assumptions!$C$16*$J323+Assumptions!$C$6*Assumptions!$C$9*(1+Assumptions!$C$12)^4</f>
        <v>802.4537185</v>
      </c>
      <c r="P323" s="139">
        <f>Assumptions!$C$6*Assumptions!$C$7*(1+$G323-0.05*(1-$K323))^5+Assumptions!$C$6*Assumptions!$C$8*(1+Assumptions!$C$11)^5+Assumptions!$C$16*$K323+Assumptions!$C$6*Assumptions!$C$9*(1+Assumptions!$C$12)^5</f>
        <v>824.7928811</v>
      </c>
      <c r="Q323" s="139">
        <f>($L323*(1-(Assumptions!$C$25+0.06*(1-1))-Assumptions!$C$27)-Assumptions!$C$28)-MAX(0,($L323*(1-(Assumptions!$C$25+0.06*(1-1))-Assumptions!$C$27)-Assumptions!$C$28)*Assumptions!$C$31)+Assumptions!$C$28-Assumptions!$C$29-$L323*Assumptions!$C$30</f>
        <v>91.51938859</v>
      </c>
      <c r="R323" s="139">
        <f>($M323*(1-(Assumptions!$C$25+0.06*(1-$H323))-Assumptions!$C$27)-Assumptions!$C$28)-MAX(0,($M323*(1-(Assumptions!$C$25+0.06*(1-$H323))-Assumptions!$C$27)-Assumptions!$C$28)*Assumptions!$C$31)+Assumptions!$C$28-Assumptions!$C$29-$M323*Assumptions!$C$30</f>
        <v>33.12469996</v>
      </c>
      <c r="S323" s="139">
        <f>($N323*(1-(Assumptions!$C$25+0.06*(1-$I323))-Assumptions!$C$27)-Assumptions!$C$28)-MAX(0,($N323*(1-(Assumptions!$C$25+0.06*(1-$I323))-Assumptions!$C$27)-Assumptions!$C$28)*Assumptions!$C$31)+Assumptions!$C$28-Assumptions!$C$29-$N323*Assumptions!$C$30</f>
        <v>33.84600073</v>
      </c>
      <c r="T323" s="139">
        <f>($O323*(1-(Assumptions!$C$25+0.06*(1-$J323))-Assumptions!$C$27)-Assumptions!$C$28)-MAX(0,($O323*(1-(Assumptions!$C$25+0.06*(1-$J323))-Assumptions!$C$27)-Assumptions!$C$28)*Assumptions!$C$31)+Assumptions!$C$28-Assumptions!$C$29-$O323*Assumptions!$C$30</f>
        <v>105.0275495</v>
      </c>
      <c r="U323" s="139">
        <f>($P323*(1-(Assumptions!$C$25+0.06*(1-$K323))-Assumptions!$C$27)-Assumptions!$C$28)-MAX(0,($P323*(1-(Assumptions!$C$25+0.06*(1-$K323))-Assumptions!$C$27)-Assumptions!$C$28)*Assumptions!$C$31)+Assumptions!$C$28-Assumptions!$C$29-$P323*Assumptions!$C$30</f>
        <v>109.8304694</v>
      </c>
      <c r="V323" s="143">
        <f>(($Q323/(1+$D323)^1+$R323/(1+$D323)^2+$S323/(1+$D323)^3+$T323/(1+$D323)^4+$U323/(1+$D323)^5+$U323*(1+$E323)/($D323-$E323)/(1+$D323)^5)-Assumptions!$C$37)/Assumptions!$C$40/Assumptions!$C$38</f>
        <v>4.925137726</v>
      </c>
    </row>
    <row r="324" ht="12.0" customHeight="1">
      <c r="B324" s="139">
        <v>272.0</v>
      </c>
      <c r="C324" s="140">
        <f t="shared" si="6"/>
        <v>0.5406181775</v>
      </c>
      <c r="D324" s="141">
        <f t="shared" si="7"/>
        <v>0.0989465517</v>
      </c>
      <c r="E324" s="141">
        <f t="shared" si="8"/>
        <v>0.01689895709</v>
      </c>
      <c r="F324" s="140">
        <f t="shared" si="9"/>
        <v>0.1785408287</v>
      </c>
      <c r="G324" s="141">
        <f t="shared" si="10"/>
        <v>0.04792689297</v>
      </c>
      <c r="H324" s="142">
        <f t="shared" si="11"/>
        <v>0</v>
      </c>
      <c r="I324" s="142">
        <f t="shared" si="12"/>
        <v>1</v>
      </c>
      <c r="J324" s="142">
        <f t="shared" si="13"/>
        <v>0</v>
      </c>
      <c r="K324" s="142">
        <f t="shared" si="14"/>
        <v>1</v>
      </c>
      <c r="L324" s="139">
        <f>Assumptions!$C$6*Assumptions!$C$7*(1+$G324-0.05*(1-1))^1+Assumptions!$C$6*Assumptions!$C$8*(1+Assumptions!$C$11)^1+Assumptions!$C$16*1+Assumptions!$C$6*Assumptions!$C$9*(1+Assumptions!$C$12)^1</f>
        <v>742.6001922</v>
      </c>
      <c r="M324" s="139">
        <f>Assumptions!$C$6*Assumptions!$C$7*(1+$G324-0.05*(1-$H324))^2+Assumptions!$C$6*Assumptions!$C$8*(1+Assumptions!$C$11)^2+Assumptions!$C$16*$H324+Assumptions!$C$6*Assumptions!$C$9*(1+Assumptions!$C$12)^2</f>
        <v>671.671191</v>
      </c>
      <c r="N324" s="139">
        <f>Assumptions!$C$6*Assumptions!$C$7*(1+$G324-0.05*(1-$I324))^3+Assumptions!$C$6*Assumptions!$C$8*(1+Assumptions!$C$11)^3+Assumptions!$C$16*$I324+Assumptions!$C$6*Assumptions!$C$9*(1+Assumptions!$C$12)^3</f>
        <v>790.5477967</v>
      </c>
      <c r="O324" s="139">
        <f>Assumptions!$C$6*Assumptions!$C$7*(1+$G324-0.05*(1-$J324))^4+Assumptions!$C$6*Assumptions!$C$8*(1+Assumptions!$C$11)^4+Assumptions!$C$16*$J324+Assumptions!$C$6*Assumptions!$C$9*(1+Assumptions!$C$12)^4</f>
        <v>683.875997</v>
      </c>
      <c r="P324" s="139">
        <f>Assumptions!$C$6*Assumptions!$C$7*(1+$G324-0.05*(1-$K324))^5+Assumptions!$C$6*Assumptions!$C$8*(1+Assumptions!$C$11)^5+Assumptions!$C$16*$K324+Assumptions!$C$6*Assumptions!$C$9*(1+Assumptions!$C$12)^5</f>
        <v>842.4318703</v>
      </c>
      <c r="Q324" s="139">
        <f>($L324*(1-(Assumptions!$C$25+0.06*(1-1))-Assumptions!$C$27)-Assumptions!$C$28)-MAX(0,($L324*(1-(Assumptions!$C$25+0.06*(1-1))-Assumptions!$C$27)-Assumptions!$C$28)*Assumptions!$C$31)+Assumptions!$C$28-Assumptions!$C$29-$L324*Assumptions!$C$30</f>
        <v>92.15904132</v>
      </c>
      <c r="R324" s="139">
        <f>($M324*(1-(Assumptions!$C$25+0.06*(1-$H324))-Assumptions!$C$27)-Assumptions!$C$28)-MAX(0,($M324*(1-(Assumptions!$C$25+0.06*(1-$H324))-Assumptions!$C$27)-Assumptions!$C$28)*Assumptions!$C$31)+Assumptions!$C$28-Assumptions!$C$29-$M324*Assumptions!$C$30</f>
        <v>34.48437393</v>
      </c>
      <c r="S324" s="139">
        <f>($N324*(1-(Assumptions!$C$25+0.06*(1-$I324))-Assumptions!$C$27)-Assumptions!$C$28)-MAX(0,($N324*(1-(Assumptions!$C$25+0.06*(1-$I324))-Assumptions!$C$27)-Assumptions!$C$28)*Assumptions!$C$31)+Assumptions!$C$28-Assumptions!$C$29-$N324*Assumptions!$C$30</f>
        <v>102.4677763</v>
      </c>
      <c r="T324" s="139">
        <f>($O324*(1-(Assumptions!$C$25+0.06*(1-$J324))-Assumptions!$C$27)-Assumptions!$C$28)-MAX(0,($O324*(1-(Assumptions!$C$25+0.06*(1-$J324))-Assumptions!$C$27)-Assumptions!$C$28)*Assumptions!$C$31)+Assumptions!$C$28-Assumptions!$C$29-$O324*Assumptions!$C$30</f>
        <v>37.29147932</v>
      </c>
      <c r="U324" s="139">
        <f>($P324*(1-(Assumptions!$C$25+0.06*(1-$K324))-Assumptions!$C$27)-Assumptions!$C$28)-MAX(0,($P324*(1-(Assumptions!$C$25+0.06*(1-$K324))-Assumptions!$C$27)-Assumptions!$C$28)*Assumptions!$C$31)+Assumptions!$C$28-Assumptions!$C$29-$P324*Assumptions!$C$30</f>
        <v>113.6228521</v>
      </c>
      <c r="V324" s="143">
        <f>(($Q324/(1+$D324)^1+$R324/(1+$D324)^2+$S324/(1+$D324)^3+$T324/(1+$D324)^4+$U324/(1+$D324)^5+$U324*(1+$E324)/($D324-$E324)/(1+$D324)^5)-Assumptions!$C$37)/Assumptions!$C$40/Assumptions!$C$38</f>
        <v>3.691180403</v>
      </c>
    </row>
    <row r="325" ht="12.0" customHeight="1">
      <c r="B325" s="139">
        <v>273.0</v>
      </c>
      <c r="C325" s="140">
        <f t="shared" si="6"/>
        <v>0.6437685752</v>
      </c>
      <c r="D325" s="141">
        <f t="shared" si="7"/>
        <v>0.1008633162</v>
      </c>
      <c r="E325" s="141">
        <f t="shared" si="8"/>
        <v>0.02667375364</v>
      </c>
      <c r="F325" s="140">
        <f t="shared" si="9"/>
        <v>0.07700530567</v>
      </c>
      <c r="G325" s="141">
        <f t="shared" si="10"/>
        <v>0.04177325572</v>
      </c>
      <c r="H325" s="142">
        <f t="shared" si="11"/>
        <v>1</v>
      </c>
      <c r="I325" s="142">
        <f t="shared" si="12"/>
        <v>1</v>
      </c>
      <c r="J325" s="142">
        <f t="shared" si="13"/>
        <v>1</v>
      </c>
      <c r="K325" s="142">
        <f t="shared" si="14"/>
        <v>1</v>
      </c>
      <c r="L325" s="139">
        <f>Assumptions!$C$6*Assumptions!$C$7*(1+$G325-0.05*(1-1))^1+Assumptions!$C$6*Assumptions!$C$8*(1+Assumptions!$C$11)^1+Assumptions!$C$16*1+Assumptions!$C$6*Assumptions!$C$9*(1+Assumptions!$C$12)^1</f>
        <v>740.5288779</v>
      </c>
      <c r="M325" s="139">
        <f>Assumptions!$C$6*Assumptions!$C$7*(1+$G325-0.05*(1-$H325))^2+Assumptions!$C$6*Assumptions!$C$8*(1+Assumptions!$C$11)^2+Assumptions!$C$16*$H325+Assumptions!$C$6*Assumptions!$C$9*(1+Assumptions!$C$12)^2</f>
        <v>761.7744844</v>
      </c>
      <c r="N325" s="139">
        <f>Assumptions!$C$6*Assumptions!$C$7*(1+$G325-0.05*(1-$I325))^3+Assumptions!$C$6*Assumptions!$C$8*(1+Assumptions!$C$11)^3+Assumptions!$C$16*$I325+Assumptions!$C$6*Assumptions!$C$9*(1+Assumptions!$C$12)^3</f>
        <v>783.7639431</v>
      </c>
      <c r="O325" s="139">
        <f>Assumptions!$C$6*Assumptions!$C$7*(1+$G325-0.05*(1-$J325))^4+Assumptions!$C$6*Assumptions!$C$8*(1+Assumptions!$C$11)^4+Assumptions!$C$16*$J325+Assumptions!$C$6*Assumptions!$C$9*(1+Assumptions!$C$12)^4</f>
        <v>806.5254541</v>
      </c>
      <c r="P325" s="139">
        <f>Assumptions!$C$6*Assumptions!$C$7*(1+$G325-0.05*(1-$K325))^5+Assumptions!$C$6*Assumptions!$C$8*(1+Assumptions!$C$11)^5+Assumptions!$C$16*$K325+Assumptions!$C$6*Assumptions!$C$9*(1+Assumptions!$C$12)^5</f>
        <v>830.0883382</v>
      </c>
      <c r="Q325" s="139">
        <f>($L325*(1-(Assumptions!$C$25+0.06*(1-1))-Assumptions!$C$27)-Assumptions!$C$28)-MAX(0,($L325*(1-(Assumptions!$C$25+0.06*(1-1))-Assumptions!$C$27)-Assumptions!$C$28)*Assumptions!$C$31)+Assumptions!$C$28-Assumptions!$C$29-$L325*Assumptions!$C$30</f>
        <v>91.71370874</v>
      </c>
      <c r="R325" s="139">
        <f>($M325*(1-(Assumptions!$C$25+0.06*(1-$H325))-Assumptions!$C$27)-Assumptions!$C$28)-MAX(0,($M325*(1-(Assumptions!$C$25+0.06*(1-$H325))-Assumptions!$C$27)-Assumptions!$C$28)*Assumptions!$C$31)+Assumptions!$C$28-Assumptions!$C$29-$M325*Assumptions!$C$30</f>
        <v>96.28151415</v>
      </c>
      <c r="S325" s="139">
        <f>($N325*(1-(Assumptions!$C$25+0.06*(1-$I325))-Assumptions!$C$27)-Assumptions!$C$28)-MAX(0,($N325*(1-(Assumptions!$C$25+0.06*(1-$I325))-Assumptions!$C$27)-Assumptions!$C$28)*Assumptions!$C$31)+Assumptions!$C$28-Assumptions!$C$29-$N325*Assumptions!$C$30</f>
        <v>101.0092478</v>
      </c>
      <c r="T325" s="139">
        <f>($O325*(1-(Assumptions!$C$25+0.06*(1-$J325))-Assumptions!$C$27)-Assumptions!$C$28)-MAX(0,($O325*(1-(Assumptions!$C$25+0.06*(1-$J325))-Assumptions!$C$27)-Assumptions!$C$28)*Assumptions!$C$31)+Assumptions!$C$28-Assumptions!$C$29-$O325*Assumptions!$C$30</f>
        <v>105.9029726</v>
      </c>
      <c r="U325" s="139">
        <f>($P325*(1-(Assumptions!$C$25+0.06*(1-$K325))-Assumptions!$C$27)-Assumptions!$C$28)-MAX(0,($P325*(1-(Assumptions!$C$25+0.06*(1-$K325))-Assumptions!$C$27)-Assumptions!$C$28)*Assumptions!$C$31)+Assumptions!$C$28-Assumptions!$C$29-$P325*Assumptions!$C$30</f>
        <v>110.9689927</v>
      </c>
      <c r="V325" s="143">
        <f>(($Q325/(1+$D325)^1+$R325/(1+$D325)^2+$S325/(1+$D325)^3+$T325/(1+$D325)^4+$U325/(1+$D325)^5+$U325*(1+$E325)/($D325-$E325)/(1+$D325)^5)-Assumptions!$C$37)/Assumptions!$C$40/Assumptions!$C$38</f>
        <v>4.97339916</v>
      </c>
    </row>
    <row r="326" ht="12.0" customHeight="1">
      <c r="B326" s="139">
        <v>274.0</v>
      </c>
      <c r="C326" s="140">
        <f t="shared" si="6"/>
        <v>0.6043253458</v>
      </c>
      <c r="D326" s="141">
        <f t="shared" si="7"/>
        <v>0.1001012255</v>
      </c>
      <c r="E326" s="141">
        <f t="shared" si="8"/>
        <v>0.02667361791</v>
      </c>
      <c r="F326" s="140">
        <f t="shared" si="9"/>
        <v>0.05437936035</v>
      </c>
      <c r="G326" s="141">
        <f t="shared" si="10"/>
        <v>0.03989357613</v>
      </c>
      <c r="H326" s="142">
        <f t="shared" si="11"/>
        <v>1</v>
      </c>
      <c r="I326" s="142">
        <f t="shared" si="12"/>
        <v>1</v>
      </c>
      <c r="J326" s="142">
        <f t="shared" si="13"/>
        <v>1</v>
      </c>
      <c r="K326" s="142">
        <f t="shared" si="14"/>
        <v>0</v>
      </c>
      <c r="L326" s="139">
        <f>Assumptions!$C$6*Assumptions!$C$7*(1+$G326-0.05*(1-1))^1+Assumptions!$C$6*Assumptions!$C$8*(1+Assumptions!$C$11)^1+Assumptions!$C$16*1+Assumptions!$C$6*Assumptions!$C$9*(1+Assumptions!$C$12)^1</f>
        <v>739.8961777</v>
      </c>
      <c r="M326" s="139">
        <f>Assumptions!$C$6*Assumptions!$C$7*(1+$G326-0.05*(1-$H326))^2+Assumptions!$C$6*Assumptions!$C$8*(1+Assumptions!$C$11)^2+Assumptions!$C$16*$H326+Assumptions!$C$6*Assumptions!$C$9*(1+Assumptions!$C$12)^2</f>
        <v>760.4574135</v>
      </c>
      <c r="N326" s="139">
        <f>Assumptions!$C$6*Assumptions!$C$7*(1+$G326-0.05*(1-$I326))^3+Assumptions!$C$6*Assumptions!$C$8*(1+Assumptions!$C$11)^3+Assumptions!$C$16*$I326+Assumptions!$C$6*Assumptions!$C$9*(1+Assumptions!$C$12)^3</f>
        <v>781.7076654</v>
      </c>
      <c r="O326" s="139">
        <f>Assumptions!$C$6*Assumptions!$C$7*(1+$G326-0.05*(1-$J326))^4+Assumptions!$C$6*Assumptions!$C$8*(1+Assumptions!$C$11)^4+Assumptions!$C$16*$J326+Assumptions!$C$6*Assumptions!$C$9*(1+Assumptions!$C$12)^4</f>
        <v>803.6717958</v>
      </c>
      <c r="P326" s="139">
        <f>Assumptions!$C$6*Assumptions!$C$7*(1+$G326-0.05*(1-$K326))^5+Assumptions!$C$6*Assumptions!$C$8*(1+Assumptions!$C$11)^5+Assumptions!$C$16*$K326+Assumptions!$C$6*Assumptions!$C$9*(1+Assumptions!$C$12)^5</f>
        <v>676.9909659</v>
      </c>
      <c r="Q326" s="139">
        <f>($L326*(1-(Assumptions!$C$25+0.06*(1-1))-Assumptions!$C$27)-Assumptions!$C$28)-MAX(0,($L326*(1-(Assumptions!$C$25+0.06*(1-1))-Assumptions!$C$27)-Assumptions!$C$28)*Assumptions!$C$31)+Assumptions!$C$28-Assumptions!$C$29-$L326*Assumptions!$C$30</f>
        <v>91.57767821</v>
      </c>
      <c r="R326" s="139">
        <f>($M326*(1-(Assumptions!$C$25+0.06*(1-$H326))-Assumptions!$C$27)-Assumptions!$C$28)-MAX(0,($M326*(1-(Assumptions!$C$25+0.06*(1-$H326))-Assumptions!$C$27)-Assumptions!$C$28)*Assumptions!$C$31)+Assumptions!$C$28-Assumptions!$C$29-$M326*Assumptions!$C$30</f>
        <v>95.9983439</v>
      </c>
      <c r="S326" s="139">
        <f>($N326*(1-(Assumptions!$C$25+0.06*(1-$I326))-Assumptions!$C$27)-Assumptions!$C$28)-MAX(0,($N326*(1-(Assumptions!$C$25+0.06*(1-$I326))-Assumptions!$C$27)-Assumptions!$C$28)*Assumptions!$C$31)+Assumptions!$C$28-Assumptions!$C$29-$N326*Assumptions!$C$30</f>
        <v>100.5671481</v>
      </c>
      <c r="T326" s="139">
        <f>($O326*(1-(Assumptions!$C$25+0.06*(1-$J326))-Assumptions!$C$27)-Assumptions!$C$28)-MAX(0,($O326*(1-(Assumptions!$C$25+0.06*(1-$J326))-Assumptions!$C$27)-Assumptions!$C$28)*Assumptions!$C$31)+Assumptions!$C$28-Assumptions!$C$29-$O326*Assumptions!$C$30</f>
        <v>105.2894361</v>
      </c>
      <c r="U326" s="139">
        <f>($P326*(1-(Assumptions!$C$25+0.06*(1-$K326))-Assumptions!$C$27)-Assumptions!$C$28)-MAX(0,($P326*(1-(Assumptions!$C$25+0.06*(1-$K326))-Assumptions!$C$27)-Assumptions!$C$28)*Assumptions!$C$31)+Assumptions!$C$28-Assumptions!$C$29-$P326*Assumptions!$C$30</f>
        <v>35.70792215</v>
      </c>
      <c r="V326" s="143">
        <f>(($Q326/(1+$D326)^1+$R326/(1+$D326)^2+$S326/(1+$D326)^3+$T326/(1+$D326)^4+$U326/(1+$D326)^5+$U326*(1+$E326)/($D326-$E326)/(1+$D326)^5)-Assumptions!$C$37)/Assumptions!$C$40/Assumptions!$C$38</f>
        <v>-0.3877014316</v>
      </c>
    </row>
    <row r="327" ht="12.0" customHeight="1">
      <c r="B327" s="139">
        <v>275.0</v>
      </c>
      <c r="C327" s="140">
        <f t="shared" si="6"/>
        <v>0.9485109951</v>
      </c>
      <c r="D327" s="141">
        <f t="shared" si="7"/>
        <v>0.1096254924</v>
      </c>
      <c r="E327" s="141">
        <f t="shared" si="8"/>
        <v>0.01933256497</v>
      </c>
      <c r="F327" s="140">
        <f t="shared" si="9"/>
        <v>0.5412867118</v>
      </c>
      <c r="G327" s="141">
        <f t="shared" si="10"/>
        <v>0.06126528374</v>
      </c>
      <c r="H327" s="142">
        <f t="shared" si="11"/>
        <v>0</v>
      </c>
      <c r="I327" s="142">
        <f t="shared" si="12"/>
        <v>1</v>
      </c>
      <c r="J327" s="142">
        <f t="shared" si="13"/>
        <v>1</v>
      </c>
      <c r="K327" s="142">
        <f t="shared" si="14"/>
        <v>0</v>
      </c>
      <c r="L327" s="139">
        <f>Assumptions!$C$6*Assumptions!$C$7*(1+$G327-0.05*(1-1))^1+Assumptions!$C$6*Assumptions!$C$8*(1+Assumptions!$C$11)^1+Assumptions!$C$16*1+Assumptions!$C$6*Assumptions!$C$9*(1+Assumptions!$C$12)^1</f>
        <v>747.0898945</v>
      </c>
      <c r="M327" s="139">
        <f>Assumptions!$C$6*Assumptions!$C$7*(1+$G327-0.05*(1-$H327))^2+Assumptions!$C$6*Assumptions!$C$8*(1+Assumptions!$C$11)^2+Assumptions!$C$16*$H327+Assumptions!$C$6*Assumptions!$C$9*(1+Assumptions!$C$12)^2</f>
        <v>680.6918658</v>
      </c>
      <c r="N327" s="139">
        <f>Assumptions!$C$6*Assumptions!$C$7*(1+$G327-0.05*(1-$I327))^3+Assumptions!$C$6*Assumptions!$C$8*(1+Assumptions!$C$11)^3+Assumptions!$C$16*$I327+Assumptions!$C$6*Assumptions!$C$9*(1+Assumptions!$C$12)^3</f>
        <v>805.5279723</v>
      </c>
      <c r="O327" s="139">
        <f>Assumptions!$C$6*Assumptions!$C$7*(1+$G327-0.05*(1-$J327))^4+Assumptions!$C$6*Assumptions!$C$8*(1+Assumptions!$C$11)^4+Assumptions!$C$16*$J327+Assumptions!$C$6*Assumptions!$C$9*(1+Assumptions!$C$12)^4</f>
        <v>837.0409298</v>
      </c>
      <c r="P327" s="139">
        <f>Assumptions!$C$6*Assumptions!$C$7*(1+$G327-0.05*(1-$K327))^5+Assumptions!$C$6*Assumptions!$C$8*(1+Assumptions!$C$11)^5+Assumptions!$C$16*$K327+Assumptions!$C$6*Assumptions!$C$9*(1+Assumptions!$C$12)^5</f>
        <v>713.0512113</v>
      </c>
      <c r="Q327" s="139">
        <f>($L327*(1-(Assumptions!$C$25+0.06*(1-1))-Assumptions!$C$27)-Assumptions!$C$28)-MAX(0,($L327*(1-(Assumptions!$C$25+0.06*(1-1))-Assumptions!$C$27)-Assumptions!$C$28)*Assumptions!$C$31)+Assumptions!$C$28-Assumptions!$C$29-$L327*Assumptions!$C$30</f>
        <v>93.12432732</v>
      </c>
      <c r="R327" s="139">
        <f>($M327*(1-(Assumptions!$C$25+0.06*(1-$H327))-Assumptions!$C$27)-Assumptions!$C$28)-MAX(0,($M327*(1-(Assumptions!$C$25+0.06*(1-$H327))-Assumptions!$C$27)-Assumptions!$C$28)*Assumptions!$C$31)+Assumptions!$C$28-Assumptions!$C$29-$M327*Assumptions!$C$30</f>
        <v>36.55912913</v>
      </c>
      <c r="S327" s="139">
        <f>($N327*(1-(Assumptions!$C$25+0.06*(1-$I327))-Assumptions!$C$27)-Assumptions!$C$28)-MAX(0,($N327*(1-(Assumptions!$C$25+0.06*(1-$I327))-Assumptions!$C$27)-Assumptions!$C$28)*Assumptions!$C$31)+Assumptions!$C$28-Assumptions!$C$29-$N327*Assumptions!$C$30</f>
        <v>105.688514</v>
      </c>
      <c r="T327" s="139">
        <f>($O327*(1-(Assumptions!$C$25+0.06*(1-$J327))-Assumptions!$C$27)-Assumptions!$C$28)-MAX(0,($O327*(1-(Assumptions!$C$25+0.06*(1-$J327))-Assumptions!$C$27)-Assumptions!$C$28)*Assumptions!$C$31)+Assumptions!$C$28-Assumptions!$C$29-$O327*Assumptions!$C$30</f>
        <v>112.4637999</v>
      </c>
      <c r="U327" s="139">
        <f>($P327*(1-(Assumptions!$C$25+0.06*(1-$K327))-Assumptions!$C$27)-Assumptions!$C$28)-MAX(0,($P327*(1-(Assumptions!$C$25+0.06*(1-$K327))-Assumptions!$C$27)-Assumptions!$C$28)*Assumptions!$C$31)+Assumptions!$C$28-Assumptions!$C$29-$P327*Assumptions!$C$30</f>
        <v>44.0017786</v>
      </c>
      <c r="V327" s="143">
        <f>(($Q327/(1+$D327)^1+$R327/(1+$D327)^2+$S327/(1+$D327)^3+$T327/(1+$D327)^4+$U327/(1+$D327)^5+$U327*(1+$E327)/($D327-$E327)/(1+$D327)^5)-Assumptions!$C$37)/Assumptions!$C$40/Assumptions!$C$38</f>
        <v>-0.8201603323</v>
      </c>
    </row>
    <row r="328" ht="12.0" customHeight="1">
      <c r="B328" s="139">
        <v>276.0</v>
      </c>
      <c r="C328" s="140">
        <f t="shared" si="6"/>
        <v>0.3139957546</v>
      </c>
      <c r="D328" s="141">
        <f t="shared" si="7"/>
        <v>0.09531719733</v>
      </c>
      <c r="E328" s="141">
        <f t="shared" si="8"/>
        <v>0.01989583205</v>
      </c>
      <c r="F328" s="140">
        <f t="shared" si="9"/>
        <v>0.375612672</v>
      </c>
      <c r="G328" s="141">
        <f t="shared" si="10"/>
        <v>0.05600197703</v>
      </c>
      <c r="H328" s="142">
        <f t="shared" si="11"/>
        <v>0</v>
      </c>
      <c r="I328" s="142">
        <f t="shared" si="12"/>
        <v>0</v>
      </c>
      <c r="J328" s="142">
        <f t="shared" si="13"/>
        <v>0</v>
      </c>
      <c r="K328" s="142">
        <f t="shared" si="14"/>
        <v>1</v>
      </c>
      <c r="L328" s="139">
        <f>Assumptions!$C$6*Assumptions!$C$7*(1+$G328-0.05*(1-1))^1+Assumptions!$C$6*Assumptions!$C$8*(1+Assumptions!$C$11)^1+Assumptions!$C$16*1+Assumptions!$C$6*Assumptions!$C$9*(1+Assumptions!$C$12)^1</f>
        <v>745.3182655</v>
      </c>
      <c r="M328" s="139">
        <f>Assumptions!$C$6*Assumptions!$C$7*(1+$G328-0.05*(1-$H328))^2+Assumptions!$C$6*Assumptions!$C$8*(1+Assumptions!$C$11)^2+Assumptions!$C$16*$H328+Assumptions!$C$6*Assumptions!$C$9*(1+Assumptions!$C$12)^2</f>
        <v>677.1180165</v>
      </c>
      <c r="N328" s="139">
        <f>Assumptions!$C$6*Assumptions!$C$7*(1+$G328-0.05*(1-$I328))^3+Assumptions!$C$6*Assumptions!$C$8*(1+Assumptions!$C$11)^3+Assumptions!$C$16*$I328+Assumptions!$C$6*Assumptions!$C$9*(1+Assumptions!$C$12)^3</f>
        <v>685.8919131</v>
      </c>
      <c r="O328" s="139">
        <f>Assumptions!$C$6*Assumptions!$C$7*(1+$G328-0.05*(1-$J328))^4+Assumptions!$C$6*Assumptions!$C$8*(1+Assumptions!$C$11)^4+Assumptions!$C$16*$J328+Assumptions!$C$6*Assumptions!$C$9*(1+Assumptions!$C$12)^4</f>
        <v>694.8126675</v>
      </c>
      <c r="P328" s="139">
        <f>Assumptions!$C$6*Assumptions!$C$7*(1+$G328-0.05*(1-$K328))^5+Assumptions!$C$6*Assumptions!$C$8*(1+Assumptions!$C$11)^5+Assumptions!$C$16*$K328+Assumptions!$C$6*Assumptions!$C$9*(1+Assumptions!$C$12)^5</f>
        <v>859.0755057</v>
      </c>
      <c r="Q328" s="139">
        <f>($L328*(1-(Assumptions!$C$25+0.06*(1-1))-Assumptions!$C$27)-Assumptions!$C$28)-MAX(0,($L328*(1-(Assumptions!$C$25+0.06*(1-1))-Assumptions!$C$27)-Assumptions!$C$28)*Assumptions!$C$31)+Assumptions!$C$28-Assumptions!$C$29-$L328*Assumptions!$C$30</f>
        <v>92.74342708</v>
      </c>
      <c r="R328" s="139">
        <f>($M328*(1-(Assumptions!$C$25+0.06*(1-$H328))-Assumptions!$C$27)-Assumptions!$C$28)-MAX(0,($M328*(1-(Assumptions!$C$25+0.06*(1-$H328))-Assumptions!$C$27)-Assumptions!$C$28)*Assumptions!$C$31)+Assumptions!$C$28-Assumptions!$C$29-$M328*Assumptions!$C$30</f>
        <v>35.7371438</v>
      </c>
      <c r="S328" s="139">
        <f>($N328*(1-(Assumptions!$C$25+0.06*(1-$I328))-Assumptions!$C$27)-Assumptions!$C$28)-MAX(0,($N328*(1-(Assumptions!$C$25+0.06*(1-$I328))-Assumptions!$C$27)-Assumptions!$C$28)*Assumptions!$C$31)+Assumptions!$C$28-Assumptions!$C$29-$N328*Assumptions!$C$30</f>
        <v>37.75514002</v>
      </c>
      <c r="T328" s="139">
        <f>($O328*(1-(Assumptions!$C$25+0.06*(1-$J328))-Assumptions!$C$27)-Assumptions!$C$28)-MAX(0,($O328*(1-(Assumptions!$C$25+0.06*(1-$J328))-Assumptions!$C$27)-Assumptions!$C$28)*Assumptions!$C$31)+Assumptions!$C$28-Assumptions!$C$29-$O328*Assumptions!$C$30</f>
        <v>39.80691352</v>
      </c>
      <c r="U328" s="139">
        <f>($P328*(1-(Assumptions!$C$25+0.06*(1-$K328))-Assumptions!$C$27)-Assumptions!$C$28)-MAX(0,($P328*(1-(Assumptions!$C$25+0.06*(1-$K328))-Assumptions!$C$27)-Assumptions!$C$28)*Assumptions!$C$31)+Assumptions!$C$28-Assumptions!$C$29-$P328*Assumptions!$C$30</f>
        <v>117.2012337</v>
      </c>
      <c r="V328" s="143">
        <f>(($Q328/(1+$D328)^1+$R328/(1+$D328)^2+$S328/(1+$D328)^3+$T328/(1+$D328)^4+$U328/(1+$D328)^5+$U328*(1+$E328)/($D328-$E328)/(1+$D328)^5)-Assumptions!$C$37)/Assumptions!$C$40/Assumptions!$C$38</f>
        <v>4.360750486</v>
      </c>
    </row>
    <row r="329" ht="12.0" customHeight="1">
      <c r="B329" s="139">
        <v>277.0</v>
      </c>
      <c r="C329" s="140">
        <f t="shared" si="6"/>
        <v>0.8437873659</v>
      </c>
      <c r="D329" s="141">
        <f t="shared" si="7"/>
        <v>0.1056386279</v>
      </c>
      <c r="E329" s="141">
        <f t="shared" si="8"/>
        <v>0.01880586196</v>
      </c>
      <c r="F329" s="140">
        <f t="shared" si="9"/>
        <v>0.1733393104</v>
      </c>
      <c r="G329" s="141">
        <f t="shared" si="10"/>
        <v>0.04766382628</v>
      </c>
      <c r="H329" s="142">
        <f t="shared" si="11"/>
        <v>1</v>
      </c>
      <c r="I329" s="142">
        <f t="shared" si="12"/>
        <v>0</v>
      </c>
      <c r="J329" s="142">
        <f t="shared" si="13"/>
        <v>1</v>
      </c>
      <c r="K329" s="142">
        <f t="shared" si="14"/>
        <v>1</v>
      </c>
      <c r="L329" s="139">
        <f>Assumptions!$C$6*Assumptions!$C$7*(1+$G329-0.05*(1-1))^1+Assumptions!$C$6*Assumptions!$C$8*(1+Assumptions!$C$11)^1+Assumptions!$C$16*1+Assumptions!$C$6*Assumptions!$C$9*(1+Assumptions!$C$12)^1</f>
        <v>742.5116439</v>
      </c>
      <c r="M329" s="139">
        <f>Assumptions!$C$6*Assumptions!$C$7*(1+$G329-0.05*(1-$H329))^2+Assumptions!$C$6*Assumptions!$C$8*(1+Assumptions!$C$11)^2+Assumptions!$C$16*$H329+Assumptions!$C$6*Assumptions!$C$9*(1+Assumptions!$C$12)^2</f>
        <v>765.9173493</v>
      </c>
      <c r="N329" s="139">
        <f>Assumptions!$C$6*Assumptions!$C$7*(1+$G329-0.05*(1-$I329))^3+Assumptions!$C$6*Assumptions!$C$8*(1+Assumptions!$C$11)^3+Assumptions!$C$16*$I329+Assumptions!$C$6*Assumptions!$C$9*(1+Assumptions!$C$12)^3</f>
        <v>677.4411059</v>
      </c>
      <c r="O329" s="139">
        <f>Assumptions!$C$6*Assumptions!$C$7*(1+$G329-0.05*(1-$J329))^4+Assumptions!$C$6*Assumptions!$C$8*(1+Assumptions!$C$11)^4+Assumptions!$C$16*$J329+Assumptions!$C$6*Assumptions!$C$9*(1+Assumptions!$C$12)^4</f>
        <v>815.5688767</v>
      </c>
      <c r="P329" s="139">
        <f>Assumptions!$C$6*Assumptions!$C$7*(1+$G329-0.05*(1-$K329))^5+Assumptions!$C$6*Assumptions!$C$8*(1+Assumptions!$C$11)^5+Assumptions!$C$16*$K329+Assumptions!$C$6*Assumptions!$C$9*(1+Assumptions!$C$12)^5</f>
        <v>841.8982211</v>
      </c>
      <c r="Q329" s="139">
        <f>($L329*(1-(Assumptions!$C$25+0.06*(1-1))-Assumptions!$C$27)-Assumptions!$C$28)-MAX(0,($L329*(1-(Assumptions!$C$25+0.06*(1-1))-Assumptions!$C$27)-Assumptions!$C$28)*Assumptions!$C$31)+Assumptions!$C$28-Assumptions!$C$29-$L329*Assumptions!$C$30</f>
        <v>92.14000344</v>
      </c>
      <c r="R329" s="139">
        <f>($M329*(1-(Assumptions!$C$25+0.06*(1-$H329))-Assumptions!$C$27)-Assumptions!$C$28)-MAX(0,($M329*(1-(Assumptions!$C$25+0.06*(1-$H329))-Assumptions!$C$27)-Assumptions!$C$28)*Assumptions!$C$31)+Assumptions!$C$28-Assumptions!$C$29-$M329*Assumptions!$C$30</f>
        <v>97.1722301</v>
      </c>
      <c r="S329" s="139">
        <f>($N329*(1-(Assumptions!$C$25+0.06*(1-$I329))-Assumptions!$C$27)-Assumptions!$C$28)-MAX(0,($N329*(1-(Assumptions!$C$25+0.06*(1-$I329))-Assumptions!$C$27)-Assumptions!$C$28)*Assumptions!$C$31)+Assumptions!$C$28-Assumptions!$C$29-$N329*Assumptions!$C$30</f>
        <v>35.81145435</v>
      </c>
      <c r="T329" s="139">
        <f>($O329*(1-(Assumptions!$C$25+0.06*(1-$J329))-Assumptions!$C$27)-Assumptions!$C$28)-MAX(0,($O329*(1-(Assumptions!$C$25+0.06*(1-$J329))-Assumptions!$C$27)-Assumptions!$C$28)*Assumptions!$C$31)+Assumptions!$C$28-Assumptions!$C$29-$O329*Assumptions!$C$30</f>
        <v>107.8473085</v>
      </c>
      <c r="U329" s="139">
        <f>($P329*(1-(Assumptions!$C$25+0.06*(1-$K329))-Assumptions!$C$27)-Assumptions!$C$28)-MAX(0,($P329*(1-(Assumptions!$C$25+0.06*(1-$K329))-Assumptions!$C$27)-Assumptions!$C$28)*Assumptions!$C$31)+Assumptions!$C$28-Assumptions!$C$29-$P329*Assumptions!$C$30</f>
        <v>113.5081175</v>
      </c>
      <c r="V329" s="143">
        <f>(($Q329/(1+$D329)^1+$R329/(1+$D329)^2+$S329/(1+$D329)^3+$T329/(1+$D329)^4+$U329/(1+$D329)^5+$U329*(1+$E329)/($D329-$E329)/(1+$D329)^5)-Assumptions!$C$37)/Assumptions!$C$40/Assumptions!$C$38</f>
        <v>3.469301375</v>
      </c>
    </row>
    <row r="330" ht="12.0" customHeight="1">
      <c r="B330" s="139">
        <v>278.0</v>
      </c>
      <c r="C330" s="140">
        <f t="shared" si="6"/>
        <v>0.321409645</v>
      </c>
      <c r="D330" s="141">
        <f t="shared" si="7"/>
        <v>0.09543828864</v>
      </c>
      <c r="E330" s="141">
        <f t="shared" si="8"/>
        <v>0.0120881401</v>
      </c>
      <c r="F330" s="140">
        <f t="shared" si="9"/>
        <v>0.1090837613</v>
      </c>
      <c r="G330" s="141">
        <f t="shared" si="10"/>
        <v>0.04401252191</v>
      </c>
      <c r="H330" s="142">
        <f t="shared" si="11"/>
        <v>0</v>
      </c>
      <c r="I330" s="142">
        <f t="shared" si="12"/>
        <v>1</v>
      </c>
      <c r="J330" s="142">
        <f t="shared" si="13"/>
        <v>1</v>
      </c>
      <c r="K330" s="142">
        <f t="shared" si="14"/>
        <v>0</v>
      </c>
      <c r="L330" s="139">
        <f>Assumptions!$C$6*Assumptions!$C$7*(1+$G330-0.05*(1-1))^1+Assumptions!$C$6*Assumptions!$C$8*(1+Assumptions!$C$11)^1+Assumptions!$C$16*1+Assumptions!$C$6*Assumptions!$C$9*(1+Assumptions!$C$12)^1</f>
        <v>741.2826149</v>
      </c>
      <c r="M330" s="139">
        <f>Assumptions!$C$6*Assumptions!$C$7*(1+$G330-0.05*(1-$H330))^2+Assumptions!$C$6*Assumptions!$C$8*(1+Assumptions!$C$11)^2+Assumptions!$C$16*$H330+Assumptions!$C$6*Assumptions!$C$9*(1+Assumptions!$C$12)^2</f>
        <v>669.0466568</v>
      </c>
      <c r="N330" s="139">
        <f>Assumptions!$C$6*Assumptions!$C$7*(1+$G330-0.05*(1-$I330))^3+Assumptions!$C$6*Assumptions!$C$8*(1+Assumptions!$C$11)^3+Assumptions!$C$16*$I330+Assumptions!$C$6*Assumptions!$C$9*(1+Assumptions!$C$12)^3</f>
        <v>786.2232949</v>
      </c>
      <c r="O330" s="139">
        <f>Assumptions!$C$6*Assumptions!$C$7*(1+$G330-0.05*(1-$J330))^4+Assumptions!$C$6*Assumptions!$C$8*(1+Assumptions!$C$11)^4+Assumptions!$C$16*$J330+Assumptions!$C$6*Assumptions!$C$9*(1+Assumptions!$C$12)^4</f>
        <v>809.9452442</v>
      </c>
      <c r="P330" s="139">
        <f>Assumptions!$C$6*Assumptions!$C$7*(1+$G330-0.05*(1-$K330))^5+Assumptions!$C$6*Assumptions!$C$8*(1+Assumptions!$C$11)^5+Assumptions!$C$16*$K330+Assumptions!$C$6*Assumptions!$C$9*(1+Assumptions!$C$12)^5</f>
        <v>683.7027565</v>
      </c>
      <c r="Q330" s="139">
        <f>($L330*(1-(Assumptions!$C$25+0.06*(1-1))-Assumptions!$C$27)-Assumptions!$C$28)-MAX(0,($L330*(1-(Assumptions!$C$25+0.06*(1-1))-Assumptions!$C$27)-Assumptions!$C$28)*Assumptions!$C$31)+Assumptions!$C$28-Assumptions!$C$29-$L330*Assumptions!$C$30</f>
        <v>91.8757622</v>
      </c>
      <c r="R330" s="139">
        <f>($M330*(1-(Assumptions!$C$25+0.06*(1-$H330))-Assumptions!$C$27)-Assumptions!$C$28)-MAX(0,($M330*(1-(Assumptions!$C$25+0.06*(1-$H330))-Assumptions!$C$27)-Assumptions!$C$28)*Assumptions!$C$31)+Assumptions!$C$28-Assumptions!$C$29-$M330*Assumptions!$C$30</f>
        <v>33.88073107</v>
      </c>
      <c r="S330" s="139">
        <f>($N330*(1-(Assumptions!$C$25+0.06*(1-$I330))-Assumptions!$C$27)-Assumptions!$C$28)-MAX(0,($N330*(1-(Assumptions!$C$25+0.06*(1-$I330))-Assumptions!$C$27)-Assumptions!$C$28)*Assumptions!$C$31)+Assumptions!$C$28-Assumptions!$C$29-$N330*Assumptions!$C$30</f>
        <v>101.5380084</v>
      </c>
      <c r="T330" s="139">
        <f>($O330*(1-(Assumptions!$C$25+0.06*(1-$J330))-Assumptions!$C$27)-Assumptions!$C$28)-MAX(0,($O330*(1-(Assumptions!$C$25+0.06*(1-$J330))-Assumptions!$C$27)-Assumptions!$C$28)*Assumptions!$C$31)+Assumptions!$C$28-Assumptions!$C$29-$O330*Assumptions!$C$30</f>
        <v>106.6382275</v>
      </c>
      <c r="U330" s="139">
        <f>($P330*(1-(Assumptions!$C$25+0.06*(1-$K330))-Assumptions!$C$27)-Assumptions!$C$28)-MAX(0,($P330*(1-(Assumptions!$C$25+0.06*(1-$K330))-Assumptions!$C$27)-Assumptions!$C$28)*Assumptions!$C$31)+Assumptions!$C$28-Assumptions!$C$29-$P330*Assumptions!$C$30</f>
        <v>37.251634</v>
      </c>
      <c r="V330" s="143">
        <f>(($Q330/(1+$D330)^1+$R330/(1+$D330)^2+$S330/(1+$D330)^3+$T330/(1+$D330)^4+$U330/(1+$D330)^5+$U330*(1+$E330)/($D330-$E330)/(1+$D330)^5)-Assumptions!$C$37)/Assumptions!$C$40/Assumptions!$C$38</f>
        <v>-0.9202347646</v>
      </c>
    </row>
    <row r="331" ht="12.0" customHeight="1">
      <c r="B331" s="139">
        <v>279.0</v>
      </c>
      <c r="C331" s="140">
        <f t="shared" si="6"/>
        <v>0.7483784923</v>
      </c>
      <c r="D331" s="141">
        <f t="shared" si="7"/>
        <v>0.1031189367</v>
      </c>
      <c r="E331" s="141">
        <f t="shared" si="8"/>
        <v>0.0188747068</v>
      </c>
      <c r="F331" s="140">
        <f t="shared" si="9"/>
        <v>0.4004497121</v>
      </c>
      <c r="G331" s="141">
        <f t="shared" si="10"/>
        <v>0.0568478953</v>
      </c>
      <c r="H331" s="142">
        <f t="shared" si="11"/>
        <v>1</v>
      </c>
      <c r="I331" s="142">
        <f t="shared" si="12"/>
        <v>1</v>
      </c>
      <c r="J331" s="142">
        <f t="shared" si="13"/>
        <v>1</v>
      </c>
      <c r="K331" s="142">
        <f t="shared" si="14"/>
        <v>0</v>
      </c>
      <c r="L331" s="139">
        <f>Assumptions!$C$6*Assumptions!$C$7*(1+$G331-0.05*(1-1))^1+Assumptions!$C$6*Assumptions!$C$8*(1+Assumptions!$C$11)^1+Assumptions!$C$16*1+Assumptions!$C$6*Assumptions!$C$9*(1+Assumptions!$C$12)^1</f>
        <v>745.6030016</v>
      </c>
      <c r="M331" s="139">
        <f>Assumptions!$C$6*Assumptions!$C$7*(1+$G331-0.05*(1-$H331))^2+Assumptions!$C$6*Assumptions!$C$8*(1+Assumptions!$C$11)^2+Assumptions!$C$16*$H331+Assumptions!$C$6*Assumptions!$C$9*(1+Assumptions!$C$12)^2</f>
        <v>772.4231477</v>
      </c>
      <c r="N331" s="139">
        <f>Assumptions!$C$6*Assumptions!$C$7*(1+$G331-0.05*(1-$I331))^3+Assumptions!$C$6*Assumptions!$C$8*(1+Assumptions!$C$11)^3+Assumptions!$C$16*$I331+Assumptions!$C$6*Assumptions!$C$9*(1+Assumptions!$C$12)^3</f>
        <v>800.5248638</v>
      </c>
      <c r="O331" s="139">
        <f>Assumptions!$C$6*Assumptions!$C$7*(1+$G331-0.05*(1-$J331))^4+Assumptions!$C$6*Assumptions!$C$8*(1+Assumptions!$C$11)^4+Assumptions!$C$16*$J331+Assumptions!$C$6*Assumptions!$C$9*(1+Assumptions!$C$12)^4</f>
        <v>829.9761426</v>
      </c>
      <c r="P331" s="139">
        <f>Assumptions!$C$6*Assumptions!$C$7*(1+$G331-0.05*(1-$K331))^5+Assumptions!$C$6*Assumptions!$C$8*(1+Assumptions!$C$11)^5+Assumptions!$C$16*$K331+Assumptions!$C$6*Assumptions!$C$9*(1+Assumptions!$C$12)^5</f>
        <v>705.3436682</v>
      </c>
      <c r="Q331" s="139">
        <f>($L331*(1-(Assumptions!$C$25+0.06*(1-1))-Assumptions!$C$27)-Assumptions!$C$28)-MAX(0,($L331*(1-(Assumptions!$C$25+0.06*(1-1))-Assumptions!$C$27)-Assumptions!$C$28)*Assumptions!$C$31)+Assumptions!$C$28-Assumptions!$C$29-$L331*Assumptions!$C$30</f>
        <v>92.80464533</v>
      </c>
      <c r="R331" s="139">
        <f>($M331*(1-(Assumptions!$C$25+0.06*(1-$H331))-Assumptions!$C$27)-Assumptions!$C$28)-MAX(0,($M331*(1-(Assumptions!$C$25+0.06*(1-$H331))-Assumptions!$C$27)-Assumptions!$C$28)*Assumptions!$C$31)+Assumptions!$C$28-Assumptions!$C$29-$M331*Assumptions!$C$30</f>
        <v>98.57097675</v>
      </c>
      <c r="S331" s="139">
        <f>($N331*(1-(Assumptions!$C$25+0.06*(1-$I331))-Assumptions!$C$27)-Assumptions!$C$28)-MAX(0,($N331*(1-(Assumptions!$C$25+0.06*(1-$I331))-Assumptions!$C$27)-Assumptions!$C$28)*Assumptions!$C$31)+Assumptions!$C$28-Assumptions!$C$29-$N331*Assumptions!$C$30</f>
        <v>104.6128457</v>
      </c>
      <c r="T331" s="139">
        <f>($O331*(1-(Assumptions!$C$25+0.06*(1-$J331))-Assumptions!$C$27)-Assumptions!$C$28)-MAX(0,($O331*(1-(Assumptions!$C$25+0.06*(1-$J331))-Assumptions!$C$27)-Assumptions!$C$28)*Assumptions!$C$31)+Assumptions!$C$28-Assumptions!$C$29-$O331*Assumptions!$C$30</f>
        <v>110.9448707</v>
      </c>
      <c r="U331" s="139">
        <f>($P331*(1-(Assumptions!$C$25+0.06*(1-$K331))-Assumptions!$C$27)-Assumptions!$C$28)-MAX(0,($P331*(1-(Assumptions!$C$25+0.06*(1-$K331))-Assumptions!$C$27)-Assumptions!$C$28)*Assumptions!$C$31)+Assumptions!$C$28-Assumptions!$C$29-$P331*Assumptions!$C$30</f>
        <v>42.22904369</v>
      </c>
      <c r="V331" s="143">
        <f>(($Q331/(1+$D331)^1+$R331/(1+$D331)^2+$S331/(1+$D331)^3+$T331/(1+$D331)^4+$U331/(1+$D331)^5+$U331*(1+$E331)/($D331-$E331)/(1+$D331)^5)-Assumptions!$C$37)/Assumptions!$C$40/Assumptions!$C$38</f>
        <v>-0.2746468407</v>
      </c>
    </row>
    <row r="332" ht="12.0" customHeight="1">
      <c r="B332" s="139">
        <v>280.0</v>
      </c>
      <c r="C332" s="140">
        <f t="shared" si="6"/>
        <v>0.7043501853</v>
      </c>
      <c r="D332" s="141">
        <f t="shared" si="7"/>
        <v>0.1021213531</v>
      </c>
      <c r="E332" s="141">
        <f t="shared" si="8"/>
        <v>0.02640382215</v>
      </c>
      <c r="F332" s="140">
        <f t="shared" si="9"/>
        <v>0.9527043064</v>
      </c>
      <c r="G332" s="141">
        <f t="shared" si="10"/>
        <v>0.08077328615</v>
      </c>
      <c r="H332" s="142">
        <f t="shared" si="11"/>
        <v>1</v>
      </c>
      <c r="I332" s="142">
        <f t="shared" si="12"/>
        <v>0</v>
      </c>
      <c r="J332" s="142">
        <f t="shared" si="13"/>
        <v>1</v>
      </c>
      <c r="K332" s="142">
        <f t="shared" si="14"/>
        <v>0</v>
      </c>
      <c r="L332" s="139">
        <f>Assumptions!$C$6*Assumptions!$C$7*(1+$G332-0.05*(1-1))^1+Assumptions!$C$6*Assumptions!$C$8*(1+Assumptions!$C$11)^1+Assumptions!$C$16*1+Assumptions!$C$6*Assumptions!$C$9*(1+Assumptions!$C$12)^1</f>
        <v>753.6562881</v>
      </c>
      <c r="M332" s="139">
        <f>Assumptions!$C$6*Assumptions!$C$7*(1+$G332-0.05*(1-$H332))^2+Assumptions!$C$6*Assumptions!$C$8*(1+Assumptions!$C$11)^2+Assumptions!$C$16*$H332+Assumptions!$C$6*Assumptions!$C$9*(1+Assumptions!$C$12)^2</f>
        <v>789.6380236</v>
      </c>
      <c r="N332" s="139">
        <f>Assumptions!$C$6*Assumptions!$C$7*(1+$G332-0.05*(1-$I332))^3+Assumptions!$C$6*Assumptions!$C$8*(1+Assumptions!$C$11)^3+Assumptions!$C$16*$I332+Assumptions!$C$6*Assumptions!$C$9*(1+Assumptions!$C$12)^3</f>
        <v>711.8356165</v>
      </c>
      <c r="O332" s="139">
        <f>Assumptions!$C$6*Assumptions!$C$7*(1+$G332-0.05*(1-$J332))^4+Assumptions!$C$6*Assumptions!$C$8*(1+Assumptions!$C$11)^4+Assumptions!$C$16*$J332+Assumptions!$C$6*Assumptions!$C$9*(1+Assumptions!$C$12)^4</f>
        <v>869.312106</v>
      </c>
      <c r="P332" s="139">
        <f>Assumptions!$C$6*Assumptions!$C$7*(1+$G332-0.05*(1-$K332))^5+Assumptions!$C$6*Assumptions!$C$8*(1+Assumptions!$C$11)^5+Assumptions!$C$16*$K332+Assumptions!$C$6*Assumptions!$C$9*(1+Assumptions!$C$12)^5</f>
        <v>748.7383691</v>
      </c>
      <c r="Q332" s="139">
        <f>($L332*(1-(Assumptions!$C$25+0.06*(1-1))-Assumptions!$C$27)-Assumptions!$C$28)-MAX(0,($L332*(1-(Assumptions!$C$25+0.06*(1-1))-Assumptions!$C$27)-Assumptions!$C$28)*Assumptions!$C$31)+Assumptions!$C$28-Assumptions!$C$29-$L332*Assumptions!$C$30</f>
        <v>94.53610195</v>
      </c>
      <c r="R332" s="139">
        <f>($M332*(1-(Assumptions!$C$25+0.06*(1-$H332))-Assumptions!$C$27)-Assumptions!$C$28)-MAX(0,($M332*(1-(Assumptions!$C$25+0.06*(1-$H332))-Assumptions!$C$27)-Assumptions!$C$28)*Assumptions!$C$31)+Assumptions!$C$28-Assumptions!$C$29-$M332*Assumptions!$C$30</f>
        <v>102.2721751</v>
      </c>
      <c r="S332" s="139">
        <f>($N332*(1-(Assumptions!$C$25+0.06*(1-$I332))-Assumptions!$C$27)-Assumptions!$C$28)-MAX(0,($N332*(1-(Assumptions!$C$25+0.06*(1-$I332))-Assumptions!$C$27)-Assumptions!$C$28)*Assumptions!$C$31)+Assumptions!$C$28-Assumptions!$C$29-$N332*Assumptions!$C$30</f>
        <v>43.72219179</v>
      </c>
      <c r="T332" s="139">
        <f>($O332*(1-(Assumptions!$C$25+0.06*(1-$J332))-Assumptions!$C$27)-Assumptions!$C$28)-MAX(0,($O332*(1-(Assumptions!$C$25+0.06*(1-$J332))-Assumptions!$C$27)-Assumptions!$C$28)*Assumptions!$C$31)+Assumptions!$C$28-Assumptions!$C$29-$O332*Assumptions!$C$30</f>
        <v>119.4021028</v>
      </c>
      <c r="U332" s="139">
        <f>($P332*(1-(Assumptions!$C$25+0.06*(1-$K332))-Assumptions!$C$27)-Assumptions!$C$28)-MAX(0,($P332*(1-(Assumptions!$C$25+0.06*(1-$K332))-Assumptions!$C$27)-Assumptions!$C$28)*Assumptions!$C$31)+Assumptions!$C$28-Assumptions!$C$29-$P332*Assumptions!$C$30</f>
        <v>52.20982489</v>
      </c>
      <c r="V332" s="143">
        <f>(($Q332/(1+$D332)^1+$R332/(1+$D332)^2+$S332/(1+$D332)^3+$T332/(1+$D332)^4+$U332/(1+$D332)^5+$U332*(1+$E332)/($D332-$E332)/(1+$D332)^5)-Assumptions!$C$37)/Assumptions!$C$40/Assumptions!$C$38</f>
        <v>0.4620448325</v>
      </c>
    </row>
    <row r="333" ht="12.0" customHeight="1">
      <c r="B333" s="139">
        <v>281.0</v>
      </c>
      <c r="C333" s="140">
        <f t="shared" si="6"/>
        <v>0.5852138585</v>
      </c>
      <c r="D333" s="141">
        <f t="shared" si="7"/>
        <v>0.09974565552</v>
      </c>
      <c r="E333" s="141">
        <f t="shared" si="8"/>
        <v>0.01946702464</v>
      </c>
      <c r="F333" s="140">
        <f t="shared" si="9"/>
        <v>0.2635952521</v>
      </c>
      <c r="G333" s="141">
        <f t="shared" si="10"/>
        <v>0.05178236566</v>
      </c>
      <c r="H333" s="142">
        <f t="shared" si="11"/>
        <v>1</v>
      </c>
      <c r="I333" s="142">
        <f t="shared" si="12"/>
        <v>1</v>
      </c>
      <c r="J333" s="142">
        <f t="shared" si="13"/>
        <v>0</v>
      </c>
      <c r="K333" s="142">
        <f t="shared" si="14"/>
        <v>1</v>
      </c>
      <c r="L333" s="139">
        <f>Assumptions!$C$6*Assumptions!$C$7*(1+$G333-0.05*(1-1))^1+Assumptions!$C$6*Assumptions!$C$8*(1+Assumptions!$C$11)^1+Assumptions!$C$16*1+Assumptions!$C$6*Assumptions!$C$9*(1+Assumptions!$C$12)^1</f>
        <v>743.8979443</v>
      </c>
      <c r="M333" s="139">
        <f>Assumptions!$C$6*Assumptions!$C$7*(1+$G333-0.05*(1-$H333))^2+Assumptions!$C$6*Assumptions!$C$8*(1+Assumptions!$C$11)^2+Assumptions!$C$16*$H333+Assumptions!$C$6*Assumptions!$C$9*(1+Assumptions!$C$12)^2</f>
        <v>768.8278123</v>
      </c>
      <c r="N333" s="139">
        <f>Assumptions!$C$6*Assumptions!$C$7*(1+$G333-0.05*(1-$I333))^3+Assumptions!$C$6*Assumptions!$C$8*(1+Assumptions!$C$11)^3+Assumptions!$C$16*$I333+Assumptions!$C$6*Assumptions!$C$9*(1+Assumptions!$C$12)^3</f>
        <v>794.8389282</v>
      </c>
      <c r="O333" s="139">
        <f>Assumptions!$C$6*Assumptions!$C$7*(1+$G333-0.05*(1-$J333))^4+Assumptions!$C$6*Assumptions!$C$8*(1+Assumptions!$C$11)^4+Assumptions!$C$16*$J333+Assumptions!$C$6*Assumptions!$C$9*(1+Assumptions!$C$12)^4</f>
        <v>689.0647612</v>
      </c>
      <c r="P333" s="139">
        <f>Assumptions!$C$6*Assumptions!$C$7*(1+$G333-0.05*(1-$K333))^5+Assumptions!$C$6*Assumptions!$C$8*(1+Assumptions!$C$11)^5+Assumptions!$C$16*$K333+Assumptions!$C$6*Assumptions!$C$9*(1+Assumptions!$C$12)^5</f>
        <v>850.3146856</v>
      </c>
      <c r="Q333" s="139">
        <f>($L333*(1-(Assumptions!$C$25+0.06*(1-1))-Assumptions!$C$27)-Assumptions!$C$28)-MAX(0,($L333*(1-(Assumptions!$C$25+0.06*(1-1))-Assumptions!$C$27)-Assumptions!$C$28)*Assumptions!$C$31)+Assumptions!$C$28-Assumptions!$C$29-$L333*Assumptions!$C$30</f>
        <v>92.43805802</v>
      </c>
      <c r="R333" s="139">
        <f>($M333*(1-(Assumptions!$C$25+0.06*(1-$H333))-Assumptions!$C$27)-Assumptions!$C$28)-MAX(0,($M333*(1-(Assumptions!$C$25+0.06*(1-$H333))-Assumptions!$C$27)-Assumptions!$C$28)*Assumptions!$C$31)+Assumptions!$C$28-Assumptions!$C$29-$M333*Assumptions!$C$30</f>
        <v>97.79797965</v>
      </c>
      <c r="S333" s="139">
        <f>($N333*(1-(Assumptions!$C$25+0.06*(1-$I333))-Assumptions!$C$27)-Assumptions!$C$28)-MAX(0,($N333*(1-(Assumptions!$C$25+0.06*(1-$I333))-Assumptions!$C$27)-Assumptions!$C$28)*Assumptions!$C$31)+Assumptions!$C$28-Assumptions!$C$29-$N333*Assumptions!$C$30</f>
        <v>103.3903696</v>
      </c>
      <c r="T333" s="139">
        <f>($O333*(1-(Assumptions!$C$25+0.06*(1-$J333))-Assumptions!$C$27)-Assumptions!$C$28)-MAX(0,($O333*(1-(Assumptions!$C$25+0.06*(1-$J333))-Assumptions!$C$27)-Assumptions!$C$28)*Assumptions!$C$31)+Assumptions!$C$28-Assumptions!$C$29-$O333*Assumptions!$C$30</f>
        <v>38.48489508</v>
      </c>
      <c r="U333" s="139">
        <f>($P333*(1-(Assumptions!$C$25+0.06*(1-$K333))-Assumptions!$C$27)-Assumptions!$C$28)-MAX(0,($P333*(1-(Assumptions!$C$25+0.06*(1-$K333))-Assumptions!$C$27)-Assumptions!$C$28)*Assumptions!$C$31)+Assumptions!$C$28-Assumptions!$C$29-$P333*Assumptions!$C$30</f>
        <v>115.3176574</v>
      </c>
      <c r="V333" s="143">
        <f>(($Q333/(1+$D333)^1+$R333/(1+$D333)^2+$S333/(1+$D333)^3+$T333/(1+$D333)^4+$U333/(1+$D333)^5+$U333*(1+$E333)/($D333-$E333)/(1+$D333)^5)-Assumptions!$C$37)/Assumptions!$C$40/Assumptions!$C$38</f>
        <v>4.364706965</v>
      </c>
    </row>
    <row r="334" ht="12.0" customHeight="1">
      <c r="B334" s="139">
        <v>282.0</v>
      </c>
      <c r="C334" s="140">
        <f t="shared" si="6"/>
        <v>0.2083727695</v>
      </c>
      <c r="D334" s="141">
        <f t="shared" si="7"/>
        <v>0.09340466352</v>
      </c>
      <c r="E334" s="141">
        <f t="shared" si="8"/>
        <v>0.02946123783</v>
      </c>
      <c r="F334" s="140">
        <f t="shared" si="9"/>
        <v>0.6860950168</v>
      </c>
      <c r="G334" s="141">
        <f t="shared" si="10"/>
        <v>0.06622966198</v>
      </c>
      <c r="H334" s="142">
        <f t="shared" si="11"/>
        <v>1</v>
      </c>
      <c r="I334" s="142">
        <f t="shared" si="12"/>
        <v>0</v>
      </c>
      <c r="J334" s="142">
        <f t="shared" si="13"/>
        <v>0</v>
      </c>
      <c r="K334" s="142">
        <f t="shared" si="14"/>
        <v>1</v>
      </c>
      <c r="L334" s="139">
        <f>Assumptions!$C$6*Assumptions!$C$7*(1+$G334-0.05*(1-1))^1+Assumptions!$C$6*Assumptions!$C$8*(1+Assumptions!$C$11)^1+Assumptions!$C$16*1+Assumptions!$C$6*Assumptions!$C$9*(1+Assumptions!$C$12)^1</f>
        <v>748.7609042</v>
      </c>
      <c r="M334" s="139">
        <f>Assumptions!$C$6*Assumptions!$C$7*(1+$G334-0.05*(1-$H334))^2+Assumptions!$C$6*Assumptions!$C$8*(1+Assumptions!$C$11)^2+Assumptions!$C$16*$H334+Assumptions!$C$6*Assumptions!$C$9*(1+Assumptions!$C$12)^2</f>
        <v>779.12762</v>
      </c>
      <c r="N334" s="139">
        <f>Assumptions!$C$6*Assumptions!$C$7*(1+$G334-0.05*(1-$I334))^3+Assumptions!$C$6*Assumptions!$C$8*(1+Assumptions!$C$11)^3+Assumptions!$C$16*$I334+Assumptions!$C$6*Assumptions!$C$9*(1+Assumptions!$C$12)^3</f>
        <v>696.4508021</v>
      </c>
      <c r="O334" s="139">
        <f>Assumptions!$C$6*Assumptions!$C$7*(1+$G334-0.05*(1-$J334))^4+Assumptions!$C$6*Assumptions!$C$8*(1+Assumptions!$C$11)^4+Assumptions!$C$16*$J334+Assumptions!$C$6*Assumptions!$C$9*(1+Assumptions!$C$12)^4</f>
        <v>709.0479231</v>
      </c>
      <c r="P334" s="139">
        <f>Assumptions!$C$6*Assumptions!$C$7*(1+$G334-0.05*(1-$K334))^5+Assumptions!$C$6*Assumptions!$C$8*(1+Assumptions!$C$11)^5+Assumptions!$C$16*$K334+Assumptions!$C$6*Assumptions!$C$9*(1+Assumptions!$C$12)^5</f>
        <v>880.899427</v>
      </c>
      <c r="Q334" s="139">
        <f>($L334*(1-(Assumptions!$C$25+0.06*(1-1))-Assumptions!$C$27)-Assumptions!$C$28)-MAX(0,($L334*(1-(Assumptions!$C$25+0.06*(1-1))-Assumptions!$C$27)-Assumptions!$C$28)*Assumptions!$C$31)+Assumptions!$C$28-Assumptions!$C$29-$L334*Assumptions!$C$30</f>
        <v>93.48359441</v>
      </c>
      <c r="R334" s="139">
        <f>($M334*(1-(Assumptions!$C$25+0.06*(1-$H334))-Assumptions!$C$27)-Assumptions!$C$28)-MAX(0,($M334*(1-(Assumptions!$C$25+0.06*(1-$H334))-Assumptions!$C$27)-Assumptions!$C$28)*Assumptions!$C$31)+Assumptions!$C$28-Assumptions!$C$29-$M334*Assumptions!$C$30</f>
        <v>100.0124383</v>
      </c>
      <c r="S334" s="139">
        <f>($N334*(1-(Assumptions!$C$25+0.06*(1-$I334))-Assumptions!$C$27)-Assumptions!$C$28)-MAX(0,($N334*(1-(Assumptions!$C$25+0.06*(1-$I334))-Assumptions!$C$27)-Assumptions!$C$28)*Assumptions!$C$31)+Assumptions!$C$28-Assumptions!$C$29-$N334*Assumptions!$C$30</f>
        <v>40.18368448</v>
      </c>
      <c r="T334" s="139">
        <f>($O334*(1-(Assumptions!$C$25+0.06*(1-$J334))-Assumptions!$C$27)-Assumptions!$C$28)-MAX(0,($O334*(1-(Assumptions!$C$25+0.06*(1-$J334))-Assumptions!$C$27)-Assumptions!$C$28)*Assumptions!$C$31)+Assumptions!$C$28-Assumptions!$C$29-$O334*Assumptions!$C$30</f>
        <v>43.08102231</v>
      </c>
      <c r="U334" s="139">
        <f>($P334*(1-(Assumptions!$C$25+0.06*(1-$K334))-Assumptions!$C$27)-Assumptions!$C$28)-MAX(0,($P334*(1-(Assumptions!$C$25+0.06*(1-$K334))-Assumptions!$C$27)-Assumptions!$C$28)*Assumptions!$C$31)+Assumptions!$C$28-Assumptions!$C$29-$P334*Assumptions!$C$30</f>
        <v>121.8933768</v>
      </c>
      <c r="V334" s="143">
        <f>(($Q334/(1+$D334)^1+$R334/(1+$D334)^2+$S334/(1+$D334)^3+$T334/(1+$D334)^4+$U334/(1+$D334)^5+$U334*(1+$E334)/($D334-$E334)/(1+$D334)^5)-Assumptions!$C$37)/Assumptions!$C$40/Assumptions!$C$38</f>
        <v>6.805381498</v>
      </c>
    </row>
    <row r="335" ht="12.0" customHeight="1">
      <c r="B335" s="139">
        <v>283.0</v>
      </c>
      <c r="C335" s="140">
        <f t="shared" si="6"/>
        <v>0.5556392508</v>
      </c>
      <c r="D335" s="141">
        <f t="shared" si="7"/>
        <v>0.09921119446</v>
      </c>
      <c r="E335" s="141">
        <f t="shared" si="8"/>
        <v>0.01184789611</v>
      </c>
      <c r="F335" s="140">
        <f t="shared" si="9"/>
        <v>0.08319931797</v>
      </c>
      <c r="G335" s="141">
        <f t="shared" si="10"/>
        <v>0.04223759667</v>
      </c>
      <c r="H335" s="142">
        <f t="shared" si="11"/>
        <v>1</v>
      </c>
      <c r="I335" s="142">
        <f t="shared" si="12"/>
        <v>0</v>
      </c>
      <c r="J335" s="142">
        <f t="shared" si="13"/>
        <v>1</v>
      </c>
      <c r="K335" s="142">
        <f t="shared" si="14"/>
        <v>0</v>
      </c>
      <c r="L335" s="139">
        <f>Assumptions!$C$6*Assumptions!$C$7*(1+$G335-0.05*(1-1))^1+Assumptions!$C$6*Assumptions!$C$8*(1+Assumptions!$C$11)^1+Assumptions!$C$16*1+Assumptions!$C$6*Assumptions!$C$9*(1+Assumptions!$C$12)^1</f>
        <v>740.685175</v>
      </c>
      <c r="M335" s="139">
        <f>Assumptions!$C$6*Assumptions!$C$7*(1+$G335-0.05*(1-$H335))^2+Assumptions!$C$6*Assumptions!$C$8*(1+Assumptions!$C$11)^2+Assumptions!$C$16*$H335+Assumptions!$C$6*Assumptions!$C$9*(1+Assumptions!$C$12)^2</f>
        <v>762.1002094</v>
      </c>
      <c r="N335" s="139">
        <f>Assumptions!$C$6*Assumptions!$C$7*(1+$G335-0.05*(1-$I335))^3+Assumptions!$C$6*Assumptions!$C$8*(1+Assumptions!$C$11)^3+Assumptions!$C$16*$I335+Assumptions!$C$6*Assumptions!$C$9*(1+Assumptions!$C$12)^3</f>
        <v>672.0168803</v>
      </c>
      <c r="O335" s="139">
        <f>Assumptions!$C$6*Assumptions!$C$7*(1+$G335-0.05*(1-$J335))^4+Assumptions!$C$6*Assumptions!$C$8*(1+Assumptions!$C$11)^4+Assumptions!$C$16*$J335+Assumptions!$C$6*Assumptions!$C$9*(1+Assumptions!$C$12)^4</f>
        <v>807.2327824</v>
      </c>
      <c r="P335" s="139">
        <f>Assumptions!$C$6*Assumptions!$C$7*(1+$G335-0.05*(1-$K335))^5+Assumptions!$C$6*Assumptions!$C$8*(1+Assumptions!$C$11)^5+Assumptions!$C$16*$K335+Assumptions!$C$6*Assumptions!$C$9*(1+Assumptions!$C$12)^5</f>
        <v>680.7968567</v>
      </c>
      <c r="Q335" s="139">
        <f>($L335*(1-(Assumptions!$C$25+0.06*(1-1))-Assumptions!$C$27)-Assumptions!$C$28)-MAX(0,($L335*(1-(Assumptions!$C$25+0.06*(1-1))-Assumptions!$C$27)-Assumptions!$C$28)*Assumptions!$C$31)+Assumptions!$C$28-Assumptions!$C$29-$L335*Assumptions!$C$30</f>
        <v>91.74731263</v>
      </c>
      <c r="R335" s="139">
        <f>($M335*(1-(Assumptions!$C$25+0.06*(1-$H335))-Assumptions!$C$27)-Assumptions!$C$28)-MAX(0,($M335*(1-(Assumptions!$C$25+0.06*(1-$H335))-Assumptions!$C$27)-Assumptions!$C$28)*Assumptions!$C$31)+Assumptions!$C$28-Assumptions!$C$29-$M335*Assumptions!$C$30</f>
        <v>96.35154502</v>
      </c>
      <c r="S335" s="139">
        <f>($N335*(1-(Assumptions!$C$25+0.06*(1-$I335))-Assumptions!$C$27)-Assumptions!$C$28)-MAX(0,($N335*(1-(Assumptions!$C$25+0.06*(1-$I335))-Assumptions!$C$27)-Assumptions!$C$28)*Assumptions!$C$31)+Assumptions!$C$28-Assumptions!$C$29-$N335*Assumptions!$C$30</f>
        <v>34.56388247</v>
      </c>
      <c r="T335" s="139">
        <f>($O335*(1-(Assumptions!$C$25+0.06*(1-$J335))-Assumptions!$C$27)-Assumptions!$C$28)-MAX(0,($O335*(1-(Assumptions!$C$25+0.06*(1-$J335))-Assumptions!$C$27)-Assumptions!$C$28)*Assumptions!$C$31)+Assumptions!$C$28-Assumptions!$C$29-$O335*Assumptions!$C$30</f>
        <v>106.0550482</v>
      </c>
      <c r="U335" s="139">
        <f>($P335*(1-(Assumptions!$C$25+0.06*(1-$K335))-Assumptions!$C$27)-Assumptions!$C$28)-MAX(0,($P335*(1-(Assumptions!$C$25+0.06*(1-$K335))-Assumptions!$C$27)-Assumptions!$C$28)*Assumptions!$C$31)+Assumptions!$C$28-Assumptions!$C$29-$P335*Assumptions!$C$30</f>
        <v>36.58327704</v>
      </c>
      <c r="V335" s="143">
        <f>(($Q335/(1+$D335)^1+$R335/(1+$D335)^2+$S335/(1+$D335)^3+$T335/(1+$D335)^4+$U335/(1+$D335)^5+$U335*(1+$E335)/($D335-$E335)/(1+$D335)^5)-Assumptions!$C$37)/Assumptions!$C$40/Assumptions!$C$38</f>
        <v>-1.115868472</v>
      </c>
    </row>
    <row r="336" ht="12.0" customHeight="1">
      <c r="B336" s="139">
        <v>284.0</v>
      </c>
      <c r="C336" s="140">
        <f t="shared" si="6"/>
        <v>0.8636755666</v>
      </c>
      <c r="D336" s="141">
        <f t="shared" si="7"/>
        <v>0.1062548295</v>
      </c>
      <c r="E336" s="141">
        <f t="shared" si="8"/>
        <v>0.02484401096</v>
      </c>
      <c r="F336" s="140">
        <f t="shared" si="9"/>
        <v>0.3522237532</v>
      </c>
      <c r="G336" s="141">
        <f t="shared" si="10"/>
        <v>0.05517941135</v>
      </c>
      <c r="H336" s="142">
        <f t="shared" si="11"/>
        <v>1</v>
      </c>
      <c r="I336" s="142">
        <f t="shared" si="12"/>
        <v>0</v>
      </c>
      <c r="J336" s="142">
        <f t="shared" si="13"/>
        <v>1</v>
      </c>
      <c r="K336" s="142">
        <f t="shared" si="14"/>
        <v>1</v>
      </c>
      <c r="L336" s="139">
        <f>Assumptions!$C$6*Assumptions!$C$7*(1+$G336-0.05*(1-1))^1+Assumptions!$C$6*Assumptions!$C$8*(1+Assumptions!$C$11)^1+Assumptions!$C$16*1+Assumptions!$C$6*Assumptions!$C$9*(1+Assumptions!$C$12)^1</f>
        <v>745.0413899</v>
      </c>
      <c r="M336" s="139">
        <f>Assumptions!$C$6*Assumptions!$C$7*(1+$G336-0.05*(1-$H336))^2+Assumptions!$C$6*Assumptions!$C$8*(1+Assumptions!$C$11)^2+Assumptions!$C$16*$H336+Assumptions!$C$6*Assumptions!$C$9*(1+Assumptions!$C$12)^2</f>
        <v>771.2370084</v>
      </c>
      <c r="N336" s="139">
        <f>Assumptions!$C$6*Assumptions!$C$7*(1+$G336-0.05*(1-$I336))^3+Assumptions!$C$6*Assumptions!$C$8*(1+Assumptions!$C$11)^3+Assumptions!$C$16*$I336+Assumptions!$C$6*Assumptions!$C$9*(1+Assumptions!$C$12)^3</f>
        <v>685.0519727</v>
      </c>
      <c r="O336" s="139">
        <f>Assumptions!$C$6*Assumptions!$C$7*(1+$G336-0.05*(1-$J336))^4+Assumptions!$C$6*Assumptions!$C$8*(1+Assumptions!$C$11)^4+Assumptions!$C$16*$J336+Assumptions!$C$6*Assumptions!$C$9*(1+Assumptions!$C$12)^4</f>
        <v>827.3306594</v>
      </c>
      <c r="P336" s="139">
        <f>Assumptions!$C$6*Assumptions!$C$7*(1+$G336-0.05*(1-$K336))^5+Assumptions!$C$6*Assumptions!$C$8*(1+Assumptions!$C$11)^5+Assumptions!$C$16*$K336+Assumptions!$C$6*Assumptions!$C$9*(1+Assumptions!$C$12)^5</f>
        <v>857.3566594</v>
      </c>
      <c r="Q336" s="139">
        <f>($L336*(1-(Assumptions!$C$25+0.06*(1-1))-Assumptions!$C$27)-Assumptions!$C$28)-MAX(0,($L336*(1-(Assumptions!$C$25+0.06*(1-1))-Assumptions!$C$27)-Assumptions!$C$28)*Assumptions!$C$31)+Assumptions!$C$28-Assumptions!$C$29-$L336*Assumptions!$C$30</f>
        <v>92.68389882</v>
      </c>
      <c r="R336" s="139">
        <f>($M336*(1-(Assumptions!$C$25+0.06*(1-$H336))-Assumptions!$C$27)-Assumptions!$C$28)-MAX(0,($M336*(1-(Assumptions!$C$25+0.06*(1-$H336))-Assumptions!$C$27)-Assumptions!$C$28)*Assumptions!$C$31)+Assumptions!$C$28-Assumptions!$C$29-$M336*Assumptions!$C$30</f>
        <v>98.31595681</v>
      </c>
      <c r="S336" s="139">
        <f>($N336*(1-(Assumptions!$C$25+0.06*(1-$I336))-Assumptions!$C$27)-Assumptions!$C$28)-MAX(0,($N336*(1-(Assumptions!$C$25+0.06*(1-$I336))-Assumptions!$C$27)-Assumptions!$C$28)*Assumptions!$C$31)+Assumptions!$C$28-Assumptions!$C$29-$N336*Assumptions!$C$30</f>
        <v>37.56195373</v>
      </c>
      <c r="T336" s="139">
        <f>($O336*(1-(Assumptions!$C$25+0.06*(1-$J336))-Assumptions!$C$27)-Assumptions!$C$28)-MAX(0,($O336*(1-(Assumptions!$C$25+0.06*(1-$J336))-Assumptions!$C$27)-Assumptions!$C$28)*Assumptions!$C$31)+Assumptions!$C$28-Assumptions!$C$29-$O336*Assumptions!$C$30</f>
        <v>110.3760918</v>
      </c>
      <c r="U336" s="139">
        <f>($P336*(1-(Assumptions!$C$25+0.06*(1-$K336))-Assumptions!$C$27)-Assumptions!$C$28)-MAX(0,($P336*(1-(Assumptions!$C$25+0.06*(1-$K336))-Assumptions!$C$27)-Assumptions!$C$28)*Assumptions!$C$31)+Assumptions!$C$28-Assumptions!$C$29-$P336*Assumptions!$C$30</f>
        <v>116.8316818</v>
      </c>
      <c r="V336" s="143">
        <f>(($Q336/(1+$D336)^1+$R336/(1+$D336)^2+$S336/(1+$D336)^3+$T336/(1+$D336)^4+$U336/(1+$D336)^5+$U336*(1+$E336)/($D336-$E336)/(1+$D336)^5)-Assumptions!$C$37)/Assumptions!$C$40/Assumptions!$C$38</f>
        <v>4.152212677</v>
      </c>
    </row>
    <row r="337" ht="12.0" customHeight="1">
      <c r="B337" s="139">
        <v>285.0</v>
      </c>
      <c r="C337" s="140">
        <f t="shared" si="6"/>
        <v>0.4021954288</v>
      </c>
      <c r="D337" s="141">
        <f t="shared" si="7"/>
        <v>0.0966869346</v>
      </c>
      <c r="E337" s="141">
        <f t="shared" si="8"/>
        <v>0.02016616187</v>
      </c>
      <c r="F337" s="140">
        <f t="shared" si="9"/>
        <v>0.5772440052</v>
      </c>
      <c r="G337" s="141">
        <f t="shared" si="10"/>
        <v>0.06241448223</v>
      </c>
      <c r="H337" s="142">
        <f t="shared" si="11"/>
        <v>0</v>
      </c>
      <c r="I337" s="142">
        <f t="shared" si="12"/>
        <v>1</v>
      </c>
      <c r="J337" s="142">
        <f t="shared" si="13"/>
        <v>0</v>
      </c>
      <c r="K337" s="142">
        <f t="shared" si="14"/>
        <v>0</v>
      </c>
      <c r="L337" s="139">
        <f>Assumptions!$C$6*Assumptions!$C$7*(1+$G337-0.05*(1-1))^1+Assumptions!$C$6*Assumptions!$C$8*(1+Assumptions!$C$11)^1+Assumptions!$C$16*1+Assumptions!$C$6*Assumptions!$C$9*(1+Assumptions!$C$12)^1</f>
        <v>747.4767147</v>
      </c>
      <c r="M337" s="139">
        <f>Assumptions!$C$6*Assumptions!$C$7*(1+$G337-0.05*(1-$H337))^2+Assumptions!$C$6*Assumptions!$C$8*(1+Assumptions!$C$11)^2+Assumptions!$C$16*$H337+Assumptions!$C$6*Assumptions!$C$9*(1+Assumptions!$C$12)^2</f>
        <v>681.474666</v>
      </c>
      <c r="N337" s="139">
        <f>Assumptions!$C$6*Assumptions!$C$7*(1+$G337-0.05*(1-$I337))^3+Assumptions!$C$6*Assumptions!$C$8*(1+Assumptions!$C$11)^3+Assumptions!$C$16*$I337+Assumptions!$C$6*Assumptions!$C$9*(1+Assumptions!$C$12)^3</f>
        <v>806.8363964</v>
      </c>
      <c r="O337" s="139">
        <f>Assumptions!$C$6*Assumptions!$C$7*(1+$G337-0.05*(1-$J337))^4+Assumptions!$C$6*Assumptions!$C$8*(1+Assumptions!$C$11)^4+Assumptions!$C$16*$J337+Assumptions!$C$6*Assumptions!$C$9*(1+Assumptions!$C$12)^4</f>
        <v>703.687263</v>
      </c>
      <c r="P337" s="139">
        <f>Assumptions!$C$6*Assumptions!$C$7*(1+$G337-0.05*(1-$K337))^5+Assumptions!$C$6*Assumptions!$C$8*(1+Assumptions!$C$11)^5+Assumptions!$C$16*$K337+Assumptions!$C$6*Assumptions!$C$9*(1+Assumptions!$C$12)^5</f>
        <v>715.0785514</v>
      </c>
      <c r="Q337" s="139">
        <f>($L337*(1-(Assumptions!$C$25+0.06*(1-1))-Assumptions!$C$27)-Assumptions!$C$28)-MAX(0,($L337*(1-(Assumptions!$C$25+0.06*(1-1))-Assumptions!$C$27)-Assumptions!$C$28)*Assumptions!$C$31)+Assumptions!$C$28-Assumptions!$C$29-$L337*Assumptions!$C$30</f>
        <v>93.20749366</v>
      </c>
      <c r="R337" s="139">
        <f>($M337*(1-(Assumptions!$C$25+0.06*(1-$H337))-Assumptions!$C$27)-Assumptions!$C$28)-MAX(0,($M337*(1-(Assumptions!$C$25+0.06*(1-$H337))-Assumptions!$C$27)-Assumptions!$C$28)*Assumptions!$C$31)+Assumptions!$C$28-Assumptions!$C$29-$M337*Assumptions!$C$30</f>
        <v>36.73917318</v>
      </c>
      <c r="S337" s="139">
        <f>($N337*(1-(Assumptions!$C$25+0.06*(1-$I337))-Assumptions!$C$27)-Assumptions!$C$28)-MAX(0,($N337*(1-(Assumptions!$C$25+0.06*(1-$I337))-Assumptions!$C$27)-Assumptions!$C$28)*Assumptions!$C$31)+Assumptions!$C$28-Assumptions!$C$29-$N337*Assumptions!$C$30</f>
        <v>105.9698252</v>
      </c>
      <c r="T337" s="139">
        <f>($O337*(1-(Assumptions!$C$25+0.06*(1-$J337))-Assumptions!$C$27)-Assumptions!$C$28)-MAX(0,($O337*(1-(Assumptions!$C$25+0.06*(1-$J337))-Assumptions!$C$27)-Assumptions!$C$28)*Assumptions!$C$31)+Assumptions!$C$28-Assumptions!$C$29-$O337*Assumptions!$C$30</f>
        <v>41.84807048</v>
      </c>
      <c r="U337" s="139">
        <f>($P337*(1-(Assumptions!$C$25+0.06*(1-$K337))-Assumptions!$C$27)-Assumptions!$C$28)-MAX(0,($P337*(1-(Assumptions!$C$25+0.06*(1-$K337))-Assumptions!$C$27)-Assumptions!$C$28)*Assumptions!$C$31)+Assumptions!$C$28-Assumptions!$C$29-$P337*Assumptions!$C$30</f>
        <v>44.46806683</v>
      </c>
      <c r="V337" s="143">
        <f>(($Q337/(1+$D337)^1+$R337/(1+$D337)^2+$S337/(1+$D337)^3+$T337/(1+$D337)^4+$U337/(1+$D337)^5+$U337*(1+$E337)/($D337-$E337)/(1+$D337)^5)-Assumptions!$C$37)/Assumptions!$C$40/Assumptions!$C$38</f>
        <v>-0.508501597</v>
      </c>
    </row>
    <row r="338" ht="12.0" customHeight="1">
      <c r="B338" s="139">
        <v>286.0</v>
      </c>
      <c r="C338" s="140">
        <f t="shared" si="6"/>
        <v>0.07716736709</v>
      </c>
      <c r="D338" s="141">
        <f t="shared" si="7"/>
        <v>0.09011465907</v>
      </c>
      <c r="E338" s="141">
        <f t="shared" si="8"/>
        <v>0.02804540664</v>
      </c>
      <c r="F338" s="140">
        <f t="shared" si="9"/>
        <v>0.5643814468</v>
      </c>
      <c r="G338" s="141">
        <f t="shared" si="10"/>
        <v>0.06199797515</v>
      </c>
      <c r="H338" s="142">
        <f t="shared" si="11"/>
        <v>1</v>
      </c>
      <c r="I338" s="142">
        <f t="shared" si="12"/>
        <v>1</v>
      </c>
      <c r="J338" s="142">
        <f t="shared" si="13"/>
        <v>0</v>
      </c>
      <c r="K338" s="142">
        <f t="shared" si="14"/>
        <v>1</v>
      </c>
      <c r="L338" s="139">
        <f>Assumptions!$C$6*Assumptions!$C$7*(1+$G338-0.05*(1-1))^1+Assumptions!$C$6*Assumptions!$C$8*(1+Assumptions!$C$11)^1+Assumptions!$C$16*1+Assumptions!$C$6*Assumptions!$C$9*(1+Assumptions!$C$12)^1</f>
        <v>747.3365184</v>
      </c>
      <c r="M338" s="139">
        <f>Assumptions!$C$6*Assumptions!$C$7*(1+$G338-0.05*(1-$H338))^2+Assumptions!$C$6*Assumptions!$C$8*(1+Assumptions!$C$11)^2+Assumptions!$C$16*$H338+Assumptions!$C$6*Assumptions!$C$9*(1+Assumptions!$C$12)^2</f>
        <v>776.0962028</v>
      </c>
      <c r="N338" s="139">
        <f>Assumptions!$C$6*Assumptions!$C$7*(1+$G338-0.05*(1-$I338))^3+Assumptions!$C$6*Assumptions!$C$8*(1+Assumptions!$C$11)^3+Assumptions!$C$16*$I338+Assumptions!$C$6*Assumptions!$C$9*(1+Assumptions!$C$12)^3</f>
        <v>806.3618535</v>
      </c>
      <c r="O338" s="139">
        <f>Assumptions!$C$6*Assumptions!$C$7*(1+$G338-0.05*(1-$J338))^4+Assumptions!$C$6*Assumptions!$C$8*(1+Assumptions!$C$11)^4+Assumptions!$C$16*$J338+Assumptions!$C$6*Assumptions!$C$9*(1+Assumptions!$C$12)^4</f>
        <v>703.1056909</v>
      </c>
      <c r="P338" s="139">
        <f>Assumptions!$C$6*Assumptions!$C$7*(1+$G338-0.05*(1-$K338))^5+Assumptions!$C$6*Assumptions!$C$8*(1+Assumptions!$C$11)^5+Assumptions!$C$16*$K338+Assumptions!$C$6*Assumptions!$C$9*(1+Assumptions!$C$12)^5</f>
        <v>871.7676899</v>
      </c>
      <c r="Q338" s="139">
        <f>($L338*(1-(Assumptions!$C$25+0.06*(1-1))-Assumptions!$C$27)-Assumptions!$C$28)-MAX(0,($L338*(1-(Assumptions!$C$25+0.06*(1-1))-Assumptions!$C$27)-Assumptions!$C$28)*Assumptions!$C$31)+Assumptions!$C$28-Assumptions!$C$29-$L338*Assumptions!$C$30</f>
        <v>93.17735146</v>
      </c>
      <c r="R338" s="139">
        <f>($M338*(1-(Assumptions!$C$25+0.06*(1-$H338))-Assumptions!$C$27)-Assumptions!$C$28)-MAX(0,($M338*(1-(Assumptions!$C$25+0.06*(1-$H338))-Assumptions!$C$27)-Assumptions!$C$28)*Assumptions!$C$31)+Assumptions!$C$28-Assumptions!$C$29-$M338*Assumptions!$C$30</f>
        <v>99.36068359</v>
      </c>
      <c r="S338" s="139">
        <f>($N338*(1-(Assumptions!$C$25+0.06*(1-$I338))-Assumptions!$C$27)-Assumptions!$C$28)-MAX(0,($N338*(1-(Assumptions!$C$25+0.06*(1-$I338))-Assumptions!$C$27)-Assumptions!$C$28)*Assumptions!$C$31)+Assumptions!$C$28-Assumptions!$C$29-$N338*Assumptions!$C$30</f>
        <v>105.8677985</v>
      </c>
      <c r="T338" s="139">
        <f>($O338*(1-(Assumptions!$C$25+0.06*(1-$J338))-Assumptions!$C$27)-Assumptions!$C$28)-MAX(0,($O338*(1-(Assumptions!$C$25+0.06*(1-$J338))-Assumptions!$C$27)-Assumptions!$C$28)*Assumptions!$C$31)+Assumptions!$C$28-Assumptions!$C$29-$O338*Assumptions!$C$30</f>
        <v>41.71430891</v>
      </c>
      <c r="U338" s="139">
        <f>($P338*(1-(Assumptions!$C$25+0.06*(1-$K338))-Assumptions!$C$27)-Assumptions!$C$28)-MAX(0,($P338*(1-(Assumptions!$C$25+0.06*(1-$K338))-Assumptions!$C$27)-Assumptions!$C$28)*Assumptions!$C$31)+Assumptions!$C$28-Assumptions!$C$29-$P338*Assumptions!$C$30</f>
        <v>119.9300533</v>
      </c>
      <c r="V338" s="143">
        <f>(($Q338/(1+$D338)^1+$R338/(1+$D338)^2+$S338/(1+$D338)^3+$T338/(1+$D338)^4+$U338/(1+$D338)^5+$U338*(1+$E338)/($D338-$E338)/(1+$D338)^5)-Assumptions!$C$37)/Assumptions!$C$40/Assumptions!$C$38</f>
        <v>7.467545985</v>
      </c>
    </row>
    <row r="339" ht="12.0" customHeight="1">
      <c r="B339" s="139">
        <v>287.0</v>
      </c>
      <c r="C339" s="140">
        <f t="shared" si="6"/>
        <v>0.4157137618</v>
      </c>
      <c r="D339" s="141">
        <f t="shared" si="7"/>
        <v>0.096895178</v>
      </c>
      <c r="E339" s="141">
        <f t="shared" si="8"/>
        <v>0.01865467837</v>
      </c>
      <c r="F339" s="140">
        <f t="shared" si="9"/>
        <v>0.3488312463</v>
      </c>
      <c r="G339" s="141">
        <f t="shared" si="10"/>
        <v>0.05505785792</v>
      </c>
      <c r="H339" s="142">
        <f t="shared" si="11"/>
        <v>1</v>
      </c>
      <c r="I339" s="142">
        <f t="shared" si="12"/>
        <v>0</v>
      </c>
      <c r="J339" s="142">
        <f t="shared" si="13"/>
        <v>1</v>
      </c>
      <c r="K339" s="142">
        <f t="shared" si="14"/>
        <v>1</v>
      </c>
      <c r="L339" s="139">
        <f>Assumptions!$C$6*Assumptions!$C$7*(1+$G339-0.05*(1-1))^1+Assumptions!$C$6*Assumptions!$C$8*(1+Assumptions!$C$11)^1+Assumptions!$C$16*1+Assumptions!$C$6*Assumptions!$C$9*(1+Assumptions!$C$12)^1</f>
        <v>745.000475</v>
      </c>
      <c r="M339" s="139">
        <f>Assumptions!$C$6*Assumptions!$C$7*(1+$G339-0.05*(1-$H339))^2+Assumptions!$C$6*Assumptions!$C$8*(1+Assumptions!$C$11)^2+Assumptions!$C$16*$H339+Assumptions!$C$6*Assumptions!$C$9*(1+Assumptions!$C$12)^2</f>
        <v>771.1506683</v>
      </c>
      <c r="N339" s="139">
        <f>Assumptions!$C$6*Assumptions!$C$7*(1+$G339-0.05*(1-$I339))^3+Assumptions!$C$6*Assumptions!$C$8*(1+Assumptions!$C$11)^3+Assumptions!$C$16*$I339+Assumptions!$C$6*Assumptions!$C$9*(1+Assumptions!$C$12)^3</f>
        <v>684.9279683</v>
      </c>
      <c r="O339" s="139">
        <f>Assumptions!$C$6*Assumptions!$C$7*(1+$G339-0.05*(1-$J339))^4+Assumptions!$C$6*Assumptions!$C$8*(1+Assumptions!$C$11)^4+Assumptions!$C$16*$J339+Assumptions!$C$6*Assumptions!$C$9*(1+Assumptions!$C$12)^4</f>
        <v>827.1384188</v>
      </c>
      <c r="P339" s="139">
        <f>Assumptions!$C$6*Assumptions!$C$7*(1+$G339-0.05*(1-$K339))^5+Assumptions!$C$6*Assumptions!$C$8*(1+Assumptions!$C$11)^5+Assumptions!$C$16*$K339+Assumptions!$C$6*Assumptions!$C$9*(1+Assumptions!$C$12)^5</f>
        <v>857.1031135</v>
      </c>
      <c r="Q339" s="139">
        <f>($L339*(1-(Assumptions!$C$25+0.06*(1-1))-Assumptions!$C$27)-Assumptions!$C$28)-MAX(0,($L339*(1-(Assumptions!$C$25+0.06*(1-1))-Assumptions!$C$27)-Assumptions!$C$28)*Assumptions!$C$31)+Assumptions!$C$28-Assumptions!$C$29-$L339*Assumptions!$C$30</f>
        <v>92.67510212</v>
      </c>
      <c r="R339" s="139">
        <f>($M339*(1-(Assumptions!$C$25+0.06*(1-$H339))-Assumptions!$C$27)-Assumptions!$C$28)-MAX(0,($M339*(1-(Assumptions!$C$25+0.06*(1-$H339))-Assumptions!$C$27)-Assumptions!$C$28)*Assumptions!$C$31)+Assumptions!$C$28-Assumptions!$C$29-$M339*Assumptions!$C$30</f>
        <v>98.29739369</v>
      </c>
      <c r="S339" s="139">
        <f>($N339*(1-(Assumptions!$C$25+0.06*(1-$I339))-Assumptions!$C$27)-Assumptions!$C$28)-MAX(0,($N339*(1-(Assumptions!$C$25+0.06*(1-$I339))-Assumptions!$C$27)-Assumptions!$C$28)*Assumptions!$C$31)+Assumptions!$C$28-Assumptions!$C$29-$N339*Assumptions!$C$30</f>
        <v>37.53343271</v>
      </c>
      <c r="T339" s="139">
        <f>($O339*(1-(Assumptions!$C$25+0.06*(1-$J339))-Assumptions!$C$27)-Assumptions!$C$28)-MAX(0,($O339*(1-(Assumptions!$C$25+0.06*(1-$J339))-Assumptions!$C$27)-Assumptions!$C$28)*Assumptions!$C$31)+Assumptions!$C$28-Assumptions!$C$29-$O339*Assumptions!$C$30</f>
        <v>110.33476</v>
      </c>
      <c r="U339" s="139">
        <f>($P339*(1-(Assumptions!$C$25+0.06*(1-$K339))-Assumptions!$C$27)-Assumptions!$C$28)-MAX(0,($P339*(1-(Assumptions!$C$25+0.06*(1-$K339))-Assumptions!$C$27)-Assumptions!$C$28)*Assumptions!$C$31)+Assumptions!$C$28-Assumptions!$C$29-$P339*Assumptions!$C$30</f>
        <v>116.7771694</v>
      </c>
      <c r="V339" s="143">
        <f>(($Q339/(1+$D339)^1+$R339/(1+$D339)^2+$S339/(1+$D339)^3+$T339/(1+$D339)^4+$U339/(1+$D339)^5+$U339*(1+$E339)/($D339-$E339)/(1+$D339)^5)-Assumptions!$C$37)/Assumptions!$C$40/Assumptions!$C$38</f>
        <v>4.761668284</v>
      </c>
    </row>
    <row r="340" ht="12.0" customHeight="1">
      <c r="B340" s="139">
        <v>288.0</v>
      </c>
      <c r="C340" s="140">
        <f t="shared" si="6"/>
        <v>0.4232758722</v>
      </c>
      <c r="D340" s="141">
        <f t="shared" si="7"/>
        <v>0.09701272017</v>
      </c>
      <c r="E340" s="141">
        <f t="shared" si="8"/>
        <v>0.02026143052</v>
      </c>
      <c r="F340" s="140">
        <f t="shared" si="9"/>
        <v>0.487631624</v>
      </c>
      <c r="G340" s="141">
        <f t="shared" si="10"/>
        <v>0.05962662524</v>
      </c>
      <c r="H340" s="142">
        <f t="shared" si="11"/>
        <v>1</v>
      </c>
      <c r="I340" s="142">
        <f t="shared" si="12"/>
        <v>0</v>
      </c>
      <c r="J340" s="142">
        <f t="shared" si="13"/>
        <v>1</v>
      </c>
      <c r="K340" s="142">
        <f t="shared" si="14"/>
        <v>0</v>
      </c>
      <c r="L340" s="139">
        <f>Assumptions!$C$6*Assumptions!$C$7*(1+$G340-0.05*(1-1))^1+Assumptions!$C$6*Assumptions!$C$8*(1+Assumptions!$C$11)^1+Assumptions!$C$16*1+Assumptions!$C$6*Assumptions!$C$9*(1+Assumptions!$C$12)^1</f>
        <v>746.5383221</v>
      </c>
      <c r="M340" s="139">
        <f>Assumptions!$C$6*Assumptions!$C$7*(1+$G340-0.05*(1-$H340))^2+Assumptions!$C$6*Assumptions!$C$8*(1+Assumptions!$C$11)^2+Assumptions!$C$16*$H340+Assumptions!$C$6*Assumptions!$C$9*(1+Assumptions!$C$12)^2</f>
        <v>774.4027297</v>
      </c>
      <c r="N340" s="139">
        <f>Assumptions!$C$6*Assumptions!$C$7*(1+$G340-0.05*(1-$I340))^3+Assumptions!$C$6*Assumptions!$C$8*(1+Assumptions!$C$11)^3+Assumptions!$C$16*$I340+Assumptions!$C$6*Assumptions!$C$9*(1+Assumptions!$C$12)^3</f>
        <v>689.6095138</v>
      </c>
      <c r="O340" s="139">
        <f>Assumptions!$C$6*Assumptions!$C$7*(1+$G340-0.05*(1-$J340))^4+Assumptions!$C$6*Assumptions!$C$8*(1+Assumptions!$C$11)^4+Assumptions!$C$16*$J340+Assumptions!$C$6*Assumptions!$C$9*(1+Assumptions!$C$12)^4</f>
        <v>834.4098838</v>
      </c>
      <c r="P340" s="139">
        <f>Assumptions!$C$6*Assumptions!$C$7*(1+$G340-0.05*(1-$K340))^5+Assumptions!$C$6*Assumptions!$C$8*(1+Assumptions!$C$11)^5+Assumptions!$C$16*$K340+Assumptions!$C$6*Assumptions!$C$9*(1+Assumptions!$C$12)^5</f>
        <v>710.176293</v>
      </c>
      <c r="Q340" s="139">
        <f>($L340*(1-(Assumptions!$C$25+0.06*(1-1))-Assumptions!$C$27)-Assumptions!$C$28)-MAX(0,($L340*(1-(Assumptions!$C$25+0.06*(1-1))-Assumptions!$C$27)-Assumptions!$C$28)*Assumptions!$C$31)+Assumptions!$C$28-Assumptions!$C$29-$L340*Assumptions!$C$30</f>
        <v>93.00573924</v>
      </c>
      <c r="R340" s="139">
        <f>($M340*(1-(Assumptions!$C$25+0.06*(1-$H340))-Assumptions!$C$27)-Assumptions!$C$28)-MAX(0,($M340*(1-(Assumptions!$C$25+0.06*(1-$H340))-Assumptions!$C$27)-Assumptions!$C$28)*Assumptions!$C$31)+Assumptions!$C$28-Assumptions!$C$29-$M340*Assumptions!$C$30</f>
        <v>98.99658688</v>
      </c>
      <c r="S340" s="139">
        <f>($N340*(1-(Assumptions!$C$25+0.06*(1-$I340))-Assumptions!$C$27)-Assumptions!$C$28)-MAX(0,($N340*(1-(Assumptions!$C$25+0.06*(1-$I340))-Assumptions!$C$27)-Assumptions!$C$28)*Assumptions!$C$31)+Assumptions!$C$28-Assumptions!$C$29-$N340*Assumptions!$C$30</f>
        <v>38.61018816</v>
      </c>
      <c r="T340" s="139">
        <f>($O340*(1-(Assumptions!$C$25+0.06*(1-$J340))-Assumptions!$C$27)-Assumptions!$C$28)-MAX(0,($O340*(1-(Assumptions!$C$25+0.06*(1-$J340))-Assumptions!$C$27)-Assumptions!$C$28)*Assumptions!$C$31)+Assumptions!$C$28-Assumptions!$C$29-$O340*Assumptions!$C$30</f>
        <v>111.898125</v>
      </c>
      <c r="U340" s="139">
        <f>($P340*(1-(Assumptions!$C$25+0.06*(1-$K340))-Assumptions!$C$27)-Assumptions!$C$28)-MAX(0,($P340*(1-(Assumptions!$C$25+0.06*(1-$K340))-Assumptions!$C$27)-Assumptions!$C$28)*Assumptions!$C$31)+Assumptions!$C$28-Assumptions!$C$29-$P340*Assumptions!$C$30</f>
        <v>43.3405474</v>
      </c>
      <c r="V340" s="143">
        <f>(($Q340/(1+$D340)^1+$R340/(1+$D340)^2+$S340/(1+$D340)^3+$T340/(1+$D340)^4+$U340/(1+$D340)^5+$U340*(1+$E340)/($D340-$E340)/(1+$D340)^5)-Assumptions!$C$37)/Assumptions!$C$40/Assumptions!$C$38</f>
        <v>-0.2203821554</v>
      </c>
    </row>
    <row r="341" ht="12.0" customHeight="1">
      <c r="B341" s="139">
        <v>289.0</v>
      </c>
      <c r="C341" s="140">
        <f t="shared" si="6"/>
        <v>0.4299047462</v>
      </c>
      <c r="D341" s="141">
        <f t="shared" si="7"/>
        <v>0.09711639194</v>
      </c>
      <c r="E341" s="141">
        <f t="shared" si="8"/>
        <v>0.0175377354</v>
      </c>
      <c r="F341" s="140">
        <f t="shared" si="9"/>
        <v>0.6891577075</v>
      </c>
      <c r="G341" s="141">
        <f t="shared" si="10"/>
        <v>0.06634590677</v>
      </c>
      <c r="H341" s="142">
        <f t="shared" si="11"/>
        <v>0</v>
      </c>
      <c r="I341" s="142">
        <f t="shared" si="12"/>
        <v>1</v>
      </c>
      <c r="J341" s="142">
        <f t="shared" si="13"/>
        <v>1</v>
      </c>
      <c r="K341" s="142">
        <f t="shared" si="14"/>
        <v>1</v>
      </c>
      <c r="L341" s="139">
        <f>Assumptions!$C$6*Assumptions!$C$7*(1+$G341-0.05*(1-1))^1+Assumptions!$C$6*Assumptions!$C$8*(1+Assumptions!$C$11)^1+Assumptions!$C$16*1+Assumptions!$C$6*Assumptions!$C$9*(1+Assumptions!$C$12)^1</f>
        <v>748.8000322</v>
      </c>
      <c r="M341" s="139">
        <f>Assumptions!$C$6*Assumptions!$C$7*(1+$G341-0.05*(1-$H341))^2+Assumptions!$C$6*Assumptions!$C$8*(1+Assumptions!$C$11)^2+Assumptions!$C$16*$H341+Assumptions!$C$6*Assumptions!$C$9*(1+Assumptions!$C$12)^2</f>
        <v>684.1593601</v>
      </c>
      <c r="N341" s="139">
        <f>Assumptions!$C$6*Assumptions!$C$7*(1+$G341-0.05*(1-$I341))^3+Assumptions!$C$6*Assumptions!$C$8*(1+Assumptions!$C$11)^3+Assumptions!$C$16*$I341+Assumptions!$C$6*Assumptions!$C$9*(1+Assumptions!$C$12)^3</f>
        <v>811.3339813</v>
      </c>
      <c r="O341" s="139">
        <f>Assumptions!$C$6*Assumptions!$C$7*(1+$G341-0.05*(1-$J341))^4+Assumptions!$C$6*Assumptions!$C$8*(1+Assumptions!$C$11)^4+Assumptions!$C$16*$J341+Assumptions!$C$6*Assumptions!$C$9*(1+Assumptions!$C$12)^4</f>
        <v>845.2762475</v>
      </c>
      <c r="P341" s="139">
        <f>Assumptions!$C$6*Assumptions!$C$7*(1+$G341-0.05*(1-$K341))^5+Assumptions!$C$6*Assumptions!$C$8*(1+Assumptions!$C$11)^5+Assumptions!$C$16*$K341+Assumptions!$C$6*Assumptions!$C$9*(1+Assumptions!$C$12)^5</f>
        <v>881.1523308</v>
      </c>
      <c r="Q341" s="139">
        <f>($L341*(1-(Assumptions!$C$25+0.06*(1-1))-Assumptions!$C$27)-Assumptions!$C$28)-MAX(0,($L341*(1-(Assumptions!$C$25+0.06*(1-1))-Assumptions!$C$27)-Assumptions!$C$28)*Assumptions!$C$31)+Assumptions!$C$28-Assumptions!$C$29-$L341*Assumptions!$C$30</f>
        <v>93.49200693</v>
      </c>
      <c r="R341" s="139">
        <f>($M341*(1-(Assumptions!$C$25+0.06*(1-$H341))-Assumptions!$C$27)-Assumptions!$C$28)-MAX(0,($M341*(1-(Assumptions!$C$25+0.06*(1-$H341))-Assumptions!$C$27)-Assumptions!$C$28)*Assumptions!$C$31)+Assumptions!$C$28-Assumptions!$C$29-$M341*Assumptions!$C$30</f>
        <v>37.35665283</v>
      </c>
      <c r="S341" s="139">
        <f>($N341*(1-(Assumptions!$C$25+0.06*(1-$I341))-Assumptions!$C$27)-Assumptions!$C$28)-MAX(0,($N341*(1-(Assumptions!$C$25+0.06*(1-$I341))-Assumptions!$C$27)-Assumptions!$C$28)*Assumptions!$C$31)+Assumptions!$C$28-Assumptions!$C$29-$N341*Assumptions!$C$30</f>
        <v>106.936806</v>
      </c>
      <c r="T341" s="139">
        <f>($O341*(1-(Assumptions!$C$25+0.06*(1-$J341))-Assumptions!$C$27)-Assumptions!$C$28)-MAX(0,($O341*(1-(Assumptions!$C$25+0.06*(1-$J341))-Assumptions!$C$27)-Assumptions!$C$28)*Assumptions!$C$31)+Assumptions!$C$28-Assumptions!$C$29-$O341*Assumptions!$C$30</f>
        <v>114.2343932</v>
      </c>
      <c r="U341" s="139">
        <f>($P341*(1-(Assumptions!$C$25+0.06*(1-$K341))-Assumptions!$C$27)-Assumptions!$C$28)-MAX(0,($P341*(1-(Assumptions!$C$25+0.06*(1-$K341))-Assumptions!$C$27)-Assumptions!$C$28)*Assumptions!$C$31)+Assumptions!$C$28-Assumptions!$C$29-$P341*Assumptions!$C$30</f>
        <v>121.9477511</v>
      </c>
      <c r="V341" s="143">
        <f>(($Q341/(1+$D341)^1+$R341/(1+$D341)^2+$S341/(1+$D341)^3+$T341/(1+$D341)^4+$U341/(1+$D341)^5+$U341*(1+$E341)/($D341-$E341)/(1+$D341)^5)-Assumptions!$C$37)/Assumptions!$C$40/Assumptions!$C$38</f>
        <v>5.010823103</v>
      </c>
    </row>
    <row r="342" ht="12.0" customHeight="1">
      <c r="B342" s="139">
        <v>290.0</v>
      </c>
      <c r="C342" s="140">
        <f t="shared" si="6"/>
        <v>0.6968572132</v>
      </c>
      <c r="D342" s="141">
        <f t="shared" si="7"/>
        <v>0.1019591755</v>
      </c>
      <c r="E342" s="141">
        <f t="shared" si="8"/>
        <v>0.01865635639</v>
      </c>
      <c r="F342" s="140">
        <f t="shared" si="9"/>
        <v>0.9915958532</v>
      </c>
      <c r="G342" s="141">
        <f t="shared" si="10"/>
        <v>0.08611059591</v>
      </c>
      <c r="H342" s="142">
        <f t="shared" si="11"/>
        <v>1</v>
      </c>
      <c r="I342" s="142">
        <f t="shared" si="12"/>
        <v>0</v>
      </c>
      <c r="J342" s="142">
        <f t="shared" si="13"/>
        <v>0</v>
      </c>
      <c r="K342" s="142">
        <f t="shared" si="14"/>
        <v>0</v>
      </c>
      <c r="L342" s="139">
        <f>Assumptions!$C$6*Assumptions!$C$7*(1+$G342-0.05*(1-1))^1+Assumptions!$C$6*Assumptions!$C$8*(1+Assumptions!$C$11)^1+Assumptions!$C$16*1+Assumptions!$C$6*Assumptions!$C$9*(1+Assumptions!$C$12)^1</f>
        <v>755.4528266</v>
      </c>
      <c r="M342" s="139">
        <f>Assumptions!$C$6*Assumptions!$C$7*(1+$G342-0.05*(1-$H342))^2+Assumptions!$C$6*Assumptions!$C$8*(1+Assumptions!$C$11)^2+Assumptions!$C$16*$H342+Assumptions!$C$6*Assumptions!$C$9*(1+Assumptions!$C$12)^2</f>
        <v>793.5309139</v>
      </c>
      <c r="N342" s="139">
        <f>Assumptions!$C$6*Assumptions!$C$7*(1+$G342-0.05*(1-$I342))^3+Assumptions!$C$6*Assumptions!$C$8*(1+Assumptions!$C$11)^3+Assumptions!$C$16*$I342+Assumptions!$C$6*Assumptions!$C$9*(1+Assumptions!$C$12)^3</f>
        <v>717.5917506</v>
      </c>
      <c r="O342" s="139">
        <f>Assumptions!$C$6*Assumptions!$C$7*(1+$G342-0.05*(1-$J342))^4+Assumptions!$C$6*Assumptions!$C$8*(1+Assumptions!$C$11)^4+Assumptions!$C$16*$J342+Assumptions!$C$6*Assumptions!$C$9*(1+Assumptions!$C$12)^4</f>
        <v>737.9753458</v>
      </c>
      <c r="P342" s="139">
        <f>Assumptions!$C$6*Assumptions!$C$7*(1+$G342-0.05*(1-$K342))^5+Assumptions!$C$6*Assumptions!$C$8*(1+Assumptions!$C$11)^5+Assumptions!$C$16*$K342+Assumptions!$C$6*Assumptions!$C$9*(1+Assumptions!$C$12)^5</f>
        <v>758.9844233</v>
      </c>
      <c r="Q342" s="139">
        <f>($L342*(1-(Assumptions!$C$25+0.06*(1-1))-Assumptions!$C$27)-Assumptions!$C$28)-MAX(0,($L342*(1-(Assumptions!$C$25+0.06*(1-1))-Assumptions!$C$27)-Assumptions!$C$28)*Assumptions!$C$31)+Assumptions!$C$28-Assumptions!$C$29-$L342*Assumptions!$C$30</f>
        <v>94.92235772</v>
      </c>
      <c r="R342" s="139">
        <f>($M342*(1-(Assumptions!$C$25+0.06*(1-$H342))-Assumptions!$C$27)-Assumptions!$C$28)-MAX(0,($M342*(1-(Assumptions!$C$25+0.06*(1-$H342))-Assumptions!$C$27)-Assumptions!$C$28)*Assumptions!$C$31)+Assumptions!$C$28-Assumptions!$C$29-$M342*Assumptions!$C$30</f>
        <v>103.1091465</v>
      </c>
      <c r="S342" s="139">
        <f>($N342*(1-(Assumptions!$C$25+0.06*(1-$I342))-Assumptions!$C$27)-Assumptions!$C$28)-MAX(0,($N342*(1-(Assumptions!$C$25+0.06*(1-$I342))-Assumptions!$C$27)-Assumptions!$C$28)*Assumptions!$C$31)+Assumptions!$C$28-Assumptions!$C$29-$N342*Assumptions!$C$30</f>
        <v>45.04610265</v>
      </c>
      <c r="T342" s="139">
        <f>($O342*(1-(Assumptions!$C$25+0.06*(1-$J342))-Assumptions!$C$27)-Assumptions!$C$28)-MAX(0,($O342*(1-(Assumptions!$C$25+0.06*(1-$J342))-Assumptions!$C$27)-Assumptions!$C$28)*Assumptions!$C$31)+Assumptions!$C$28-Assumptions!$C$29-$O342*Assumptions!$C$30</f>
        <v>49.73432953</v>
      </c>
      <c r="U342" s="139">
        <f>($P342*(1-(Assumptions!$C$25+0.06*(1-$K342))-Assumptions!$C$27)-Assumptions!$C$28)-MAX(0,($P342*(1-(Assumptions!$C$25+0.06*(1-$K342))-Assumptions!$C$27)-Assumptions!$C$28)*Assumptions!$C$31)+Assumptions!$C$28-Assumptions!$C$29-$P342*Assumptions!$C$30</f>
        <v>54.56641735</v>
      </c>
      <c r="V342" s="143">
        <f>(($Q342/(1+$D342)^1+$R342/(1+$D342)^2+$S342/(1+$D342)^3+$T342/(1+$D342)^4+$U342/(1+$D342)^5+$U342*(1+$E342)/($D342-$E342)/(1+$D342)^5)-Assumptions!$C$37)/Assumptions!$C$40/Assumptions!$C$38</f>
        <v>-0.07047992304</v>
      </c>
    </row>
    <row r="343" ht="12.0" customHeight="1">
      <c r="B343" s="139">
        <v>291.0</v>
      </c>
      <c r="C343" s="140">
        <f t="shared" si="6"/>
        <v>0.6590455557</v>
      </c>
      <c r="D343" s="141">
        <f t="shared" si="7"/>
        <v>0.1011697634</v>
      </c>
      <c r="E343" s="141">
        <f t="shared" si="8"/>
        <v>0.01484718531</v>
      </c>
      <c r="F343" s="140">
        <f t="shared" si="9"/>
        <v>0.3348655042</v>
      </c>
      <c r="G343" s="141">
        <f t="shared" si="10"/>
        <v>0.05455112844</v>
      </c>
      <c r="H343" s="142">
        <f t="shared" si="11"/>
        <v>1</v>
      </c>
      <c r="I343" s="142">
        <f t="shared" si="12"/>
        <v>0</v>
      </c>
      <c r="J343" s="142">
        <f t="shared" si="13"/>
        <v>1</v>
      </c>
      <c r="K343" s="142">
        <f t="shared" si="14"/>
        <v>0</v>
      </c>
      <c r="L343" s="139">
        <f>Assumptions!$C$6*Assumptions!$C$7*(1+$G343-0.05*(1-1))^1+Assumptions!$C$6*Assumptions!$C$8*(1+Assumptions!$C$11)^1+Assumptions!$C$16*1+Assumptions!$C$6*Assumptions!$C$9*(1+Assumptions!$C$12)^1</f>
        <v>744.8299098</v>
      </c>
      <c r="M343" s="139">
        <f>Assumptions!$C$6*Assumptions!$C$7*(1+$G343-0.05*(1-$H343))^2+Assumptions!$C$6*Assumptions!$C$8*(1+Assumptions!$C$11)^2+Assumptions!$C$16*$H343+Assumptions!$C$6*Assumptions!$C$9*(1+Assumptions!$C$12)^2</f>
        <v>770.7908426</v>
      </c>
      <c r="N343" s="139">
        <f>Assumptions!$C$6*Assumptions!$C$7*(1+$G343-0.05*(1-$I343))^3+Assumptions!$C$6*Assumptions!$C$8*(1+Assumptions!$C$11)^3+Assumptions!$C$16*$I343+Assumptions!$C$6*Assumptions!$C$9*(1+Assumptions!$C$12)^3</f>
        <v>684.4113442</v>
      </c>
      <c r="O343" s="139">
        <f>Assumptions!$C$6*Assumptions!$C$7*(1+$G343-0.05*(1-$J343))^4+Assumptions!$C$6*Assumptions!$C$8*(1+Assumptions!$C$11)^4+Assumptions!$C$16*$J343+Assumptions!$C$6*Assumptions!$C$9*(1+Assumptions!$C$12)^4</f>
        <v>826.3377254</v>
      </c>
      <c r="P343" s="139">
        <f>Assumptions!$C$6*Assumptions!$C$7*(1+$G343-0.05*(1-$K343))^5+Assumptions!$C$6*Assumptions!$C$8*(1+Assumptions!$C$11)^5+Assumptions!$C$16*$K343+Assumptions!$C$6*Assumptions!$C$9*(1+Assumptions!$C$12)^5</f>
        <v>701.3893181</v>
      </c>
      <c r="Q343" s="139">
        <f>($L343*(1-(Assumptions!$C$25+0.06*(1-1))-Assumptions!$C$27)-Assumptions!$C$28)-MAX(0,($L343*(1-(Assumptions!$C$25+0.06*(1-1))-Assumptions!$C$27)-Assumptions!$C$28)*Assumptions!$C$31)+Assumptions!$C$28-Assumptions!$C$29-$L343*Assumptions!$C$30</f>
        <v>92.63843061</v>
      </c>
      <c r="R343" s="139">
        <f>($M343*(1-(Assumptions!$C$25+0.06*(1-$H343))-Assumptions!$C$27)-Assumptions!$C$28)-MAX(0,($M343*(1-(Assumptions!$C$25+0.06*(1-$H343))-Assumptions!$C$27)-Assumptions!$C$28)*Assumptions!$C$31)+Assumptions!$C$28-Assumptions!$C$29-$M343*Assumptions!$C$30</f>
        <v>98.22003115</v>
      </c>
      <c r="S343" s="139">
        <f>($N343*(1-(Assumptions!$C$25+0.06*(1-$I343))-Assumptions!$C$27)-Assumptions!$C$28)-MAX(0,($N343*(1-(Assumptions!$C$25+0.06*(1-$I343))-Assumptions!$C$27)-Assumptions!$C$28)*Assumptions!$C$31)+Assumptions!$C$28-Assumptions!$C$29-$N343*Assumptions!$C$30</f>
        <v>37.41460916</v>
      </c>
      <c r="T343" s="139">
        <f>($O343*(1-(Assumptions!$C$25+0.06*(1-$J343))-Assumptions!$C$27)-Assumptions!$C$28)-MAX(0,($O343*(1-(Assumptions!$C$25+0.06*(1-$J343))-Assumptions!$C$27)-Assumptions!$C$28)*Assumptions!$C$31)+Assumptions!$C$28-Assumptions!$C$29-$O343*Assumptions!$C$30</f>
        <v>110.162611</v>
      </c>
      <c r="U343" s="139">
        <f>($P343*(1-(Assumptions!$C$25+0.06*(1-$K343))-Assumptions!$C$27)-Assumptions!$C$28)-MAX(0,($P343*(1-(Assumptions!$C$25+0.06*(1-$K343))-Assumptions!$C$27)-Assumptions!$C$28)*Assumptions!$C$31)+Assumptions!$C$28-Assumptions!$C$29-$P343*Assumptions!$C$30</f>
        <v>41.31954317</v>
      </c>
      <c r="V343" s="143">
        <f>(($Q343/(1+$D343)^1+$R343/(1+$D343)^2+$S343/(1+$D343)^3+$T343/(1+$D343)^4+$U343/(1+$D343)^5+$U343*(1+$E343)/($D343-$E343)/(1+$D343)^5)-Assumptions!$C$37)/Assumptions!$C$40/Assumptions!$C$38</f>
        <v>-0.7654149677</v>
      </c>
    </row>
    <row r="344" ht="12.0" customHeight="1">
      <c r="B344" s="139">
        <v>292.0</v>
      </c>
      <c r="C344" s="140">
        <f t="shared" si="6"/>
        <v>0.9190426204</v>
      </c>
      <c r="D344" s="141">
        <f t="shared" si="7"/>
        <v>0.1082607797</v>
      </c>
      <c r="E344" s="141">
        <f t="shared" si="8"/>
        <v>0.0152123975</v>
      </c>
      <c r="F344" s="140">
        <f t="shared" si="9"/>
        <v>0.3083863868</v>
      </c>
      <c r="G344" s="141">
        <f t="shared" si="10"/>
        <v>0.05356046469</v>
      </c>
      <c r="H344" s="142">
        <f t="shared" si="11"/>
        <v>1</v>
      </c>
      <c r="I344" s="142">
        <f t="shared" si="12"/>
        <v>1</v>
      </c>
      <c r="J344" s="142">
        <f t="shared" si="13"/>
        <v>1</v>
      </c>
      <c r="K344" s="142">
        <f t="shared" si="14"/>
        <v>1</v>
      </c>
      <c r="L344" s="139">
        <f>Assumptions!$C$6*Assumptions!$C$7*(1+$G344-0.05*(1-1))^1+Assumptions!$C$6*Assumptions!$C$8*(1+Assumptions!$C$11)^1+Assumptions!$C$16*1+Assumptions!$C$6*Assumptions!$C$9*(1+Assumptions!$C$12)^1</f>
        <v>744.4964524</v>
      </c>
      <c r="M344" s="139">
        <f>Assumptions!$C$6*Assumptions!$C$7*(1+$G344-0.05*(1-$H344))^2+Assumptions!$C$6*Assumptions!$C$8*(1+Assumptions!$C$11)^2+Assumptions!$C$16*$H344+Assumptions!$C$6*Assumptions!$C$9*(1+Assumptions!$C$12)^2</f>
        <v>770.0878771</v>
      </c>
      <c r="N344" s="139">
        <f>Assumptions!$C$6*Assumptions!$C$7*(1+$G344-0.05*(1-$I344))^3+Assumptions!$C$6*Assumptions!$C$8*(1+Assumptions!$C$11)^3+Assumptions!$C$16*$I344+Assumptions!$C$6*Assumptions!$C$9*(1+Assumptions!$C$12)^3</f>
        <v>796.82858</v>
      </c>
      <c r="O344" s="139">
        <f>Assumptions!$C$6*Assumptions!$C$7*(1+$G344-0.05*(1-$J344))^4+Assumptions!$C$6*Assumptions!$C$8*(1+Assumptions!$C$11)^4+Assumptions!$C$16*$J344+Assumptions!$C$6*Assumptions!$C$9*(1+Assumptions!$C$12)^4</f>
        <v>824.7756886</v>
      </c>
      <c r="P344" s="139">
        <f>Assumptions!$C$6*Assumptions!$C$7*(1+$G344-0.05*(1-$K344))^5+Assumptions!$C$6*Assumptions!$C$8*(1+Assumptions!$C$11)^5+Assumptions!$C$16*$K344+Assumptions!$C$6*Assumptions!$C$9*(1+Assumptions!$C$12)^5</f>
        <v>853.9893019</v>
      </c>
      <c r="Q344" s="139">
        <f>($L344*(1-(Assumptions!$C$25+0.06*(1-1))-Assumptions!$C$27)-Assumptions!$C$28)-MAX(0,($L344*(1-(Assumptions!$C$25+0.06*(1-1))-Assumptions!$C$27)-Assumptions!$C$28)*Assumptions!$C$31)+Assumptions!$C$28-Assumptions!$C$29-$L344*Assumptions!$C$30</f>
        <v>92.56673727</v>
      </c>
      <c r="R344" s="139">
        <f>($M344*(1-(Assumptions!$C$25+0.06*(1-$H344))-Assumptions!$C$27)-Assumptions!$C$28)-MAX(0,($M344*(1-(Assumptions!$C$25+0.06*(1-$H344))-Assumptions!$C$27)-Assumptions!$C$28)*Assumptions!$C$31)+Assumptions!$C$28-Assumptions!$C$29-$M344*Assumptions!$C$30</f>
        <v>98.06889358</v>
      </c>
      <c r="S344" s="139">
        <f>($N344*(1-(Assumptions!$C$25+0.06*(1-$I344))-Assumptions!$C$27)-Assumptions!$C$28)-MAX(0,($N344*(1-(Assumptions!$C$25+0.06*(1-$I344))-Assumptions!$C$27)-Assumptions!$C$28)*Assumptions!$C$31)+Assumptions!$C$28-Assumptions!$C$29-$N344*Assumptions!$C$30</f>
        <v>103.8181447</v>
      </c>
      <c r="T344" s="139">
        <f>($O344*(1-(Assumptions!$C$25+0.06*(1-$J344))-Assumptions!$C$27)-Assumptions!$C$28)-MAX(0,($O344*(1-(Assumptions!$C$25+0.06*(1-$J344))-Assumptions!$C$27)-Assumptions!$C$28)*Assumptions!$C$31)+Assumptions!$C$28-Assumptions!$C$29-$O344*Assumptions!$C$30</f>
        <v>109.826773</v>
      </c>
      <c r="U344" s="139">
        <f>($P344*(1-(Assumptions!$C$25+0.06*(1-$K344))-Assumptions!$C$27)-Assumptions!$C$28)-MAX(0,($P344*(1-(Assumptions!$C$25+0.06*(1-$K344))-Assumptions!$C$27)-Assumptions!$C$28)*Assumptions!$C$31)+Assumptions!$C$28-Assumptions!$C$29-$P344*Assumptions!$C$30</f>
        <v>116.1076999</v>
      </c>
      <c r="V344" s="143">
        <f>(($Q344/(1+$D344)^1+$R344/(1+$D344)^2+$S344/(1+$D344)^3+$T344/(1+$D344)^4+$U344/(1+$D344)^5+$U344*(1+$E344)/($D344-$E344)/(1+$D344)^5)-Assumptions!$C$37)/Assumptions!$C$40/Assumptions!$C$38</f>
        <v>3.495315807</v>
      </c>
    </row>
    <row r="345" ht="12.0" customHeight="1">
      <c r="B345" s="139">
        <v>293.0</v>
      </c>
      <c r="C345" s="140">
        <f t="shared" si="6"/>
        <v>0.9572163062</v>
      </c>
      <c r="D345" s="141">
        <f t="shared" si="7"/>
        <v>0.1101008519</v>
      </c>
      <c r="E345" s="141">
        <f t="shared" si="8"/>
        <v>0.02184572595</v>
      </c>
      <c r="F345" s="140">
        <f t="shared" si="9"/>
        <v>0.2862027839</v>
      </c>
      <c r="G345" s="141">
        <f t="shared" si="10"/>
        <v>0.05269724677</v>
      </c>
      <c r="H345" s="142">
        <f t="shared" si="11"/>
        <v>1</v>
      </c>
      <c r="I345" s="142">
        <f t="shared" si="12"/>
        <v>1</v>
      </c>
      <c r="J345" s="142">
        <f t="shared" si="13"/>
        <v>0</v>
      </c>
      <c r="K345" s="142">
        <f t="shared" si="14"/>
        <v>0</v>
      </c>
      <c r="L345" s="139">
        <f>Assumptions!$C$6*Assumptions!$C$7*(1+$G345-0.05*(1-1))^1+Assumptions!$C$6*Assumptions!$C$8*(1+Assumptions!$C$11)^1+Assumptions!$C$16*1+Assumptions!$C$6*Assumptions!$C$9*(1+Assumptions!$C$12)^1</f>
        <v>744.2058933</v>
      </c>
      <c r="M345" s="139">
        <f>Assumptions!$C$6*Assumptions!$C$7*(1+$G345-0.05*(1-$H345))^2+Assumptions!$C$6*Assumptions!$C$8*(1+Assumptions!$C$11)^2+Assumptions!$C$16*$H345+Assumptions!$C$6*Assumptions!$C$9*(1+Assumptions!$C$12)^2</f>
        <v>769.4758847</v>
      </c>
      <c r="N345" s="139">
        <f>Assumptions!$C$6*Assumptions!$C$7*(1+$G345-0.05*(1-$I345))^3+Assumptions!$C$6*Assumptions!$C$8*(1+Assumptions!$C$11)^3+Assumptions!$C$16*$I345+Assumptions!$C$6*Assumptions!$C$9*(1+Assumptions!$C$12)^3</f>
        <v>795.8618195</v>
      </c>
      <c r="O345" s="139">
        <f>Assumptions!$C$6*Assumptions!$C$7*(1+$G345-0.05*(1-$J345))^4+Assumptions!$C$6*Assumptions!$C$8*(1+Assumptions!$C$11)^4+Assumptions!$C$16*$J345+Assumptions!$C$6*Assumptions!$C$9*(1+Assumptions!$C$12)^4</f>
        <v>690.3048529</v>
      </c>
      <c r="P345" s="139">
        <f>Assumptions!$C$6*Assumptions!$C$7*(1+$G345-0.05*(1-$K345))^5+Assumptions!$C$6*Assumptions!$C$8*(1+Assumptions!$C$11)^5+Assumptions!$C$16*$K345+Assumptions!$C$6*Assumptions!$C$9*(1+Assumptions!$C$12)^5</f>
        <v>698.2237523</v>
      </c>
      <c r="Q345" s="139">
        <f>($L345*(1-(Assumptions!$C$25+0.06*(1-1))-Assumptions!$C$27)-Assumptions!$C$28)-MAX(0,($L345*(1-(Assumptions!$C$25+0.06*(1-1))-Assumptions!$C$27)-Assumptions!$C$28)*Assumptions!$C$31)+Assumptions!$C$28-Assumptions!$C$29-$L345*Assumptions!$C$30</f>
        <v>92.50426705</v>
      </c>
      <c r="R345" s="139">
        <f>($M345*(1-(Assumptions!$C$25+0.06*(1-$H345))-Assumptions!$C$27)-Assumptions!$C$28)-MAX(0,($M345*(1-(Assumptions!$C$25+0.06*(1-$H345))-Assumptions!$C$27)-Assumptions!$C$28)*Assumptions!$C$31)+Assumptions!$C$28-Assumptions!$C$29-$M345*Assumptions!$C$30</f>
        <v>97.9373152</v>
      </c>
      <c r="S345" s="139">
        <f>($N345*(1-(Assumptions!$C$25+0.06*(1-$I345))-Assumptions!$C$27)-Assumptions!$C$28)-MAX(0,($N345*(1-(Assumptions!$C$25+0.06*(1-$I345))-Assumptions!$C$27)-Assumptions!$C$28)*Assumptions!$C$31)+Assumptions!$C$28-Assumptions!$C$29-$N345*Assumptions!$C$30</f>
        <v>103.6102912</v>
      </c>
      <c r="T345" s="139">
        <f>($O345*(1-(Assumptions!$C$25+0.06*(1-$J345))-Assumptions!$C$27)-Assumptions!$C$28)-MAX(0,($O345*(1-(Assumptions!$C$25+0.06*(1-$J345))-Assumptions!$C$27)-Assumptions!$C$28)*Assumptions!$C$31)+Assumptions!$C$28-Assumptions!$C$29-$O345*Assumptions!$C$30</f>
        <v>38.77011617</v>
      </c>
      <c r="U345" s="139">
        <f>($P345*(1-(Assumptions!$C$25+0.06*(1-$K345))-Assumptions!$C$27)-Assumptions!$C$28)-MAX(0,($P345*(1-(Assumptions!$C$25+0.06*(1-$K345))-Assumptions!$C$27)-Assumptions!$C$28)*Assumptions!$C$31)+Assumptions!$C$28-Assumptions!$C$29-$P345*Assumptions!$C$30</f>
        <v>40.59146304</v>
      </c>
      <c r="V345" s="143">
        <f>(($Q345/(1+$D345)^1+$R345/(1+$D345)^2+$S345/(1+$D345)^3+$T345/(1+$D345)^4+$U345/(1+$D345)^5+$U345*(1+$E345)/($D345-$E345)/(1+$D345)^5)-Assumptions!$C$37)/Assumptions!$C$40/Assumptions!$C$38</f>
        <v>-0.9736729074</v>
      </c>
    </row>
    <row r="346" ht="12.0" customHeight="1">
      <c r="B346" s="139">
        <v>294.0</v>
      </c>
      <c r="C346" s="140">
        <f t="shared" si="6"/>
        <v>0.3639071902</v>
      </c>
      <c r="D346" s="141">
        <f t="shared" si="7"/>
        <v>0.09610695897</v>
      </c>
      <c r="E346" s="141">
        <f t="shared" si="8"/>
        <v>0.01052029106</v>
      </c>
      <c r="F346" s="140">
        <f t="shared" si="9"/>
        <v>0.3425805785</v>
      </c>
      <c r="G346" s="141">
        <f t="shared" si="10"/>
        <v>0.05483233862</v>
      </c>
      <c r="H346" s="142">
        <f t="shared" si="11"/>
        <v>1</v>
      </c>
      <c r="I346" s="142">
        <f t="shared" si="12"/>
        <v>1</v>
      </c>
      <c r="J346" s="142">
        <f t="shared" si="13"/>
        <v>1</v>
      </c>
      <c r="K346" s="142">
        <f t="shared" si="14"/>
        <v>1</v>
      </c>
      <c r="L346" s="139">
        <f>Assumptions!$C$6*Assumptions!$C$7*(1+$G346-0.05*(1-1))^1+Assumptions!$C$6*Assumptions!$C$8*(1+Assumptions!$C$11)^1+Assumptions!$C$16*1+Assumptions!$C$6*Assumptions!$C$9*(1+Assumptions!$C$12)^1</f>
        <v>744.9245652</v>
      </c>
      <c r="M346" s="139">
        <f>Assumptions!$C$6*Assumptions!$C$7*(1+$G346-0.05*(1-$H346))^2+Assumptions!$C$6*Assumptions!$C$8*(1+Assumptions!$C$11)^2+Assumptions!$C$16*$H346+Assumptions!$C$6*Assumptions!$C$9*(1+Assumptions!$C$12)^2</f>
        <v>770.990507</v>
      </c>
      <c r="N346" s="139">
        <f>Assumptions!$C$6*Assumptions!$C$7*(1+$G346-0.05*(1-$I346))^3+Assumptions!$C$6*Assumptions!$C$8*(1+Assumptions!$C$11)^3+Assumptions!$C$16*$I346+Assumptions!$C$6*Assumptions!$C$9*(1+Assumptions!$C$12)^3</f>
        <v>798.2559039</v>
      </c>
      <c r="O346" s="139">
        <f>Assumptions!$C$6*Assumptions!$C$7*(1+$G346-0.05*(1-$J346))^4+Assumptions!$C$6*Assumptions!$C$8*(1+Assumptions!$C$11)^4+Assumptions!$C$16*$J346+Assumptions!$C$6*Assumptions!$C$9*(1+Assumptions!$C$12)^4</f>
        <v>826.7819287</v>
      </c>
      <c r="P346" s="139">
        <f>Assumptions!$C$6*Assumptions!$C$7*(1+$G346-0.05*(1-$K346))^5+Assumptions!$C$6*Assumptions!$C$8*(1+Assumptions!$C$11)^5+Assumptions!$C$16*$K346+Assumptions!$C$6*Assumptions!$C$9*(1+Assumptions!$C$12)^5</f>
        <v>856.6330168</v>
      </c>
      <c r="Q346" s="139">
        <f>($L346*(1-(Assumptions!$C$25+0.06*(1-1))-Assumptions!$C$27)-Assumptions!$C$28)-MAX(0,($L346*(1-(Assumptions!$C$25+0.06*(1-1))-Assumptions!$C$27)-Assumptions!$C$28)*Assumptions!$C$31)+Assumptions!$C$28-Assumptions!$C$29-$L346*Assumptions!$C$30</f>
        <v>92.65878151</v>
      </c>
      <c r="R346" s="139">
        <f>($M346*(1-(Assumptions!$C$25+0.06*(1-$H346))-Assumptions!$C$27)-Assumptions!$C$28)-MAX(0,($M346*(1-(Assumptions!$C$25+0.06*(1-$H346))-Assumptions!$C$27)-Assumptions!$C$28)*Assumptions!$C$31)+Assumptions!$C$28-Assumptions!$C$29-$M346*Assumptions!$C$30</f>
        <v>98.262959</v>
      </c>
      <c r="S346" s="139">
        <f>($N346*(1-(Assumptions!$C$25+0.06*(1-$I346))-Assumptions!$C$27)-Assumptions!$C$28)-MAX(0,($N346*(1-(Assumptions!$C$25+0.06*(1-$I346))-Assumptions!$C$27)-Assumptions!$C$28)*Assumptions!$C$31)+Assumptions!$C$28-Assumptions!$C$29-$N346*Assumptions!$C$30</f>
        <v>104.1250193</v>
      </c>
      <c r="T346" s="139">
        <f>($O346*(1-(Assumptions!$C$25+0.06*(1-$J346))-Assumptions!$C$27)-Assumptions!$C$28)-MAX(0,($O346*(1-(Assumptions!$C$25+0.06*(1-$J346))-Assumptions!$C$27)-Assumptions!$C$28)*Assumptions!$C$31)+Assumptions!$C$28-Assumptions!$C$29-$O346*Assumptions!$C$30</f>
        <v>110.2581147</v>
      </c>
      <c r="U346" s="139">
        <f>($P346*(1-(Assumptions!$C$25+0.06*(1-$K346))-Assumptions!$C$27)-Assumptions!$C$28)-MAX(0,($P346*(1-(Assumptions!$C$25+0.06*(1-$K346))-Assumptions!$C$27)-Assumptions!$C$28)*Assumptions!$C$31)+Assumptions!$C$28-Assumptions!$C$29-$P346*Assumptions!$C$30</f>
        <v>116.6760986</v>
      </c>
      <c r="V346" s="143">
        <f>(($Q346/(1+$D346)^1+$R346/(1+$D346)^2+$S346/(1+$D346)^3+$T346/(1+$D346)^4+$U346/(1+$D346)^5+$U346*(1+$E346)/($D346-$E346)/(1+$D346)^5)-Assumptions!$C$37)/Assumptions!$C$40/Assumptions!$C$38</f>
        <v>4.483295344</v>
      </c>
    </row>
    <row r="347" ht="12.0" customHeight="1">
      <c r="B347" s="139">
        <v>295.0</v>
      </c>
      <c r="C347" s="140">
        <f t="shared" si="6"/>
        <v>0.9117667374</v>
      </c>
      <c r="D347" s="141">
        <f t="shared" si="7"/>
        <v>0.1079644574</v>
      </c>
      <c r="E347" s="141">
        <f t="shared" si="8"/>
        <v>0.01287109351</v>
      </c>
      <c r="F347" s="140">
        <f t="shared" si="9"/>
        <v>0.6603519327</v>
      </c>
      <c r="G347" s="141">
        <f t="shared" si="10"/>
        <v>0.06527417299</v>
      </c>
      <c r="H347" s="142">
        <f t="shared" si="11"/>
        <v>1</v>
      </c>
      <c r="I347" s="142">
        <f t="shared" si="12"/>
        <v>0</v>
      </c>
      <c r="J347" s="142">
        <f t="shared" si="13"/>
        <v>0</v>
      </c>
      <c r="K347" s="142">
        <f t="shared" si="14"/>
        <v>0</v>
      </c>
      <c r="L347" s="139">
        <f>Assumptions!$C$6*Assumptions!$C$7*(1+$G347-0.05*(1-1))^1+Assumptions!$C$6*Assumptions!$C$8*(1+Assumptions!$C$11)^1+Assumptions!$C$16*1+Assumptions!$C$6*Assumptions!$C$9*(1+Assumptions!$C$12)^1</f>
        <v>748.4392866</v>
      </c>
      <c r="M347" s="139">
        <f>Assumptions!$C$6*Assumptions!$C$7*(1+$G347-0.05*(1-$H347))^2+Assumptions!$C$6*Assumptions!$C$8*(1+Assumptions!$C$11)^2+Assumptions!$C$16*$H347+Assumptions!$C$6*Assumptions!$C$9*(1+Assumptions!$C$12)^2</f>
        <v>778.4420908</v>
      </c>
      <c r="N347" s="139">
        <f>Assumptions!$C$6*Assumptions!$C$7*(1+$G347-0.05*(1-$I347))^3+Assumptions!$C$6*Assumptions!$C$8*(1+Assumptions!$C$11)^3+Assumptions!$C$16*$I347+Assumptions!$C$6*Assumptions!$C$9*(1+Assumptions!$C$12)^3</f>
        <v>695.4553133</v>
      </c>
      <c r="O347" s="139">
        <f>Assumptions!$C$6*Assumptions!$C$7*(1+$G347-0.05*(1-$J347))^4+Assumptions!$C$6*Assumptions!$C$8*(1+Assumptions!$C$11)^4+Assumptions!$C$16*$J347+Assumptions!$C$6*Assumptions!$C$9*(1+Assumptions!$C$12)^4</f>
        <v>707.6996966</v>
      </c>
      <c r="P347" s="139">
        <f>Assumptions!$C$6*Assumptions!$C$7*(1+$G347-0.05*(1-$K347))^5+Assumptions!$C$6*Assumptions!$C$8*(1+Assumptions!$C$11)^5+Assumptions!$C$16*$K347+Assumptions!$C$6*Assumptions!$C$9*(1+Assumptions!$C$12)^5</f>
        <v>720.1635404</v>
      </c>
      <c r="Q347" s="139">
        <f>($L347*(1-(Assumptions!$C$25+0.06*(1-1))-Assumptions!$C$27)-Assumptions!$C$28)-MAX(0,($L347*(1-(Assumptions!$C$25+0.06*(1-1))-Assumptions!$C$27)-Assumptions!$C$28)*Assumptions!$C$31)+Assumptions!$C$28-Assumptions!$C$29-$L347*Assumptions!$C$30</f>
        <v>93.41444663</v>
      </c>
      <c r="R347" s="139">
        <f>($M347*(1-(Assumptions!$C$25+0.06*(1-$H347))-Assumptions!$C$27)-Assumptions!$C$28)-MAX(0,($M347*(1-(Assumptions!$C$25+0.06*(1-$H347))-Assumptions!$C$27)-Assumptions!$C$28)*Assumptions!$C$31)+Assumptions!$C$28-Assumptions!$C$29-$M347*Assumptions!$C$30</f>
        <v>99.86504953</v>
      </c>
      <c r="S347" s="139">
        <f>($N347*(1-(Assumptions!$C$25+0.06*(1-$I347))-Assumptions!$C$27)-Assumptions!$C$28)-MAX(0,($N347*(1-(Assumptions!$C$25+0.06*(1-$I347))-Assumptions!$C$27)-Assumptions!$C$28)*Assumptions!$C$31)+Assumptions!$C$28-Assumptions!$C$29-$N347*Assumptions!$C$30</f>
        <v>39.95472205</v>
      </c>
      <c r="T347" s="139">
        <f>($O347*(1-(Assumptions!$C$25+0.06*(1-$J347))-Assumptions!$C$27)-Assumptions!$C$28)-MAX(0,($O347*(1-(Assumptions!$C$25+0.06*(1-$J347))-Assumptions!$C$27)-Assumptions!$C$28)*Assumptions!$C$31)+Assumptions!$C$28-Assumptions!$C$29-$O347*Assumptions!$C$30</f>
        <v>42.77093023</v>
      </c>
      <c r="U347" s="139">
        <f>($P347*(1-(Assumptions!$C$25+0.06*(1-$K347))-Assumptions!$C$27)-Assumptions!$C$28)-MAX(0,($P347*(1-(Assumptions!$C$25+0.06*(1-$K347))-Assumptions!$C$27)-Assumptions!$C$28)*Assumptions!$C$31)+Assumptions!$C$28-Assumptions!$C$29-$P347*Assumptions!$C$30</f>
        <v>45.6376143</v>
      </c>
      <c r="V347" s="143">
        <f>(($Q347/(1+$D347)^1+$R347/(1+$D347)^2+$S347/(1+$D347)^3+$T347/(1+$D347)^4+$U347/(1+$D347)^5+$U347*(1+$E347)/($D347-$E347)/(1+$D347)^5)-Assumptions!$C$37)/Assumptions!$C$40/Assumptions!$C$38</f>
        <v>-1.169102212</v>
      </c>
    </row>
    <row r="348" ht="12.0" customHeight="1">
      <c r="B348" s="139">
        <v>296.0</v>
      </c>
      <c r="C348" s="140">
        <f t="shared" si="6"/>
        <v>0.9030053614</v>
      </c>
      <c r="D348" s="141">
        <f t="shared" si="7"/>
        <v>0.1076234159</v>
      </c>
      <c r="E348" s="141">
        <f t="shared" si="8"/>
        <v>0.01117051663</v>
      </c>
      <c r="F348" s="140">
        <f t="shared" si="9"/>
        <v>0.7968897622</v>
      </c>
      <c r="G348" s="141">
        <f t="shared" si="10"/>
        <v>0.07087937166</v>
      </c>
      <c r="H348" s="142">
        <f t="shared" si="11"/>
        <v>0</v>
      </c>
      <c r="I348" s="142">
        <f t="shared" si="12"/>
        <v>1</v>
      </c>
      <c r="J348" s="142">
        <f t="shared" si="13"/>
        <v>0</v>
      </c>
      <c r="K348" s="142">
        <f t="shared" si="14"/>
        <v>1</v>
      </c>
      <c r="L348" s="139">
        <f>Assumptions!$C$6*Assumptions!$C$7*(1+$G348-0.05*(1-1))^1+Assumptions!$C$6*Assumptions!$C$8*(1+Assumptions!$C$11)^1+Assumptions!$C$16*1+Assumptions!$C$6*Assumptions!$C$9*(1+Assumptions!$C$12)^1</f>
        <v>750.3259965</v>
      </c>
      <c r="M348" s="139">
        <f>Assumptions!$C$6*Assumptions!$C$7*(1+$G348-0.05*(1-$H348))^2+Assumptions!$C$6*Assumptions!$C$8*(1+Assumptions!$C$11)^2+Assumptions!$C$16*$H348+Assumptions!$C$6*Assumptions!$C$9*(1+Assumptions!$C$12)^2</f>
        <v>687.2680932</v>
      </c>
      <c r="N348" s="139">
        <f>Assumptions!$C$6*Assumptions!$C$7*(1+$G348-0.05*(1-$I348))^3+Assumptions!$C$6*Assumptions!$C$8*(1+Assumptions!$C$11)^3+Assumptions!$C$16*$I348+Assumptions!$C$6*Assumptions!$C$9*(1+Assumptions!$C$12)^3</f>
        <v>816.5616359</v>
      </c>
      <c r="O348" s="139">
        <f>Assumptions!$C$6*Assumptions!$C$7*(1+$G348-0.05*(1-$J348))^4+Assumptions!$C$6*Assumptions!$C$8*(1+Assumptions!$C$11)^4+Assumptions!$C$16*$J348+Assumptions!$C$6*Assumptions!$C$9*(1+Assumptions!$C$12)^4</f>
        <v>715.6633068</v>
      </c>
      <c r="P348" s="139">
        <f>Assumptions!$C$6*Assumptions!$C$7*(1+$G348-0.05*(1-$K348))^5+Assumptions!$C$6*Assumptions!$C$8*(1+Assumptions!$C$11)^5+Assumptions!$C$16*$K348+Assumptions!$C$6*Assumptions!$C$9*(1+Assumptions!$C$12)^5</f>
        <v>891.1017908</v>
      </c>
      <c r="Q348" s="139">
        <f>($L348*(1-(Assumptions!$C$25+0.06*(1-1))-Assumptions!$C$27)-Assumptions!$C$28)-MAX(0,($L348*(1-(Assumptions!$C$25+0.06*(1-1))-Assumptions!$C$27)-Assumptions!$C$28)*Assumptions!$C$31)+Assumptions!$C$28-Assumptions!$C$29-$L348*Assumptions!$C$30</f>
        <v>93.82008925</v>
      </c>
      <c r="R348" s="139">
        <f>($M348*(1-(Assumptions!$C$25+0.06*(1-$H348))-Assumptions!$C$27)-Assumptions!$C$28)-MAX(0,($M348*(1-(Assumptions!$C$25+0.06*(1-$H348))-Assumptions!$C$27)-Assumptions!$C$28)*Assumptions!$C$31)+Assumptions!$C$28-Assumptions!$C$29-$M348*Assumptions!$C$30</f>
        <v>38.07166143</v>
      </c>
      <c r="S348" s="139">
        <f>($N348*(1-(Assumptions!$C$25+0.06*(1-$I348))-Assumptions!$C$27)-Assumptions!$C$28)-MAX(0,($N348*(1-(Assumptions!$C$25+0.06*(1-$I348))-Assumptions!$C$27)-Assumptions!$C$28)*Assumptions!$C$31)+Assumptions!$C$28-Assumptions!$C$29-$N348*Assumptions!$C$30</f>
        <v>108.0607517</v>
      </c>
      <c r="T348" s="139">
        <f>($O348*(1-(Assumptions!$C$25+0.06*(1-$J348))-Assumptions!$C$27)-Assumptions!$C$28)-MAX(0,($O348*(1-(Assumptions!$C$25+0.06*(1-$J348))-Assumptions!$C$27)-Assumptions!$C$28)*Assumptions!$C$31)+Assumptions!$C$28-Assumptions!$C$29-$O348*Assumptions!$C$30</f>
        <v>44.60256056</v>
      </c>
      <c r="U348" s="139">
        <f>($P348*(1-(Assumptions!$C$25+0.06*(1-$K348))-Assumptions!$C$27)-Assumptions!$C$28)-MAX(0,($P348*(1-(Assumptions!$C$25+0.06*(1-$K348))-Assumptions!$C$27)-Assumptions!$C$28)*Assumptions!$C$31)+Assumptions!$C$28-Assumptions!$C$29-$P348*Assumptions!$C$30</f>
        <v>124.086885</v>
      </c>
      <c r="V348" s="143">
        <f>(($Q348/(1+$D348)^1+$R348/(1+$D348)^2+$S348/(1+$D348)^3+$T348/(1+$D348)^4+$U348/(1+$D348)^5+$U348*(1+$E348)/($D348-$E348)/(1+$D348)^5)-Assumptions!$C$37)/Assumptions!$C$40/Assumptions!$C$38</f>
        <v>3.027541939</v>
      </c>
    </row>
    <row r="349" ht="12.0" customHeight="1">
      <c r="B349" s="139">
        <v>297.0</v>
      </c>
      <c r="C349" s="140">
        <f t="shared" si="6"/>
        <v>0.8959181945</v>
      </c>
      <c r="D349" s="141">
        <f t="shared" si="7"/>
        <v>0.107358672</v>
      </c>
      <c r="E349" s="141">
        <f t="shared" si="8"/>
        <v>0.02773067176</v>
      </c>
      <c r="F349" s="140">
        <f t="shared" si="9"/>
        <v>0.2142603786</v>
      </c>
      <c r="G349" s="141">
        <f t="shared" si="10"/>
        <v>0.04963844906</v>
      </c>
      <c r="H349" s="142">
        <f t="shared" si="11"/>
        <v>0</v>
      </c>
      <c r="I349" s="142">
        <f t="shared" si="12"/>
        <v>0</v>
      </c>
      <c r="J349" s="142">
        <f t="shared" si="13"/>
        <v>0</v>
      </c>
      <c r="K349" s="142">
        <f t="shared" si="14"/>
        <v>1</v>
      </c>
      <c r="L349" s="139">
        <f>Assumptions!$C$6*Assumptions!$C$7*(1+$G349-0.05*(1-1))^1+Assumptions!$C$6*Assumptions!$C$8*(1+Assumptions!$C$11)^1+Assumptions!$C$16*1+Assumptions!$C$6*Assumptions!$C$9*(1+Assumptions!$C$12)^1</f>
        <v>743.176302</v>
      </c>
      <c r="M349" s="139">
        <f>Assumptions!$C$6*Assumptions!$C$7*(1+$G349-0.05*(1-$H349))^2+Assumptions!$C$6*Assumptions!$C$8*(1+Assumptions!$C$11)^2+Assumptions!$C$16*$H349+Assumptions!$C$6*Assumptions!$C$9*(1+Assumptions!$C$12)^2</f>
        <v>672.8220079</v>
      </c>
      <c r="N349" s="139">
        <f>Assumptions!$C$6*Assumptions!$C$7*(1+$G349-0.05*(1-$I349))^3+Assumptions!$C$6*Assumptions!$C$8*(1+Assumptions!$C$11)^3+Assumptions!$C$16*$I349+Assumptions!$C$6*Assumptions!$C$9*(1+Assumptions!$C$12)^3</f>
        <v>679.429705</v>
      </c>
      <c r="O349" s="139">
        <f>Assumptions!$C$6*Assumptions!$C$7*(1+$G349-0.05*(1-$J349))^4+Assumptions!$C$6*Assumptions!$C$8*(1+Assumptions!$C$11)^4+Assumptions!$C$16*$J349+Assumptions!$C$6*Assumptions!$C$9*(1+Assumptions!$C$12)^4</f>
        <v>686.1720323</v>
      </c>
      <c r="P349" s="139">
        <f>Assumptions!$C$6*Assumptions!$C$7*(1+$G349-0.05*(1-$K349))^5+Assumptions!$C$6*Assumptions!$C$8*(1+Assumptions!$C$11)^5+Assumptions!$C$16*$K349+Assumptions!$C$6*Assumptions!$C$9*(1+Assumptions!$C$12)^5</f>
        <v>845.9169912</v>
      </c>
      <c r="Q349" s="139">
        <f>($L349*(1-(Assumptions!$C$25+0.06*(1-1))-Assumptions!$C$27)-Assumptions!$C$28)-MAX(0,($L349*(1-(Assumptions!$C$25+0.06*(1-1))-Assumptions!$C$27)-Assumptions!$C$28)*Assumptions!$C$31)+Assumptions!$C$28-Assumptions!$C$29-$L349*Assumptions!$C$30</f>
        <v>92.28290492</v>
      </c>
      <c r="R349" s="139">
        <f>($M349*(1-(Assumptions!$C$25+0.06*(1-$H349))-Assumptions!$C$27)-Assumptions!$C$28)-MAX(0,($M349*(1-(Assumptions!$C$25+0.06*(1-$H349))-Assumptions!$C$27)-Assumptions!$C$28)*Assumptions!$C$31)+Assumptions!$C$28-Assumptions!$C$29-$M349*Assumptions!$C$30</f>
        <v>34.74906182</v>
      </c>
      <c r="S349" s="139">
        <f>($N349*(1-(Assumptions!$C$25+0.06*(1-$I349))-Assumptions!$C$27)-Assumptions!$C$28)-MAX(0,($N349*(1-(Assumptions!$C$25+0.06*(1-$I349))-Assumptions!$C$27)-Assumptions!$C$28)*Assumptions!$C$31)+Assumptions!$C$28-Assumptions!$C$29-$N349*Assumptions!$C$30</f>
        <v>36.26883216</v>
      </c>
      <c r="T349" s="139">
        <f>($O349*(1-(Assumptions!$C$25+0.06*(1-$J349))-Assumptions!$C$27)-Assumptions!$C$28)-MAX(0,($O349*(1-(Assumptions!$C$25+0.06*(1-$J349))-Assumptions!$C$27)-Assumptions!$C$28)*Assumptions!$C$31)+Assumptions!$C$28-Assumptions!$C$29-$O349*Assumptions!$C$30</f>
        <v>37.81956743</v>
      </c>
      <c r="U349" s="139">
        <f>($P349*(1-(Assumptions!$C$25+0.06*(1-$K349))-Assumptions!$C$27)-Assumptions!$C$28)-MAX(0,($P349*(1-(Assumptions!$C$25+0.06*(1-$K349))-Assumptions!$C$27)-Assumptions!$C$28)*Assumptions!$C$31)+Assumptions!$C$28-Assumptions!$C$29-$P349*Assumptions!$C$30</f>
        <v>114.3721531</v>
      </c>
      <c r="V349" s="143">
        <f>(($Q349/(1+$D349)^1+$R349/(1+$D349)^2+$S349/(1+$D349)^3+$T349/(1+$D349)^4+$U349/(1+$D349)^5+$U349*(1+$E349)/($D349-$E349)/(1+$D349)^5)-Assumptions!$C$37)/Assumptions!$C$40/Assumptions!$C$38</f>
        <v>3.332685054</v>
      </c>
    </row>
    <row r="350" ht="12.0" customHeight="1">
      <c r="B350" s="139">
        <v>298.0</v>
      </c>
      <c r="C350" s="140">
        <f t="shared" si="6"/>
        <v>0.03925466321</v>
      </c>
      <c r="D350" s="141">
        <f t="shared" si="7"/>
        <v>0.08864792144</v>
      </c>
      <c r="E350" s="141">
        <f t="shared" si="8"/>
        <v>0.02587892485</v>
      </c>
      <c r="F350" s="140">
        <f t="shared" si="9"/>
        <v>0.1157716532</v>
      </c>
      <c r="G350" s="141">
        <f t="shared" si="10"/>
        <v>0.04443568411</v>
      </c>
      <c r="H350" s="142">
        <f t="shared" si="11"/>
        <v>1</v>
      </c>
      <c r="I350" s="142">
        <f t="shared" si="12"/>
        <v>1</v>
      </c>
      <c r="J350" s="142">
        <f t="shared" si="13"/>
        <v>1</v>
      </c>
      <c r="K350" s="142">
        <f t="shared" si="14"/>
        <v>1</v>
      </c>
      <c r="L350" s="139">
        <f>Assumptions!$C$6*Assumptions!$C$7*(1+$G350-0.05*(1-1))^1+Assumptions!$C$6*Assumptions!$C$8*(1+Assumptions!$C$11)^1+Assumptions!$C$16*1+Assumptions!$C$6*Assumptions!$C$9*(1+Assumptions!$C$12)^1</f>
        <v>741.4250513</v>
      </c>
      <c r="M350" s="139">
        <f>Assumptions!$C$6*Assumptions!$C$7*(1+$G350-0.05*(1-$H350))^2+Assumptions!$C$6*Assumptions!$C$8*(1+Assumptions!$C$11)^2+Assumptions!$C$16*$H350+Assumptions!$C$6*Assumptions!$C$9*(1+Assumptions!$C$12)^2</f>
        <v>763.6440893</v>
      </c>
      <c r="N350" s="139">
        <f>Assumptions!$C$6*Assumptions!$C$7*(1+$G350-0.05*(1-$I350))^3+Assumptions!$C$6*Assumptions!$C$8*(1+Assumptions!$C$11)^3+Assumptions!$C$16*$I350+Assumptions!$C$6*Assumptions!$C$9*(1+Assumptions!$C$12)^3</f>
        <v>786.6892346</v>
      </c>
      <c r="O350" s="139">
        <f>Assumptions!$C$6*Assumptions!$C$7*(1+$G350-0.05*(1-$J350))^4+Assumptions!$C$6*Assumptions!$C$8*(1+Assumptions!$C$11)^4+Assumptions!$C$16*$J350+Assumptions!$C$6*Assumptions!$C$9*(1+Assumptions!$C$12)^4</f>
        <v>810.5939714</v>
      </c>
      <c r="P350" s="139">
        <f>Assumptions!$C$6*Assumptions!$C$7*(1+$G350-0.05*(1-$K350))^5+Assumptions!$C$6*Assumptions!$C$8*(1+Assumptions!$C$11)^5+Assumptions!$C$16*$K350+Assumptions!$C$6*Assumptions!$C$9*(1+Assumptions!$C$12)^5</f>
        <v>835.3932076</v>
      </c>
      <c r="Q350" s="139">
        <f>($L350*(1-(Assumptions!$C$25+0.06*(1-1))-Assumptions!$C$27)-Assumptions!$C$28)-MAX(0,($L350*(1-(Assumptions!$C$25+0.06*(1-1))-Assumptions!$C$27)-Assumptions!$C$28)*Assumptions!$C$31)+Assumptions!$C$28-Assumptions!$C$29-$L350*Assumptions!$C$30</f>
        <v>91.90638602</v>
      </c>
      <c r="R350" s="139">
        <f>($M350*(1-(Assumptions!$C$25+0.06*(1-$H350))-Assumptions!$C$27)-Assumptions!$C$28)-MAX(0,($M350*(1-(Assumptions!$C$25+0.06*(1-$H350))-Assumptions!$C$27)-Assumptions!$C$28)*Assumptions!$C$31)+Assumptions!$C$28-Assumptions!$C$29-$M350*Assumptions!$C$30</f>
        <v>96.68347921</v>
      </c>
      <c r="S350" s="139">
        <f>($N350*(1-(Assumptions!$C$25+0.06*(1-$I350))-Assumptions!$C$27)-Assumptions!$C$28)-MAX(0,($N350*(1-(Assumptions!$C$25+0.06*(1-$I350))-Assumptions!$C$27)-Assumptions!$C$28)*Assumptions!$C$31)+Assumptions!$C$28-Assumptions!$C$29-$N350*Assumptions!$C$30</f>
        <v>101.6381854</v>
      </c>
      <c r="T350" s="139">
        <f>($O350*(1-(Assumptions!$C$25+0.06*(1-$J350))-Assumptions!$C$27)-Assumptions!$C$28)-MAX(0,($O350*(1-(Assumptions!$C$25+0.06*(1-$J350))-Assumptions!$C$27)-Assumptions!$C$28)*Assumptions!$C$31)+Assumptions!$C$28-Assumptions!$C$29-$O350*Assumptions!$C$30</f>
        <v>106.7777038</v>
      </c>
      <c r="U350" s="139">
        <f>($P350*(1-(Assumptions!$C$25+0.06*(1-$K350))-Assumptions!$C$27)-Assumptions!$C$28)-MAX(0,($P350*(1-(Assumptions!$C$25+0.06*(1-$K350))-Assumptions!$C$27)-Assumptions!$C$28)*Assumptions!$C$31)+Assumptions!$C$28-Assumptions!$C$29-$P350*Assumptions!$C$30</f>
        <v>112.1095396</v>
      </c>
      <c r="V350" s="143">
        <f>(($Q350/(1+$D350)^1+$R350/(1+$D350)^2+$S350/(1+$D350)^3+$T350/(1+$D350)^4+$U350/(1+$D350)^5+$U350*(1+$E350)/($D350-$E350)/(1+$D350)^5)-Assumptions!$C$37)/Assumptions!$C$40/Assumptions!$C$38</f>
        <v>7.028947825</v>
      </c>
    </row>
    <row r="351" ht="12.0" customHeight="1">
      <c r="B351" s="139">
        <v>299.0</v>
      </c>
      <c r="C351" s="140">
        <f t="shared" si="6"/>
        <v>0.5778460814</v>
      </c>
      <c r="D351" s="141">
        <f t="shared" si="7"/>
        <v>0.09961077168</v>
      </c>
      <c r="E351" s="141">
        <f t="shared" si="8"/>
        <v>0.02818674338</v>
      </c>
      <c r="F351" s="140">
        <f t="shared" si="9"/>
        <v>0.03056539082</v>
      </c>
      <c r="G351" s="141">
        <f t="shared" si="10"/>
        <v>0.03741739196</v>
      </c>
      <c r="H351" s="142">
        <f t="shared" si="11"/>
        <v>0</v>
      </c>
      <c r="I351" s="142">
        <f t="shared" si="12"/>
        <v>1</v>
      </c>
      <c r="J351" s="142">
        <f t="shared" si="13"/>
        <v>0</v>
      </c>
      <c r="K351" s="142">
        <f t="shared" si="14"/>
        <v>0</v>
      </c>
      <c r="L351" s="139">
        <f>Assumptions!$C$6*Assumptions!$C$7*(1+$G351-0.05*(1-1))^1+Assumptions!$C$6*Assumptions!$C$8*(1+Assumptions!$C$11)^1+Assumptions!$C$16*1+Assumptions!$C$6*Assumptions!$C$9*(1+Assumptions!$C$12)^1</f>
        <v>739.0626941</v>
      </c>
      <c r="M351" s="139">
        <f>Assumptions!$C$6*Assumptions!$C$7*(1+$G351-0.05*(1-$H351))^2+Assumptions!$C$6*Assumptions!$C$8*(1+Assumptions!$C$11)^2+Assumptions!$C$16*$H351+Assumptions!$C$6*Assumptions!$C$9*(1+Assumptions!$C$12)^2</f>
        <v>664.6480395</v>
      </c>
      <c r="N351" s="139">
        <f>Assumptions!$C$6*Assumptions!$C$7*(1+$G351-0.05*(1-$I351))^3+Assumptions!$C$6*Assumptions!$C$8*(1+Assumptions!$C$11)^3+Assumptions!$C$16*$I351+Assumptions!$C$6*Assumptions!$C$9*(1+Assumptions!$C$12)^3</f>
        <v>779.0101648</v>
      </c>
      <c r="O351" s="139">
        <f>Assumptions!$C$6*Assumptions!$C$7*(1+$G351-0.05*(1-$J351))^4+Assumptions!$C$6*Assumptions!$C$8*(1+Assumptions!$C$11)^4+Assumptions!$C$16*$J351+Assumptions!$C$6*Assumptions!$C$9*(1+Assumptions!$C$12)^4</f>
        <v>670.0344105</v>
      </c>
      <c r="P351" s="139">
        <f>Assumptions!$C$6*Assumptions!$C$7*(1+$G351-0.05*(1-$K351))^5+Assumptions!$C$6*Assumptions!$C$8*(1+Assumptions!$C$11)^5+Assumptions!$C$16*$K351+Assumptions!$C$6*Assumptions!$C$9*(1+Assumptions!$C$12)^5</f>
        <v>673.009451</v>
      </c>
      <c r="Q351" s="139">
        <f>($L351*(1-(Assumptions!$C$25+0.06*(1-1))-Assumptions!$C$27)-Assumptions!$C$28)-MAX(0,($L351*(1-(Assumptions!$C$25+0.06*(1-1))-Assumptions!$C$27)-Assumptions!$C$28)*Assumptions!$C$31)+Assumptions!$C$28-Assumptions!$C$29-$L351*Assumptions!$C$30</f>
        <v>91.39847924</v>
      </c>
      <c r="R351" s="139">
        <f>($M351*(1-(Assumptions!$C$25+0.06*(1-$H351))-Assumptions!$C$27)-Assumptions!$C$28)-MAX(0,($M351*(1-(Assumptions!$C$25+0.06*(1-$H351))-Assumptions!$C$27)-Assumptions!$C$28)*Assumptions!$C$31)+Assumptions!$C$28-Assumptions!$C$29-$M351*Assumptions!$C$30</f>
        <v>32.86904908</v>
      </c>
      <c r="S351" s="139">
        <f>($N351*(1-(Assumptions!$C$25+0.06*(1-$I351))-Assumptions!$C$27)-Assumptions!$C$28)-MAX(0,($N351*(1-(Assumptions!$C$25+0.06*(1-$I351))-Assumptions!$C$27)-Assumptions!$C$28)*Assumptions!$C$31)+Assumptions!$C$28-Assumptions!$C$29-$N351*Assumptions!$C$30</f>
        <v>99.98718542</v>
      </c>
      <c r="T351" s="139">
        <f>($O351*(1-(Assumptions!$C$25+0.06*(1-$J351))-Assumptions!$C$27)-Assumptions!$C$28)-MAX(0,($O351*(1-(Assumptions!$C$25+0.06*(1-$J351))-Assumptions!$C$27)-Assumptions!$C$28)*Assumptions!$C$31)+Assumptions!$C$28-Assumptions!$C$29-$O351*Assumptions!$C$30</f>
        <v>34.10791442</v>
      </c>
      <c r="U351" s="139">
        <f>($P351*(1-(Assumptions!$C$25+0.06*(1-$K351))-Assumptions!$C$27)-Assumptions!$C$28)-MAX(0,($P351*(1-(Assumptions!$C$25+0.06*(1-$K351))-Assumptions!$C$27)-Assumptions!$C$28)*Assumptions!$C$31)+Assumptions!$C$28-Assumptions!$C$29-$P351*Assumptions!$C$30</f>
        <v>34.79217373</v>
      </c>
      <c r="V351" s="143">
        <f>(($Q351/(1+$D351)^1+$R351/(1+$D351)^2+$S351/(1+$D351)^3+$T351/(1+$D351)^4+$U351/(1+$D351)^5+$U351*(1+$E351)/($D351-$E351)/(1+$D351)^5)-Assumptions!$C$37)/Assumptions!$C$40/Assumptions!$C$38</f>
        <v>-1.16813405</v>
      </c>
    </row>
    <row r="352" ht="12.0" customHeight="1">
      <c r="B352" s="139">
        <v>300.0</v>
      </c>
      <c r="C352" s="140">
        <f t="shared" si="6"/>
        <v>0.5551499084</v>
      </c>
      <c r="D352" s="141">
        <f t="shared" si="7"/>
        <v>0.09920250332</v>
      </c>
      <c r="E352" s="141">
        <f t="shared" si="8"/>
        <v>0.01505156848</v>
      </c>
      <c r="F352" s="140">
        <f t="shared" si="9"/>
        <v>0.1684589228</v>
      </c>
      <c r="G352" s="141">
        <f t="shared" si="10"/>
        <v>0.04741338741</v>
      </c>
      <c r="H352" s="142">
        <f t="shared" si="11"/>
        <v>0</v>
      </c>
      <c r="I352" s="142">
        <f t="shared" si="12"/>
        <v>1</v>
      </c>
      <c r="J352" s="142">
        <f t="shared" si="13"/>
        <v>0</v>
      </c>
      <c r="K352" s="142">
        <f t="shared" si="14"/>
        <v>0</v>
      </c>
      <c r="L352" s="139">
        <f>Assumptions!$C$6*Assumptions!$C$7*(1+$G352-0.05*(1-1))^1+Assumptions!$C$6*Assumptions!$C$8*(1+Assumptions!$C$11)^1+Assumptions!$C$16*1+Assumptions!$C$6*Assumptions!$C$9*(1+Assumptions!$C$12)^1</f>
        <v>742.4273462</v>
      </c>
      <c r="M352" s="139">
        <f>Assumptions!$C$6*Assumptions!$C$7*(1+$G352-0.05*(1-$H352))^2+Assumptions!$C$6*Assumptions!$C$8*(1+Assumptions!$C$11)^2+Assumptions!$C$16*$H352+Assumptions!$C$6*Assumptions!$C$9*(1+Assumptions!$C$12)^2</f>
        <v>671.3263044</v>
      </c>
      <c r="N352" s="139">
        <f>Assumptions!$C$6*Assumptions!$C$7*(1+$G352-0.05*(1-$I352))^3+Assumptions!$C$6*Assumptions!$C$8*(1+Assumptions!$C$11)^3+Assumptions!$C$16*$I352+Assumptions!$C$6*Assumptions!$C$9*(1+Assumptions!$C$12)^3</f>
        <v>789.9786429</v>
      </c>
      <c r="O352" s="139">
        <f>Assumptions!$C$6*Assumptions!$C$7*(1+$G352-0.05*(1-$J352))^4+Assumptions!$C$6*Assumptions!$C$8*(1+Assumptions!$C$11)^4+Assumptions!$C$16*$J352+Assumptions!$C$6*Assumptions!$C$9*(1+Assumptions!$C$12)^4</f>
        <v>683.1894343</v>
      </c>
      <c r="P352" s="139">
        <f>Assumptions!$C$6*Assumptions!$C$7*(1+$G352-0.05*(1-$K352))^5+Assumptions!$C$6*Assumptions!$C$8*(1+Assumptions!$C$11)^5+Assumptions!$C$16*$K352+Assumptions!$C$6*Assumptions!$C$9*(1+Assumptions!$C$12)^5</f>
        <v>689.328925</v>
      </c>
      <c r="Q352" s="139">
        <f>($L352*(1-(Assumptions!$C$25+0.06*(1-1))-Assumptions!$C$27)-Assumptions!$C$28)-MAX(0,($L352*(1-(Assumptions!$C$25+0.06*(1-1))-Assumptions!$C$27)-Assumptions!$C$28)*Assumptions!$C$31)+Assumptions!$C$28-Assumptions!$C$29-$L352*Assumptions!$C$30</f>
        <v>92.12187943</v>
      </c>
      <c r="R352" s="139">
        <f>($M352*(1-(Assumptions!$C$25+0.06*(1-$H352))-Assumptions!$C$27)-Assumptions!$C$28)-MAX(0,($M352*(1-(Assumptions!$C$25+0.06*(1-$H352))-Assumptions!$C$27)-Assumptions!$C$28)*Assumptions!$C$31)+Assumptions!$C$28-Assumptions!$C$29-$M352*Assumptions!$C$30</f>
        <v>34.40505002</v>
      </c>
      <c r="S352" s="139">
        <f>($N352*(1-(Assumptions!$C$25+0.06*(1-$I352))-Assumptions!$C$27)-Assumptions!$C$28)-MAX(0,($N352*(1-(Assumptions!$C$25+0.06*(1-$I352))-Assumptions!$C$27)-Assumptions!$C$28)*Assumptions!$C$31)+Assumptions!$C$28-Assumptions!$C$29-$N352*Assumptions!$C$30</f>
        <v>102.3454082</v>
      </c>
      <c r="T352" s="139">
        <f>($O352*(1-(Assumptions!$C$25+0.06*(1-$J352))-Assumptions!$C$27)-Assumptions!$C$28)-MAX(0,($O352*(1-(Assumptions!$C$25+0.06*(1-$J352))-Assumptions!$C$27)-Assumptions!$C$28)*Assumptions!$C$31)+Assumptions!$C$28-Assumptions!$C$29-$O352*Assumptions!$C$30</f>
        <v>37.1335699</v>
      </c>
      <c r="U352" s="139">
        <f>($P352*(1-(Assumptions!$C$25+0.06*(1-$K352))-Assumptions!$C$27)-Assumptions!$C$28)-MAX(0,($P352*(1-(Assumptions!$C$25+0.06*(1-$K352))-Assumptions!$C$27)-Assumptions!$C$28)*Assumptions!$C$31)+Assumptions!$C$28-Assumptions!$C$29-$P352*Assumptions!$C$30</f>
        <v>38.54565276</v>
      </c>
      <c r="V352" s="143">
        <f>(($Q352/(1+$D352)^1+$R352/(1+$D352)^2+$S352/(1+$D352)^3+$T352/(1+$D352)^4+$U352/(1+$D352)^5+$U352*(1+$E352)/($D352-$E352)/(1+$D352)^5)-Assumptions!$C$37)/Assumptions!$C$40/Assumptions!$C$38</f>
        <v>-1.273244448</v>
      </c>
    </row>
    <row r="353" ht="12.0" customHeight="1">
      <c r="B353" s="139">
        <v>301.0</v>
      </c>
      <c r="C353" s="140">
        <f t="shared" si="6"/>
        <v>0.4640973565</v>
      </c>
      <c r="D353" s="141">
        <f t="shared" si="7"/>
        <v>0.09766098668</v>
      </c>
      <c r="E353" s="141">
        <f t="shared" si="8"/>
        <v>0.02678533657</v>
      </c>
      <c r="F353" s="140">
        <f t="shared" si="9"/>
        <v>0.5915926208</v>
      </c>
      <c r="G353" s="141">
        <f t="shared" si="10"/>
        <v>0.06288665859</v>
      </c>
      <c r="H353" s="142">
        <f t="shared" si="11"/>
        <v>1</v>
      </c>
      <c r="I353" s="142">
        <f t="shared" si="12"/>
        <v>1</v>
      </c>
      <c r="J353" s="142">
        <f t="shared" si="13"/>
        <v>0</v>
      </c>
      <c r="K353" s="142">
        <f t="shared" si="14"/>
        <v>0</v>
      </c>
      <c r="L353" s="139">
        <f>Assumptions!$C$6*Assumptions!$C$7*(1+$G353-0.05*(1-1))^1+Assumptions!$C$6*Assumptions!$C$8*(1+Assumptions!$C$11)^1+Assumptions!$C$16*1+Assumptions!$C$6*Assumptions!$C$9*(1+Assumptions!$C$12)^1</f>
        <v>747.6356493</v>
      </c>
      <c r="M353" s="139">
        <f>Assumptions!$C$6*Assumptions!$C$7*(1+$G353-0.05*(1-$H353))^2+Assumptions!$C$6*Assumptions!$C$8*(1+Assumptions!$C$11)^2+Assumptions!$C$16*$H353+Assumptions!$C$6*Assumptions!$C$9*(1+Assumptions!$C$12)^2</f>
        <v>776.7318213</v>
      </c>
      <c r="N353" s="139">
        <f>Assumptions!$C$6*Assumptions!$C$7*(1+$G353-0.05*(1-$I353))^3+Assumptions!$C$6*Assumptions!$C$8*(1+Assumptions!$C$11)^3+Assumptions!$C$16*$I353+Assumptions!$C$6*Assumptions!$C$9*(1+Assumptions!$C$12)^3</f>
        <v>807.3748156</v>
      </c>
      <c r="O353" s="139">
        <f>Assumptions!$C$6*Assumptions!$C$7*(1+$G353-0.05*(1-$J353))^4+Assumptions!$C$6*Assumptions!$C$8*(1+Assumptions!$C$11)^4+Assumptions!$C$16*$J353+Assumptions!$C$6*Assumptions!$C$9*(1+Assumptions!$C$12)^4</f>
        <v>704.3474351</v>
      </c>
      <c r="P353" s="139">
        <f>Assumptions!$C$6*Assumptions!$C$7*(1+$G353-0.05*(1-$K353))^5+Assumptions!$C$6*Assumptions!$C$8*(1+Assumptions!$C$11)^5+Assumptions!$C$16*$K353+Assumptions!$C$6*Assumptions!$C$9*(1+Assumptions!$C$12)^5</f>
        <v>715.9142061</v>
      </c>
      <c r="Q353" s="139">
        <f>($L353*(1-(Assumptions!$C$25+0.06*(1-1))-Assumptions!$C$27)-Assumptions!$C$28)-MAX(0,($L353*(1-(Assumptions!$C$25+0.06*(1-1))-Assumptions!$C$27)-Assumptions!$C$28)*Assumptions!$C$31)+Assumptions!$C$28-Assumptions!$C$29-$L353*Assumptions!$C$30</f>
        <v>93.2416646</v>
      </c>
      <c r="R353" s="139">
        <f>($M353*(1-(Assumptions!$C$25+0.06*(1-$H353))-Assumptions!$C$27)-Assumptions!$C$28)-MAX(0,($M353*(1-(Assumptions!$C$25+0.06*(1-$H353))-Assumptions!$C$27)-Assumptions!$C$28)*Assumptions!$C$31)+Assumptions!$C$28-Assumptions!$C$29-$M353*Assumptions!$C$30</f>
        <v>99.49734158</v>
      </c>
      <c r="S353" s="139">
        <f>($N353*(1-(Assumptions!$C$25+0.06*(1-$I353))-Assumptions!$C$27)-Assumptions!$C$28)-MAX(0,($N353*(1-(Assumptions!$C$25+0.06*(1-$I353))-Assumptions!$C$27)-Assumptions!$C$28)*Assumptions!$C$31)+Assumptions!$C$28-Assumptions!$C$29-$N353*Assumptions!$C$30</f>
        <v>106.0855854</v>
      </c>
      <c r="T353" s="139">
        <f>($O353*(1-(Assumptions!$C$25+0.06*(1-$J353))-Assumptions!$C$27)-Assumptions!$C$28)-MAX(0,($O353*(1-(Assumptions!$C$25+0.06*(1-$J353))-Assumptions!$C$27)-Assumptions!$C$28)*Assumptions!$C$31)+Assumptions!$C$28-Assumptions!$C$29-$O353*Assumptions!$C$30</f>
        <v>41.99991008</v>
      </c>
      <c r="U353" s="139">
        <f>($P353*(1-(Assumptions!$C$25+0.06*(1-$K353))-Assumptions!$C$27)-Assumptions!$C$28)-MAX(0,($P353*(1-(Assumptions!$C$25+0.06*(1-$K353))-Assumptions!$C$27)-Assumptions!$C$28)*Assumptions!$C$31)+Assumptions!$C$28-Assumptions!$C$29-$P353*Assumptions!$C$30</f>
        <v>44.6602674</v>
      </c>
      <c r="V353" s="143">
        <f>(($Q353/(1+$D353)^1+$R353/(1+$D353)^2+$S353/(1+$D353)^3+$T353/(1+$D353)^4+$U353/(1+$D353)^5+$U353*(1+$E353)/($D353-$E353)/(1+$D353)^5)-Assumptions!$C$37)/Assumptions!$C$40/Assumptions!$C$38</f>
        <v>0.1485364818</v>
      </c>
    </row>
    <row r="354" ht="12.0" customHeight="1">
      <c r="B354" s="139">
        <v>302.0</v>
      </c>
      <c r="C354" s="140">
        <f t="shared" si="6"/>
        <v>0.2572701352</v>
      </c>
      <c r="D354" s="141">
        <f t="shared" si="7"/>
        <v>0.09433887444</v>
      </c>
      <c r="E354" s="141">
        <f t="shared" si="8"/>
        <v>0.02789972416</v>
      </c>
      <c r="F354" s="140">
        <f t="shared" si="9"/>
        <v>0.7421421292</v>
      </c>
      <c r="G354" s="141">
        <f t="shared" si="10"/>
        <v>0.06845599463</v>
      </c>
      <c r="H354" s="142">
        <f t="shared" si="11"/>
        <v>1</v>
      </c>
      <c r="I354" s="142">
        <f t="shared" si="12"/>
        <v>1</v>
      </c>
      <c r="J354" s="142">
        <f t="shared" si="13"/>
        <v>0</v>
      </c>
      <c r="K354" s="142">
        <f t="shared" si="14"/>
        <v>1</v>
      </c>
      <c r="L354" s="139">
        <f>Assumptions!$C$6*Assumptions!$C$7*(1+$G354-0.05*(1-1))^1+Assumptions!$C$6*Assumptions!$C$8*(1+Assumptions!$C$11)^1+Assumptions!$C$16*1+Assumptions!$C$6*Assumptions!$C$9*(1+Assumptions!$C$12)^1</f>
        <v>749.5102878</v>
      </c>
      <c r="M354" s="139">
        <f>Assumptions!$C$6*Assumptions!$C$7*(1+$G354-0.05*(1-$H354))^2+Assumptions!$C$6*Assumptions!$C$8*(1+Assumptions!$C$11)^2+Assumptions!$C$16*$H354+Assumptions!$C$6*Assumptions!$C$9*(1+Assumptions!$C$12)^2</f>
        <v>780.7273183</v>
      </c>
      <c r="N354" s="139">
        <f>Assumptions!$C$6*Assumptions!$C$7*(1+$G354-0.05*(1-$I354))^3+Assumptions!$C$6*Assumptions!$C$8*(1+Assumptions!$C$11)^3+Assumptions!$C$16*$I354+Assumptions!$C$6*Assumptions!$C$9*(1+Assumptions!$C$12)^3</f>
        <v>813.7616601</v>
      </c>
      <c r="O354" s="139">
        <f>Assumptions!$C$6*Assumptions!$C$7*(1+$G354-0.05*(1-$J354))^4+Assumptions!$C$6*Assumptions!$C$8*(1+Assumptions!$C$11)^4+Assumptions!$C$16*$J354+Assumptions!$C$6*Assumptions!$C$9*(1+Assumptions!$C$12)^4</f>
        <v>712.2041387</v>
      </c>
      <c r="P354" s="139">
        <f>Assumptions!$C$6*Assumptions!$C$7*(1+$G354-0.05*(1-$K354))^5+Assumptions!$C$6*Assumptions!$C$8*(1+Assumptions!$C$11)^5+Assumptions!$C$16*$K354+Assumptions!$C$6*Assumptions!$C$9*(1+Assumptions!$C$12)^5</f>
        <v>885.7622769</v>
      </c>
      <c r="Q354" s="139">
        <f>($L354*(1-(Assumptions!$C$25+0.06*(1-1))-Assumptions!$C$27)-Assumptions!$C$28)-MAX(0,($L354*(1-(Assumptions!$C$25+0.06*(1-1))-Assumptions!$C$27)-Assumptions!$C$28)*Assumptions!$C$31)+Assumptions!$C$28-Assumptions!$C$29-$L354*Assumptions!$C$30</f>
        <v>93.64471188</v>
      </c>
      <c r="R354" s="139">
        <f>($M354*(1-(Assumptions!$C$25+0.06*(1-$H354))-Assumptions!$C$27)-Assumptions!$C$28)-MAX(0,($M354*(1-(Assumptions!$C$25+0.06*(1-$H354))-Assumptions!$C$27)-Assumptions!$C$28)*Assumptions!$C$31)+Assumptions!$C$28-Assumptions!$C$29-$M354*Assumptions!$C$30</f>
        <v>100.3563734</v>
      </c>
      <c r="S354" s="139">
        <f>($N354*(1-(Assumptions!$C$25+0.06*(1-$I354))-Assumptions!$C$27)-Assumptions!$C$28)-MAX(0,($N354*(1-(Assumptions!$C$25+0.06*(1-$I354))-Assumptions!$C$27)-Assumptions!$C$28)*Assumptions!$C$31)+Assumptions!$C$28-Assumptions!$C$29-$N354*Assumptions!$C$30</f>
        <v>107.4587569</v>
      </c>
      <c r="T354" s="139">
        <f>($O354*(1-(Assumptions!$C$25+0.06*(1-$J354))-Assumptions!$C$27)-Assumptions!$C$28)-MAX(0,($O354*(1-(Assumptions!$C$25+0.06*(1-$J354))-Assumptions!$C$27)-Assumptions!$C$28)*Assumptions!$C$31)+Assumptions!$C$28-Assumptions!$C$29-$O354*Assumptions!$C$30</f>
        <v>43.8069519</v>
      </c>
      <c r="U354" s="139">
        <f>($P354*(1-(Assumptions!$C$25+0.06*(1-$K354))-Assumptions!$C$27)-Assumptions!$C$28)-MAX(0,($P354*(1-(Assumptions!$C$25+0.06*(1-$K354))-Assumptions!$C$27)-Assumptions!$C$28)*Assumptions!$C$31)+Assumptions!$C$28-Assumptions!$C$29-$P354*Assumptions!$C$30</f>
        <v>122.9388895</v>
      </c>
      <c r="V354" s="143">
        <f>(($Q354/(1+$D354)^1+$R354/(1+$D354)^2+$S354/(1+$D354)^3+$T354/(1+$D354)^4+$U354/(1+$D354)^5+$U354*(1+$E354)/($D354-$E354)/(1+$D354)^5)-Assumptions!$C$37)/Assumptions!$C$40/Assumptions!$C$38</f>
        <v>6.870715686</v>
      </c>
    </row>
    <row r="355" ht="12.0" customHeight="1">
      <c r="B355" s="139">
        <v>303.0</v>
      </c>
      <c r="C355" s="140">
        <f t="shared" si="6"/>
        <v>0.4072517353</v>
      </c>
      <c r="D355" s="141">
        <f t="shared" si="7"/>
        <v>0.09676454617</v>
      </c>
      <c r="E355" s="141">
        <f t="shared" si="8"/>
        <v>0.02381586909</v>
      </c>
      <c r="F355" s="140">
        <f t="shared" si="9"/>
        <v>0.2584039951</v>
      </c>
      <c r="G355" s="141">
        <f t="shared" si="10"/>
        <v>0.05156680762</v>
      </c>
      <c r="H355" s="142">
        <f t="shared" si="11"/>
        <v>0</v>
      </c>
      <c r="I355" s="142">
        <f t="shared" si="12"/>
        <v>0</v>
      </c>
      <c r="J355" s="142">
        <f t="shared" si="13"/>
        <v>0</v>
      </c>
      <c r="K355" s="142">
        <f t="shared" si="14"/>
        <v>1</v>
      </c>
      <c r="L355" s="139">
        <f>Assumptions!$C$6*Assumptions!$C$7*(1+$G355-0.05*(1-1))^1+Assumptions!$C$6*Assumptions!$C$8*(1+Assumptions!$C$11)^1+Assumptions!$C$16*1+Assumptions!$C$6*Assumptions!$C$9*(1+Assumptions!$C$12)^1</f>
        <v>743.8253874</v>
      </c>
      <c r="M355" s="139">
        <f>Assumptions!$C$6*Assumptions!$C$7*(1+$G355-0.05*(1-$H355))^2+Assumptions!$C$6*Assumptions!$C$8*(1+Assumptions!$C$11)^2+Assumptions!$C$16*$H355+Assumptions!$C$6*Assumptions!$C$9*(1+Assumptions!$C$12)^2</f>
        <v>674.1209612</v>
      </c>
      <c r="N355" s="139">
        <f>Assumptions!$C$6*Assumptions!$C$7*(1+$G355-0.05*(1-$I355))^3+Assumptions!$C$6*Assumptions!$C$8*(1+Assumptions!$C$11)^3+Assumptions!$C$16*$I355+Assumptions!$C$6*Assumptions!$C$9*(1+Assumptions!$C$12)^3</f>
        <v>681.3793098</v>
      </c>
      <c r="O355" s="139">
        <f>Assumptions!$C$6*Assumptions!$C$7*(1+$G355-0.05*(1-$J355))^4+Assumptions!$C$6*Assumptions!$C$8*(1+Assumptions!$C$11)^4+Assumptions!$C$16*$J355+Assumptions!$C$6*Assumptions!$C$9*(1+Assumptions!$C$12)^4</f>
        <v>688.7730734</v>
      </c>
      <c r="P355" s="139">
        <f>Assumptions!$C$6*Assumptions!$C$7*(1+$G355-0.05*(1-$K355))^5+Assumptions!$C$6*Assumptions!$C$8*(1+Assumptions!$C$11)^5+Assumptions!$C$16*$K355+Assumptions!$C$6*Assumptions!$C$9*(1+Assumptions!$C$12)^5</f>
        <v>849.8708993</v>
      </c>
      <c r="Q355" s="139">
        <f>($L355*(1-(Assumptions!$C$25+0.06*(1-1))-Assumptions!$C$27)-Assumptions!$C$28)-MAX(0,($L355*(1-(Assumptions!$C$25+0.06*(1-1))-Assumptions!$C$27)-Assumptions!$C$28)*Assumptions!$C$31)+Assumptions!$C$28-Assumptions!$C$29-$L355*Assumptions!$C$30</f>
        <v>92.4224583</v>
      </c>
      <c r="R355" s="139">
        <f>($M355*(1-(Assumptions!$C$25+0.06*(1-$H355))-Assumptions!$C$27)-Assumptions!$C$28)-MAX(0,($M355*(1-(Assumptions!$C$25+0.06*(1-$H355))-Assumptions!$C$27)-Assumptions!$C$28)*Assumptions!$C$31)+Assumptions!$C$28-Assumptions!$C$29-$M355*Assumptions!$C$30</f>
        <v>35.04782108</v>
      </c>
      <c r="S355" s="139">
        <f>($N355*(1-(Assumptions!$C$25+0.06*(1-$I355))-Assumptions!$C$27)-Assumptions!$C$28)-MAX(0,($N355*(1-(Assumptions!$C$25+0.06*(1-$I355))-Assumptions!$C$27)-Assumptions!$C$28)*Assumptions!$C$31)+Assumptions!$C$28-Assumptions!$C$29-$N355*Assumptions!$C$30</f>
        <v>36.71724125</v>
      </c>
      <c r="T355" s="139">
        <f>($O355*(1-(Assumptions!$C$25+0.06*(1-$J355))-Assumptions!$C$27)-Assumptions!$C$28)-MAX(0,($O355*(1-(Assumptions!$C$25+0.06*(1-$J355))-Assumptions!$C$27)-Assumptions!$C$28)*Assumptions!$C$31)+Assumptions!$C$28-Assumptions!$C$29-$O355*Assumptions!$C$30</f>
        <v>38.41780688</v>
      </c>
      <c r="U355" s="139">
        <f>($P355*(1-(Assumptions!$C$25+0.06*(1-$K355))-Assumptions!$C$27)-Assumptions!$C$28)-MAX(0,($P355*(1-(Assumptions!$C$25+0.06*(1-$K355))-Assumptions!$C$27)-Assumptions!$C$28)*Assumptions!$C$31)+Assumptions!$C$28-Assumptions!$C$29-$P355*Assumptions!$C$30</f>
        <v>115.2222433</v>
      </c>
      <c r="V355" s="143">
        <f>(($Q355/(1+$D355)^1+$R355/(1+$D355)^2+$S355/(1+$D355)^3+$T355/(1+$D355)^4+$U355/(1+$D355)^5+$U355*(1+$E355)/($D355-$E355)/(1+$D355)^5)-Assumptions!$C$37)/Assumptions!$C$40/Assumptions!$C$38</f>
        <v>4.430239998</v>
      </c>
    </row>
    <row r="356" ht="12.0" customHeight="1">
      <c r="B356" s="139">
        <v>304.0</v>
      </c>
      <c r="C356" s="140">
        <f t="shared" si="6"/>
        <v>0.5245391565</v>
      </c>
      <c r="D356" s="141">
        <f t="shared" si="7"/>
        <v>0.09866802115</v>
      </c>
      <c r="E356" s="141">
        <f t="shared" si="8"/>
        <v>0.01000828159</v>
      </c>
      <c r="F356" s="140">
        <f t="shared" si="9"/>
        <v>0.5853910561</v>
      </c>
      <c r="G356" s="141">
        <f t="shared" si="10"/>
        <v>0.06268157949</v>
      </c>
      <c r="H356" s="142">
        <f t="shared" si="11"/>
        <v>1</v>
      </c>
      <c r="I356" s="142">
        <f t="shared" si="12"/>
        <v>1</v>
      </c>
      <c r="J356" s="142">
        <f t="shared" si="13"/>
        <v>0</v>
      </c>
      <c r="K356" s="142">
        <f t="shared" si="14"/>
        <v>1</v>
      </c>
      <c r="L356" s="139">
        <f>Assumptions!$C$6*Assumptions!$C$7*(1+$G356-0.05*(1-1))^1+Assumptions!$C$6*Assumptions!$C$8*(1+Assumptions!$C$11)^1+Assumptions!$C$16*1+Assumptions!$C$6*Assumptions!$C$9*(1+Assumptions!$C$12)^1</f>
        <v>747.5666197</v>
      </c>
      <c r="M356" s="139">
        <f>Assumptions!$C$6*Assumptions!$C$7*(1+$G356-0.05*(1-$H356))^2+Assumptions!$C$6*Assumptions!$C$8*(1+Assumptions!$C$11)^2+Assumptions!$C$16*$H356+Assumptions!$C$6*Assumptions!$C$9*(1+Assumptions!$C$12)^2</f>
        <v>776.5850941</v>
      </c>
      <c r="N356" s="139">
        <f>Assumptions!$C$6*Assumptions!$C$7*(1+$G356-0.05*(1-$I356))^3+Assumptions!$C$6*Assumptions!$C$8*(1+Assumptions!$C$11)^3+Assumptions!$C$16*$I356+Assumptions!$C$6*Assumptions!$C$9*(1+Assumptions!$C$12)^3</f>
        <v>807.1409067</v>
      </c>
      <c r="O356" s="139">
        <f>Assumptions!$C$6*Assumptions!$C$7*(1+$G356-0.05*(1-$J356))^4+Assumptions!$C$6*Assumptions!$C$8*(1+Assumptions!$C$11)^4+Assumptions!$C$16*$J356+Assumptions!$C$6*Assumptions!$C$9*(1+Assumptions!$C$12)^4</f>
        <v>704.0605909</v>
      </c>
      <c r="P356" s="139">
        <f>Assumptions!$C$6*Assumptions!$C$7*(1+$G356-0.05*(1-$K356))^5+Assumptions!$C$6*Assumptions!$C$8*(1+Assumptions!$C$11)^5+Assumptions!$C$16*$K356+Assumptions!$C$6*Assumptions!$C$9*(1+Assumptions!$C$12)^5</f>
        <v>873.2330447</v>
      </c>
      <c r="Q356" s="139">
        <f>($L356*(1-(Assumptions!$C$25+0.06*(1-1))-Assumptions!$C$27)-Assumptions!$C$28)-MAX(0,($L356*(1-(Assumptions!$C$25+0.06*(1-1))-Assumptions!$C$27)-Assumptions!$C$28)*Assumptions!$C$31)+Assumptions!$C$28-Assumptions!$C$29-$L356*Assumptions!$C$30</f>
        <v>93.22682323</v>
      </c>
      <c r="R356" s="139">
        <f>($M356*(1-(Assumptions!$C$25+0.06*(1-$H356))-Assumptions!$C$27)-Assumptions!$C$28)-MAX(0,($M356*(1-(Assumptions!$C$25+0.06*(1-$H356))-Assumptions!$C$27)-Assumptions!$C$28)*Assumptions!$C$31)+Assumptions!$C$28-Assumptions!$C$29-$M356*Assumptions!$C$30</f>
        <v>99.46579524</v>
      </c>
      <c r="S356" s="139">
        <f>($N356*(1-(Assumptions!$C$25+0.06*(1-$I356))-Assumptions!$C$27)-Assumptions!$C$28)-MAX(0,($N356*(1-(Assumptions!$C$25+0.06*(1-$I356))-Assumptions!$C$27)-Assumptions!$C$28)*Assumptions!$C$31)+Assumptions!$C$28-Assumptions!$C$29-$N356*Assumptions!$C$30</f>
        <v>106.0352949</v>
      </c>
      <c r="T356" s="139">
        <f>($O356*(1-(Assumptions!$C$25+0.06*(1-$J356))-Assumptions!$C$27)-Assumptions!$C$28)-MAX(0,($O356*(1-(Assumptions!$C$25+0.06*(1-$J356))-Assumptions!$C$27)-Assumptions!$C$28)*Assumptions!$C$31)+Assumptions!$C$28-Assumptions!$C$29-$O356*Assumptions!$C$30</f>
        <v>41.9339359</v>
      </c>
      <c r="U356" s="139">
        <f>($P356*(1-(Assumptions!$C$25+0.06*(1-$K356))-Assumptions!$C$27)-Assumptions!$C$28)-MAX(0,($P356*(1-(Assumptions!$C$25+0.06*(1-$K356))-Assumptions!$C$27)-Assumptions!$C$28)*Assumptions!$C$31)+Assumptions!$C$28-Assumptions!$C$29-$P356*Assumptions!$C$30</f>
        <v>120.2451046</v>
      </c>
      <c r="V356" s="143">
        <f>(($Q356/(1+$D356)^1+$R356/(1+$D356)^2+$S356/(1+$D356)^3+$T356/(1+$D356)^4+$U356/(1+$D356)^5+$U356*(1+$E356)/($D356-$E356)/(1+$D356)^5)-Assumptions!$C$37)/Assumptions!$C$40/Assumptions!$C$38</f>
        <v>4.020083667</v>
      </c>
    </row>
    <row r="357" ht="12.0" customHeight="1">
      <c r="B357" s="139">
        <v>305.0</v>
      </c>
      <c r="C357" s="140">
        <f t="shared" si="6"/>
        <v>0.9604375308</v>
      </c>
      <c r="D357" s="141">
        <f t="shared" si="7"/>
        <v>0.1102888913</v>
      </c>
      <c r="E357" s="141">
        <f t="shared" si="8"/>
        <v>0.01937661632</v>
      </c>
      <c r="F357" s="140">
        <f t="shared" si="9"/>
        <v>0.9785759707</v>
      </c>
      <c r="G357" s="141">
        <f t="shared" si="10"/>
        <v>0.08379006821</v>
      </c>
      <c r="H357" s="142">
        <f t="shared" si="11"/>
        <v>1</v>
      </c>
      <c r="I357" s="142">
        <f t="shared" si="12"/>
        <v>0</v>
      </c>
      <c r="J357" s="142">
        <f t="shared" si="13"/>
        <v>1</v>
      </c>
      <c r="K357" s="142">
        <f t="shared" si="14"/>
        <v>1</v>
      </c>
      <c r="L357" s="139">
        <f>Assumptions!$C$6*Assumptions!$C$7*(1+$G357-0.05*(1-1))^1+Assumptions!$C$6*Assumptions!$C$8*(1+Assumptions!$C$11)^1+Assumptions!$C$16*1+Assumptions!$C$6*Assumptions!$C$9*(1+Assumptions!$C$12)^1</f>
        <v>754.671737</v>
      </c>
      <c r="M357" s="139">
        <f>Assumptions!$C$6*Assumptions!$C$7*(1+$G357-0.05*(1-$H357))^2+Assumptions!$C$6*Assumptions!$C$8*(1+Assumptions!$C$11)^2+Assumptions!$C$16*$H357+Assumptions!$C$6*Assumptions!$C$9*(1+Assumptions!$C$12)^2</f>
        <v>791.836027</v>
      </c>
      <c r="N357" s="139">
        <f>Assumptions!$C$6*Assumptions!$C$7*(1+$G357-0.05*(1-$I357))^3+Assumptions!$C$6*Assumptions!$C$8*(1+Assumptions!$C$11)^3+Assumptions!$C$16*$I357+Assumptions!$C$6*Assumptions!$C$9*(1+Assumptions!$C$12)^3</f>
        <v>715.0818223</v>
      </c>
      <c r="O357" s="139">
        <f>Assumptions!$C$6*Assumptions!$C$7*(1+$G357-0.05*(1-$J357))^4+Assumptions!$C$6*Assumptions!$C$8*(1+Assumptions!$C$11)^4+Assumptions!$C$16*$J357+Assumptions!$C$6*Assumptions!$C$9*(1+Assumptions!$C$12)^4</f>
        <v>874.4613065</v>
      </c>
      <c r="P357" s="139">
        <f>Assumptions!$C$6*Assumptions!$C$7*(1+$G357-0.05*(1-$K357))^5+Assumptions!$C$6*Assumptions!$C$8*(1+Assumptions!$C$11)^5+Assumptions!$C$16*$K357+Assumptions!$C$6*Assumptions!$C$9*(1+Assumptions!$C$12)^5</f>
        <v>920.3748155</v>
      </c>
      <c r="Q357" s="139">
        <f>($L357*(1-(Assumptions!$C$25+0.06*(1-1))-Assumptions!$C$27)-Assumptions!$C$28)-MAX(0,($L357*(1-(Assumptions!$C$25+0.06*(1-1))-Assumptions!$C$27)-Assumptions!$C$28)*Assumptions!$C$31)+Assumptions!$C$28-Assumptions!$C$29-$L357*Assumptions!$C$30</f>
        <v>94.75442345</v>
      </c>
      <c r="R357" s="139">
        <f>($M357*(1-(Assumptions!$C$25+0.06*(1-$H357))-Assumptions!$C$27)-Assumptions!$C$28)-MAX(0,($M357*(1-(Assumptions!$C$25+0.06*(1-$H357))-Assumptions!$C$27)-Assumptions!$C$28)*Assumptions!$C$31)+Assumptions!$C$28-Assumptions!$C$29-$M357*Assumptions!$C$30</f>
        <v>102.7447458</v>
      </c>
      <c r="S357" s="139">
        <f>($N357*(1-(Assumptions!$C$25+0.06*(1-$I357))-Assumptions!$C$27)-Assumptions!$C$28)-MAX(0,($N357*(1-(Assumptions!$C$25+0.06*(1-$I357))-Assumptions!$C$27)-Assumptions!$C$28)*Assumptions!$C$31)+Assumptions!$C$28-Assumptions!$C$29-$N357*Assumptions!$C$30</f>
        <v>44.46881913</v>
      </c>
      <c r="T357" s="139">
        <f>($O357*(1-(Assumptions!$C$25+0.06*(1-$J357))-Assumptions!$C$27)-Assumptions!$C$28)-MAX(0,($O357*(1-(Assumptions!$C$25+0.06*(1-$J357))-Assumptions!$C$27)-Assumptions!$C$28)*Assumptions!$C$31)+Assumptions!$C$28-Assumptions!$C$29-$O357*Assumptions!$C$30</f>
        <v>120.5091809</v>
      </c>
      <c r="U357" s="139">
        <f>($P357*(1-(Assumptions!$C$25+0.06*(1-$K357))-Assumptions!$C$27)-Assumptions!$C$28)-MAX(0,($P357*(1-(Assumptions!$C$25+0.06*(1-$K357))-Assumptions!$C$27)-Assumptions!$C$28)*Assumptions!$C$31)+Assumptions!$C$28-Assumptions!$C$29-$P357*Assumptions!$C$30</f>
        <v>130.3805853</v>
      </c>
      <c r="V357" s="143">
        <f>(($Q357/(1+$D357)^1+$R357/(1+$D357)^2+$S357/(1+$D357)^3+$T357/(1+$D357)^4+$U357/(1+$D357)^5+$U357*(1+$E357)/($D357-$E357)/(1+$D357)^5)-Assumptions!$C$37)/Assumptions!$C$40/Assumptions!$C$38</f>
        <v>4.155659133</v>
      </c>
    </row>
    <row r="358" ht="12.0" customHeight="1">
      <c r="B358" s="139">
        <v>306.0</v>
      </c>
      <c r="C358" s="140">
        <f t="shared" si="6"/>
        <v>0.3173805736</v>
      </c>
      <c r="D358" s="141">
        <f t="shared" si="7"/>
        <v>0.09537265706</v>
      </c>
      <c r="E358" s="141">
        <f t="shared" si="8"/>
        <v>0.01980214355</v>
      </c>
      <c r="F358" s="140">
        <f t="shared" si="9"/>
        <v>0.6119884543</v>
      </c>
      <c r="G358" s="141">
        <f t="shared" si="10"/>
        <v>0.06357234815</v>
      </c>
      <c r="H358" s="142">
        <f t="shared" si="11"/>
        <v>1</v>
      </c>
      <c r="I358" s="142">
        <f t="shared" si="12"/>
        <v>1</v>
      </c>
      <c r="J358" s="142">
        <f t="shared" si="13"/>
        <v>1</v>
      </c>
      <c r="K358" s="142">
        <f t="shared" si="14"/>
        <v>1</v>
      </c>
      <c r="L358" s="139">
        <f>Assumptions!$C$6*Assumptions!$C$7*(1+$G358-0.05*(1-1))^1+Assumptions!$C$6*Assumptions!$C$8*(1+Assumptions!$C$11)^1+Assumptions!$C$16*1+Assumptions!$C$6*Assumptions!$C$9*(1+Assumptions!$C$12)^1</f>
        <v>747.8664524</v>
      </c>
      <c r="M358" s="139">
        <f>Assumptions!$C$6*Assumptions!$C$7*(1+$G358-0.05*(1-$H358))^2+Assumptions!$C$6*Assumptions!$C$8*(1+Assumptions!$C$11)^2+Assumptions!$C$16*$H358+Assumptions!$C$6*Assumptions!$C$9*(1+Assumptions!$C$12)^2</f>
        <v>777.2226146</v>
      </c>
      <c r="N358" s="139">
        <f>Assumptions!$C$6*Assumptions!$C$7*(1+$G358-0.05*(1-$I358))^3+Assumptions!$C$6*Assumptions!$C$8*(1+Assumptions!$C$11)^3+Assumptions!$C$16*$I358+Assumptions!$C$6*Assumptions!$C$9*(1+Assumptions!$C$12)^3</f>
        <v>808.1575546</v>
      </c>
      <c r="O358" s="139">
        <f>Assumptions!$C$6*Assumptions!$C$7*(1+$G358-0.05*(1-$J358))^4+Assumptions!$C$6*Assumptions!$C$8*(1+Assumptions!$C$11)^4+Assumptions!$C$16*$J358+Assumptions!$C$6*Assumptions!$C$9*(1+Assumptions!$C$12)^4</f>
        <v>840.7658896</v>
      </c>
      <c r="P358" s="139">
        <f>Assumptions!$C$6*Assumptions!$C$7*(1+$G358-0.05*(1-$K358))^5+Assumptions!$C$6*Assumptions!$C$8*(1+Assumptions!$C$11)^5+Assumptions!$C$16*$K358+Assumptions!$C$6*Assumptions!$C$9*(1+Assumptions!$C$12)^5</f>
        <v>875.1481371</v>
      </c>
      <c r="Q358" s="139">
        <f>($L358*(1-(Assumptions!$C$25+0.06*(1-1))-Assumptions!$C$27)-Assumptions!$C$28)-MAX(0,($L358*(1-(Assumptions!$C$25+0.06*(1-1))-Assumptions!$C$27)-Assumptions!$C$28)*Assumptions!$C$31)+Assumptions!$C$28-Assumptions!$C$29-$L358*Assumptions!$C$30</f>
        <v>93.29128726</v>
      </c>
      <c r="R358" s="139">
        <f>($M358*(1-(Assumptions!$C$25+0.06*(1-$H358))-Assumptions!$C$27)-Assumptions!$C$28)-MAX(0,($M358*(1-(Assumptions!$C$25+0.06*(1-$H358))-Assumptions!$C$27)-Assumptions!$C$28)*Assumptions!$C$31)+Assumptions!$C$28-Assumptions!$C$29-$M358*Assumptions!$C$30</f>
        <v>99.60286215</v>
      </c>
      <c r="S358" s="139">
        <f>($N358*(1-(Assumptions!$C$25+0.06*(1-$I358))-Assumptions!$C$27)-Assumptions!$C$28)-MAX(0,($N358*(1-(Assumptions!$C$25+0.06*(1-$I358))-Assumptions!$C$27)-Assumptions!$C$28)*Assumptions!$C$31)+Assumptions!$C$28-Assumptions!$C$29-$N358*Assumptions!$C$30</f>
        <v>106.2538742</v>
      </c>
      <c r="T358" s="139">
        <f>($O358*(1-(Assumptions!$C$25+0.06*(1-$J358))-Assumptions!$C$27)-Assumptions!$C$28)-MAX(0,($O358*(1-(Assumptions!$C$25+0.06*(1-$J358))-Assumptions!$C$27)-Assumptions!$C$28)*Assumptions!$C$31)+Assumptions!$C$28-Assumptions!$C$29-$O358*Assumptions!$C$30</f>
        <v>113.2646663</v>
      </c>
      <c r="U358" s="139">
        <f>($P358*(1-(Assumptions!$C$25+0.06*(1-$K358))-Assumptions!$C$27)-Assumptions!$C$28)-MAX(0,($P358*(1-(Assumptions!$C$25+0.06*(1-$K358))-Assumptions!$C$27)-Assumptions!$C$28)*Assumptions!$C$31)+Assumptions!$C$28-Assumptions!$C$29-$P358*Assumptions!$C$30</f>
        <v>120.6568495</v>
      </c>
      <c r="V358" s="143">
        <f>(($Q358/(1+$D358)^1+$R358/(1+$D358)^2+$S358/(1+$D358)^3+$T358/(1+$D358)^4+$U358/(1+$D358)^5+$U358*(1+$E358)/($D358-$E358)/(1+$D358)^5)-Assumptions!$C$37)/Assumptions!$C$40/Assumptions!$C$38</f>
        <v>5.814399355</v>
      </c>
    </row>
    <row r="359" ht="12.0" customHeight="1">
      <c r="B359" s="139">
        <v>307.0</v>
      </c>
      <c r="C359" s="140">
        <f t="shared" si="6"/>
        <v>0.359387581</v>
      </c>
      <c r="D359" s="141">
        <f t="shared" si="7"/>
        <v>0.09603777106</v>
      </c>
      <c r="E359" s="141">
        <f t="shared" si="8"/>
        <v>0.02550694662</v>
      </c>
      <c r="F359" s="140">
        <f t="shared" si="9"/>
        <v>0.8375310235</v>
      </c>
      <c r="G359" s="141">
        <f t="shared" si="10"/>
        <v>0.07289900127</v>
      </c>
      <c r="H359" s="142">
        <f t="shared" si="11"/>
        <v>1</v>
      </c>
      <c r="I359" s="142">
        <f t="shared" si="12"/>
        <v>0</v>
      </c>
      <c r="J359" s="142">
        <f t="shared" si="13"/>
        <v>1</v>
      </c>
      <c r="K359" s="142">
        <f t="shared" si="14"/>
        <v>0</v>
      </c>
      <c r="L359" s="139">
        <f>Assumptions!$C$6*Assumptions!$C$7*(1+$G359-0.05*(1-1))^1+Assumptions!$C$6*Assumptions!$C$8*(1+Assumptions!$C$11)^1+Assumptions!$C$16*1+Assumptions!$C$6*Assumptions!$C$9*(1+Assumptions!$C$12)^1</f>
        <v>751.0058038</v>
      </c>
      <c r="M359" s="139">
        <f>Assumptions!$C$6*Assumptions!$C$7*(1+$G359-0.05*(1-$H359))^2+Assumptions!$C$6*Assumptions!$C$8*(1+Assumptions!$C$11)^2+Assumptions!$C$16*$H359+Assumptions!$C$6*Assumptions!$C$9*(1+Assumptions!$C$12)^2</f>
        <v>783.929749</v>
      </c>
      <c r="N359" s="139">
        <f>Assumptions!$C$6*Assumptions!$C$7*(1+$G359-0.05*(1-$I359))^3+Assumptions!$C$6*Assumptions!$C$8*(1+Assumptions!$C$11)^3+Assumptions!$C$16*$I359+Assumptions!$C$6*Assumptions!$C$9*(1+Assumptions!$C$12)^3</f>
        <v>703.4516234</v>
      </c>
      <c r="O359" s="139">
        <f>Assumptions!$C$6*Assumptions!$C$7*(1+$G359-0.05*(1-$J359))^4+Assumptions!$C$6*Assumptions!$C$8*(1+Assumptions!$C$11)^4+Assumptions!$C$16*$J359+Assumptions!$C$6*Assumptions!$C$9*(1+Assumptions!$C$12)^4</f>
        <v>856.0735718</v>
      </c>
      <c r="P359" s="139">
        <f>Assumptions!$C$6*Assumptions!$C$7*(1+$G359-0.05*(1-$K359))^5+Assumptions!$C$6*Assumptions!$C$8*(1+Assumptions!$C$11)^5+Assumptions!$C$16*$K359+Assumptions!$C$6*Assumptions!$C$9*(1+Assumptions!$C$12)^5</f>
        <v>734.0046428</v>
      </c>
      <c r="Q359" s="139">
        <f>($L359*(1-(Assumptions!$C$25+0.06*(1-1))-Assumptions!$C$27)-Assumptions!$C$28)-MAX(0,($L359*(1-(Assumptions!$C$25+0.06*(1-1))-Assumptions!$C$27)-Assumptions!$C$28)*Assumptions!$C$31)+Assumptions!$C$28-Assumptions!$C$29-$L359*Assumptions!$C$30</f>
        <v>93.96624782</v>
      </c>
      <c r="R359" s="139">
        <f>($M359*(1-(Assumptions!$C$25+0.06*(1-$H359))-Assumptions!$C$27)-Assumptions!$C$28)-MAX(0,($M359*(1-(Assumptions!$C$25+0.06*(1-$H359))-Assumptions!$C$27)-Assumptions!$C$28)*Assumptions!$C$31)+Assumptions!$C$28-Assumptions!$C$29-$M359*Assumptions!$C$30</f>
        <v>101.044896</v>
      </c>
      <c r="S359" s="139">
        <f>($N359*(1-(Assumptions!$C$25+0.06*(1-$I359))-Assumptions!$C$27)-Assumptions!$C$28)-MAX(0,($N359*(1-(Assumptions!$C$25+0.06*(1-$I359))-Assumptions!$C$27)-Assumptions!$C$28)*Assumptions!$C$31)+Assumptions!$C$28-Assumptions!$C$29-$N359*Assumptions!$C$30</f>
        <v>41.79387338</v>
      </c>
      <c r="T359" s="139">
        <f>($O359*(1-(Assumptions!$C$25+0.06*(1-$J359))-Assumptions!$C$27)-Assumptions!$C$28)-MAX(0,($O359*(1-(Assumptions!$C$25+0.06*(1-$J359))-Assumptions!$C$27)-Assumptions!$C$28)*Assumptions!$C$31)+Assumptions!$C$28-Assumptions!$C$29-$O359*Assumptions!$C$30</f>
        <v>116.5558179</v>
      </c>
      <c r="U359" s="139">
        <f>($P359*(1-(Assumptions!$C$25+0.06*(1-$K359))-Assumptions!$C$27)-Assumptions!$C$28)-MAX(0,($P359*(1-(Assumptions!$C$25+0.06*(1-$K359))-Assumptions!$C$27)-Assumptions!$C$28)*Assumptions!$C$31)+Assumptions!$C$28-Assumptions!$C$29-$P359*Assumptions!$C$30</f>
        <v>48.82106785</v>
      </c>
      <c r="V359" s="143">
        <f>(($Q359/(1+$D359)^1+$R359/(1+$D359)^2+$S359/(1+$D359)^3+$T359/(1+$D359)^4+$U359/(1+$D359)^5+$U359*(1+$E359)/($D359-$E359)/(1+$D359)^5)-Assumptions!$C$37)/Assumptions!$C$40/Assumptions!$C$38</f>
        <v>0.5486688462</v>
      </c>
    </row>
    <row r="360" ht="12.0" customHeight="1">
      <c r="B360" s="139">
        <v>308.0</v>
      </c>
      <c r="C360" s="140">
        <f t="shared" si="6"/>
        <v>0.675059699</v>
      </c>
      <c r="D360" s="141">
        <f t="shared" si="7"/>
        <v>0.1014984627</v>
      </c>
      <c r="E360" s="141">
        <f t="shared" si="8"/>
        <v>0.02482177669</v>
      </c>
      <c r="F360" s="140">
        <f t="shared" si="9"/>
        <v>0.2674752857</v>
      </c>
      <c r="G360" s="141">
        <f t="shared" si="10"/>
        <v>0.05194209457</v>
      </c>
      <c r="H360" s="142">
        <f t="shared" si="11"/>
        <v>1</v>
      </c>
      <c r="I360" s="142">
        <f t="shared" si="12"/>
        <v>0</v>
      </c>
      <c r="J360" s="142">
        <f t="shared" si="13"/>
        <v>1</v>
      </c>
      <c r="K360" s="142">
        <f t="shared" si="14"/>
        <v>1</v>
      </c>
      <c r="L360" s="139">
        <f>Assumptions!$C$6*Assumptions!$C$7*(1+$G360-0.05*(1-1))^1+Assumptions!$C$6*Assumptions!$C$8*(1+Assumptions!$C$11)^1+Assumptions!$C$16*1+Assumptions!$C$6*Assumptions!$C$9*(1+Assumptions!$C$12)^1</f>
        <v>743.951709</v>
      </c>
      <c r="M360" s="139">
        <f>Assumptions!$C$6*Assumptions!$C$7*(1+$G360-0.05*(1-$H360))^2+Assumptions!$C$6*Assumptions!$C$8*(1+Assumptions!$C$11)^2+Assumptions!$C$16*$H360+Assumptions!$C$6*Assumptions!$C$9*(1+Assumptions!$C$12)^2</f>
        <v>768.9409185</v>
      </c>
      <c r="N360" s="139">
        <f>Assumptions!$C$6*Assumptions!$C$7*(1+$G360-0.05*(1-$I360))^3+Assumptions!$C$6*Assumptions!$C$8*(1+Assumptions!$C$11)^3+Assumptions!$C$16*$I360+Assumptions!$C$6*Assumptions!$C$9*(1+Assumptions!$C$12)^3</f>
        <v>681.7596055</v>
      </c>
      <c r="O360" s="139">
        <f>Assumptions!$C$6*Assumptions!$C$7*(1+$G360-0.05*(1-$J360))^4+Assumptions!$C$6*Assumptions!$C$8*(1+Assumptions!$C$11)^4+Assumptions!$C$16*$J360+Assumptions!$C$6*Assumptions!$C$9*(1+Assumptions!$C$12)^4</f>
        <v>822.2333725</v>
      </c>
      <c r="P360" s="139">
        <f>Assumptions!$C$6*Assumptions!$C$7*(1+$G360-0.05*(1-$K360))^5+Assumptions!$C$6*Assumptions!$C$8*(1+Assumptions!$C$11)^5+Assumptions!$C$16*$K360+Assumptions!$C$6*Assumptions!$C$9*(1+Assumptions!$C$12)^5</f>
        <v>850.6437668</v>
      </c>
      <c r="Q360" s="139">
        <f>($L360*(1-(Assumptions!$C$25+0.06*(1-1))-Assumptions!$C$27)-Assumptions!$C$28)-MAX(0,($L360*(1-(Assumptions!$C$25+0.06*(1-1))-Assumptions!$C$27)-Assumptions!$C$28)*Assumptions!$C$31)+Assumptions!$C$28-Assumptions!$C$29-$L360*Assumptions!$C$30</f>
        <v>92.44961744</v>
      </c>
      <c r="R360" s="139">
        <f>($M360*(1-(Assumptions!$C$25+0.06*(1-$H360))-Assumptions!$C$27)-Assumptions!$C$28)-MAX(0,($M360*(1-(Assumptions!$C$25+0.06*(1-$H360))-Assumptions!$C$27)-Assumptions!$C$28)*Assumptions!$C$31)+Assumptions!$C$28-Assumptions!$C$29-$M360*Assumptions!$C$30</f>
        <v>97.82229748</v>
      </c>
      <c r="S360" s="139">
        <f>($N360*(1-(Assumptions!$C$25+0.06*(1-$I360))-Assumptions!$C$27)-Assumptions!$C$28)-MAX(0,($N360*(1-(Assumptions!$C$25+0.06*(1-$I360))-Assumptions!$C$27)-Assumptions!$C$28)*Assumptions!$C$31)+Assumptions!$C$28-Assumptions!$C$29-$N360*Assumptions!$C$30</f>
        <v>36.80470926</v>
      </c>
      <c r="T360" s="139">
        <f>($O360*(1-(Assumptions!$C$25+0.06*(1-$J360))-Assumptions!$C$27)-Assumptions!$C$28)-MAX(0,($O360*(1-(Assumptions!$C$25+0.06*(1-$J360))-Assumptions!$C$27)-Assumptions!$C$28)*Assumptions!$C$31)+Assumptions!$C$28-Assumptions!$C$29-$O360*Assumptions!$C$30</f>
        <v>109.2801751</v>
      </c>
      <c r="U360" s="139">
        <f>($P360*(1-(Assumptions!$C$25+0.06*(1-$K360))-Assumptions!$C$27)-Assumptions!$C$28)-MAX(0,($P360*(1-(Assumptions!$C$25+0.06*(1-$K360))-Assumptions!$C$27)-Assumptions!$C$28)*Assumptions!$C$31)+Assumptions!$C$28-Assumptions!$C$29-$P360*Assumptions!$C$30</f>
        <v>115.3884099</v>
      </c>
      <c r="V360" s="143">
        <f>(($Q360/(1+$D360)^1+$R360/(1+$D360)^2+$S360/(1+$D360)^3+$T360/(1+$D360)^4+$U360/(1+$D360)^5+$U360*(1+$E360)/($D360-$E360)/(1+$D360)^5)-Assumptions!$C$37)/Assumptions!$C$40/Assumptions!$C$38</f>
        <v>4.6581399</v>
      </c>
    </row>
    <row r="361" ht="12.0" customHeight="1">
      <c r="B361" s="139">
        <v>309.0</v>
      </c>
      <c r="C361" s="140">
        <f t="shared" si="6"/>
        <v>0.3665210791</v>
      </c>
      <c r="D361" s="141">
        <f t="shared" si="7"/>
        <v>0.09614677737</v>
      </c>
      <c r="E361" s="141">
        <f t="shared" si="8"/>
        <v>0.02658831062</v>
      </c>
      <c r="F361" s="140">
        <f t="shared" si="9"/>
        <v>0.07917379324</v>
      </c>
      <c r="G361" s="141">
        <f t="shared" si="10"/>
        <v>0.04193787367</v>
      </c>
      <c r="H361" s="142">
        <f t="shared" si="11"/>
        <v>1</v>
      </c>
      <c r="I361" s="142">
        <f t="shared" si="12"/>
        <v>1</v>
      </c>
      <c r="J361" s="142">
        <f t="shared" si="13"/>
        <v>0</v>
      </c>
      <c r="K361" s="142">
        <f t="shared" si="14"/>
        <v>0</v>
      </c>
      <c r="L361" s="139">
        <f>Assumptions!$C$6*Assumptions!$C$7*(1+$G361-0.05*(1-1))^1+Assumptions!$C$6*Assumptions!$C$8*(1+Assumptions!$C$11)^1+Assumptions!$C$16*1+Assumptions!$C$6*Assumptions!$C$9*(1+Assumptions!$C$12)^1</f>
        <v>740.5842883</v>
      </c>
      <c r="M361" s="139">
        <f>Assumptions!$C$6*Assumptions!$C$7*(1+$G361-0.05*(1-$H361))^2+Assumptions!$C$6*Assumptions!$C$8*(1+Assumptions!$C$11)^2+Assumptions!$C$16*$H361+Assumptions!$C$6*Assumptions!$C$9*(1+Assumptions!$C$12)^2</f>
        <v>761.8899437</v>
      </c>
      <c r="N361" s="139">
        <f>Assumptions!$C$6*Assumptions!$C$7*(1+$G361-0.05*(1-$I361))^3+Assumptions!$C$6*Assumptions!$C$8*(1+Assumptions!$C$11)^3+Assumptions!$C$16*$I361+Assumptions!$C$6*Assumptions!$C$9*(1+Assumptions!$C$12)^3</f>
        <v>783.9443809</v>
      </c>
      <c r="O361" s="139">
        <f>Assumptions!$C$6*Assumptions!$C$7*(1+$G361-0.05*(1-$J361))^4+Assumptions!$C$6*Assumptions!$C$8*(1+Assumptions!$C$11)^4+Assumptions!$C$16*$J361+Assumptions!$C$6*Assumptions!$C$9*(1+Assumptions!$C$12)^4</f>
        <v>675.9342793</v>
      </c>
      <c r="P361" s="139">
        <f>Assumptions!$C$6*Assumptions!$C$7*(1+$G361-0.05*(1-$K361))^5+Assumptions!$C$6*Assumptions!$C$8*(1+Assumptions!$C$11)^5+Assumptions!$C$16*$K361+Assumptions!$C$6*Assumptions!$C$9*(1+Assumptions!$C$12)^5</f>
        <v>680.3081993</v>
      </c>
      <c r="Q361" s="139">
        <f>($L361*(1-(Assumptions!$C$25+0.06*(1-1))-Assumptions!$C$27)-Assumptions!$C$28)-MAX(0,($L361*(1-(Assumptions!$C$25+0.06*(1-1))-Assumptions!$C$27)-Assumptions!$C$28)*Assumptions!$C$31)+Assumptions!$C$28-Assumptions!$C$29-$L361*Assumptions!$C$30</f>
        <v>91.72562198</v>
      </c>
      <c r="R361" s="139">
        <f>($M361*(1-(Assumptions!$C$25+0.06*(1-$H361))-Assumptions!$C$27)-Assumptions!$C$28)-MAX(0,($M361*(1-(Assumptions!$C$25+0.06*(1-$H361))-Assumptions!$C$27)-Assumptions!$C$28)*Assumptions!$C$31)+Assumptions!$C$28-Assumptions!$C$29-$M361*Assumptions!$C$30</f>
        <v>96.30633789</v>
      </c>
      <c r="S361" s="139">
        <f>($N361*(1-(Assumptions!$C$25+0.06*(1-$I361))-Assumptions!$C$27)-Assumptions!$C$28)-MAX(0,($N361*(1-(Assumptions!$C$25+0.06*(1-$I361))-Assumptions!$C$27)-Assumptions!$C$28)*Assumptions!$C$31)+Assumptions!$C$28-Assumptions!$C$29-$N361*Assumptions!$C$30</f>
        <v>101.0480419</v>
      </c>
      <c r="T361" s="139">
        <f>($O361*(1-(Assumptions!$C$25+0.06*(1-$J361))-Assumptions!$C$27)-Assumptions!$C$28)-MAX(0,($O361*(1-(Assumptions!$C$25+0.06*(1-$J361))-Assumptions!$C$27)-Assumptions!$C$28)*Assumptions!$C$31)+Assumptions!$C$28-Assumptions!$C$29-$O361*Assumptions!$C$30</f>
        <v>35.46488423</v>
      </c>
      <c r="U361" s="139">
        <f>($P361*(1-(Assumptions!$C$25+0.06*(1-$K361))-Assumptions!$C$27)-Assumptions!$C$28)-MAX(0,($P361*(1-(Assumptions!$C$25+0.06*(1-$K361))-Assumptions!$C$27)-Assumptions!$C$28)*Assumptions!$C$31)+Assumptions!$C$28-Assumptions!$C$29-$P361*Assumptions!$C$30</f>
        <v>36.47088583</v>
      </c>
      <c r="V361" s="143">
        <f>(($Q361/(1+$D361)^1+$R361/(1+$D361)^2+$S361/(1+$D361)^3+$T361/(1+$D361)^4+$U361/(1+$D361)^5+$U361*(1+$E361)/($D361-$E361)/(1+$D361)^5)-Assumptions!$C$37)/Assumptions!$C$40/Assumptions!$C$38</f>
        <v>-0.4947716614</v>
      </c>
    </row>
    <row r="362" ht="12.0" customHeight="1">
      <c r="B362" s="139">
        <v>310.0</v>
      </c>
      <c r="C362" s="140">
        <f t="shared" si="6"/>
        <v>0.106041813</v>
      </c>
      <c r="D362" s="141">
        <f t="shared" si="7"/>
        <v>0.09099567966</v>
      </c>
      <c r="E362" s="141">
        <f t="shared" si="8"/>
        <v>0.02609890009</v>
      </c>
      <c r="F362" s="140">
        <f t="shared" si="9"/>
        <v>0.1867777921</v>
      </c>
      <c r="G362" s="141">
        <f t="shared" si="10"/>
        <v>0.04833575812</v>
      </c>
      <c r="H362" s="142">
        <f t="shared" si="11"/>
        <v>1</v>
      </c>
      <c r="I362" s="142">
        <f t="shared" si="12"/>
        <v>1</v>
      </c>
      <c r="J362" s="142">
        <f t="shared" si="13"/>
        <v>0</v>
      </c>
      <c r="K362" s="142">
        <f t="shared" si="14"/>
        <v>0</v>
      </c>
      <c r="L362" s="139">
        <f>Assumptions!$C$6*Assumptions!$C$7*(1+$G362-0.05*(1-1))^1+Assumptions!$C$6*Assumptions!$C$8*(1+Assumptions!$C$11)^1+Assumptions!$C$16*1+Assumptions!$C$6*Assumptions!$C$9*(1+Assumptions!$C$12)^1</f>
        <v>742.7378162</v>
      </c>
      <c r="M362" s="139">
        <f>Assumptions!$C$6*Assumptions!$C$7*(1+$G362-0.05*(1-$H362))^2+Assumptions!$C$6*Assumptions!$C$8*(1+Assumptions!$C$11)^2+Assumptions!$C$16*$H362+Assumptions!$C$6*Assumptions!$C$9*(1+Assumptions!$C$12)^2</f>
        <v>766.3914063</v>
      </c>
      <c r="N362" s="139">
        <f>Assumptions!$C$6*Assumptions!$C$7*(1+$G362-0.05*(1-$I362))^3+Assumptions!$C$6*Assumptions!$C$8*(1+Assumptions!$C$11)^3+Assumptions!$C$16*$I362+Assumptions!$C$6*Assumptions!$C$9*(1+Assumptions!$C$12)^3</f>
        <v>791.0013694</v>
      </c>
      <c r="O362" s="139">
        <f>Assumptions!$C$6*Assumptions!$C$7*(1+$G362-0.05*(1-$J362))^4+Assumptions!$C$6*Assumptions!$C$8*(1+Assumptions!$C$11)^4+Assumptions!$C$16*$J362+Assumptions!$C$6*Assumptions!$C$9*(1+Assumptions!$C$12)^4</f>
        <v>684.4234128</v>
      </c>
      <c r="P362" s="139">
        <f>Assumptions!$C$6*Assumptions!$C$7*(1+$G362-0.05*(1-$K362))^5+Assumptions!$C$6*Assumptions!$C$8*(1+Assumptions!$C$11)^5+Assumptions!$C$16*$K362+Assumptions!$C$6*Assumptions!$C$9*(1+Assumptions!$C$12)^5</f>
        <v>690.86812</v>
      </c>
      <c r="Q362" s="139">
        <f>($L362*(1-(Assumptions!$C$25+0.06*(1-1))-Assumptions!$C$27)-Assumptions!$C$28)-MAX(0,($L362*(1-(Assumptions!$C$25+0.06*(1-1))-Assumptions!$C$27)-Assumptions!$C$28)*Assumptions!$C$31)+Assumptions!$C$28-Assumptions!$C$29-$L362*Assumptions!$C$30</f>
        <v>92.18863048</v>
      </c>
      <c r="R362" s="139">
        <f>($M362*(1-(Assumptions!$C$25+0.06*(1-$H362))-Assumptions!$C$27)-Assumptions!$C$28)-MAX(0,($M362*(1-(Assumptions!$C$25+0.06*(1-$H362))-Assumptions!$C$27)-Assumptions!$C$28)*Assumptions!$C$31)+Assumptions!$C$28-Assumptions!$C$29-$M362*Assumptions!$C$30</f>
        <v>97.27415235</v>
      </c>
      <c r="S362" s="139">
        <f>($N362*(1-(Assumptions!$C$25+0.06*(1-$I362))-Assumptions!$C$27)-Assumptions!$C$28)-MAX(0,($N362*(1-(Assumptions!$C$25+0.06*(1-$I362))-Assumptions!$C$27)-Assumptions!$C$28)*Assumptions!$C$31)+Assumptions!$C$28-Assumptions!$C$29-$N362*Assumptions!$C$30</f>
        <v>102.5652944</v>
      </c>
      <c r="T362" s="139">
        <f>($O362*(1-(Assumptions!$C$25+0.06*(1-$J362))-Assumptions!$C$27)-Assumptions!$C$28)-MAX(0,($O362*(1-(Assumptions!$C$25+0.06*(1-$J362))-Assumptions!$C$27)-Assumptions!$C$28)*Assumptions!$C$31)+Assumptions!$C$28-Assumptions!$C$29-$O362*Assumptions!$C$30</f>
        <v>37.41738494</v>
      </c>
      <c r="U362" s="139">
        <f>($P362*(1-(Assumptions!$C$25+0.06*(1-$K362))-Assumptions!$C$27)-Assumptions!$C$28)-MAX(0,($P362*(1-(Assumptions!$C$25+0.06*(1-$K362))-Assumptions!$C$27)-Assumptions!$C$28)*Assumptions!$C$31)+Assumptions!$C$28-Assumptions!$C$29-$P362*Assumptions!$C$30</f>
        <v>38.8996676</v>
      </c>
      <c r="V362" s="143">
        <f>(($Q362/(1+$D362)^1+$R362/(1+$D362)^2+$S362/(1+$D362)^3+$T362/(1+$D362)^4+$U362/(1+$D362)^5+$U362*(1+$E362)/($D362-$E362)/(1+$D362)^5)-Assumptions!$C$37)/Assumptions!$C$40/Assumptions!$C$38</f>
        <v>0.02345213799</v>
      </c>
    </row>
    <row r="363" ht="12.0" customHeight="1">
      <c r="B363" s="139">
        <v>311.0</v>
      </c>
      <c r="C363" s="140">
        <f t="shared" si="6"/>
        <v>0.3470392257</v>
      </c>
      <c r="D363" s="141">
        <f t="shared" si="7"/>
        <v>0.0958464878</v>
      </c>
      <c r="E363" s="141">
        <f t="shared" si="8"/>
        <v>0.01348166852</v>
      </c>
      <c r="F363" s="140">
        <f t="shared" si="9"/>
        <v>0.2032771436</v>
      </c>
      <c r="G363" s="141">
        <f t="shared" si="10"/>
        <v>0.04912848291</v>
      </c>
      <c r="H363" s="142">
        <f t="shared" si="11"/>
        <v>1</v>
      </c>
      <c r="I363" s="142">
        <f t="shared" si="12"/>
        <v>1</v>
      </c>
      <c r="J363" s="142">
        <f t="shared" si="13"/>
        <v>1</v>
      </c>
      <c r="K363" s="142">
        <f t="shared" si="14"/>
        <v>0</v>
      </c>
      <c r="L363" s="139">
        <f>Assumptions!$C$6*Assumptions!$C$7*(1+$G363-0.05*(1-1))^1+Assumptions!$C$6*Assumptions!$C$8*(1+Assumptions!$C$11)^1+Assumptions!$C$16*1+Assumptions!$C$6*Assumptions!$C$9*(1+Assumptions!$C$12)^1</f>
        <v>743.0046473</v>
      </c>
      <c r="M363" s="139">
        <f>Assumptions!$C$6*Assumptions!$C$7*(1+$G363-0.05*(1-$H363))^2+Assumptions!$C$6*Assumptions!$C$8*(1+Assumptions!$C$11)^2+Assumptions!$C$16*$H363+Assumptions!$C$6*Assumptions!$C$9*(1+Assumptions!$C$12)^2</f>
        <v>766.9510751</v>
      </c>
      <c r="N363" s="139">
        <f>Assumptions!$C$6*Assumptions!$C$7*(1+$G363-0.05*(1-$I363))^3+Assumptions!$C$6*Assumptions!$C$8*(1+Assumptions!$C$11)^3+Assumptions!$C$16*$I363+Assumptions!$C$6*Assumptions!$C$9*(1+Assumptions!$C$12)^3</f>
        <v>791.8817834</v>
      </c>
      <c r="O363" s="139">
        <f>Assumptions!$C$6*Assumptions!$C$7*(1+$G363-0.05*(1-$J363))^4+Assumptions!$C$6*Assumptions!$C$8*(1+Assumptions!$C$11)^4+Assumptions!$C$16*$J363+Assumptions!$C$6*Assumptions!$C$9*(1+Assumptions!$C$12)^4</f>
        <v>817.8412851</v>
      </c>
      <c r="P363" s="139">
        <f>Assumptions!$C$6*Assumptions!$C$7*(1+$G363-0.05*(1-$K363))^5+Assumptions!$C$6*Assumptions!$C$8*(1+Assumptions!$C$11)^5+Assumptions!$C$16*$K363+Assumptions!$C$6*Assumptions!$C$9*(1+Assumptions!$C$12)^5</f>
        <v>692.1955229</v>
      </c>
      <c r="Q363" s="139">
        <f>($L363*(1-(Assumptions!$C$25+0.06*(1-1))-Assumptions!$C$27)-Assumptions!$C$28)-MAX(0,($L363*(1-(Assumptions!$C$25+0.06*(1-1))-Assumptions!$C$27)-Assumptions!$C$28)*Assumptions!$C$31)+Assumptions!$C$28-Assumptions!$C$29-$L363*Assumptions!$C$30</f>
        <v>92.24599918</v>
      </c>
      <c r="R363" s="139">
        <f>($M363*(1-(Assumptions!$C$25+0.06*(1-$H363))-Assumptions!$C$27)-Assumptions!$C$28)-MAX(0,($M363*(1-(Assumptions!$C$25+0.06*(1-$H363))-Assumptions!$C$27)-Assumptions!$C$28)*Assumptions!$C$31)+Assumptions!$C$28-Assumptions!$C$29-$M363*Assumptions!$C$30</f>
        <v>97.39448114</v>
      </c>
      <c r="S363" s="139">
        <f>($N363*(1-(Assumptions!$C$25+0.06*(1-$I363))-Assumptions!$C$27)-Assumptions!$C$28)-MAX(0,($N363*(1-(Assumptions!$C$25+0.06*(1-$I363))-Assumptions!$C$27)-Assumptions!$C$28)*Assumptions!$C$31)+Assumptions!$C$28-Assumptions!$C$29-$N363*Assumptions!$C$30</f>
        <v>102.7545834</v>
      </c>
      <c r="T363" s="139">
        <f>($O363*(1-(Assumptions!$C$25+0.06*(1-$J363))-Assumptions!$C$27)-Assumptions!$C$28)-MAX(0,($O363*(1-(Assumptions!$C$25+0.06*(1-$J363))-Assumptions!$C$27)-Assumptions!$C$28)*Assumptions!$C$31)+Assumptions!$C$28-Assumptions!$C$29-$O363*Assumptions!$C$30</f>
        <v>108.3358763</v>
      </c>
      <c r="U363" s="139">
        <f>($P363*(1-(Assumptions!$C$25+0.06*(1-$K363))-Assumptions!$C$27)-Assumptions!$C$28)-MAX(0,($P363*(1-(Assumptions!$C$25+0.06*(1-$K363))-Assumptions!$C$27)-Assumptions!$C$28)*Assumptions!$C$31)+Assumptions!$C$28-Assumptions!$C$29-$P363*Assumptions!$C$30</f>
        <v>39.20497026</v>
      </c>
      <c r="V363" s="143">
        <f>(($Q363/(1+$D363)^1+$R363/(1+$D363)^2+$S363/(1+$D363)^3+$T363/(1+$D363)^4+$U363/(1+$D363)^5+$U363*(1+$E363)/($D363-$E363)/(1+$D363)^5)-Assumptions!$C$37)/Assumptions!$C$40/Assumptions!$C$38</f>
        <v>-0.3367290663</v>
      </c>
    </row>
    <row r="364" ht="12.0" customHeight="1">
      <c r="B364" s="139">
        <v>312.0</v>
      </c>
      <c r="C364" s="140">
        <f t="shared" si="6"/>
        <v>0.388656908</v>
      </c>
      <c r="D364" s="141">
        <f t="shared" si="7"/>
        <v>0.09648072694</v>
      </c>
      <c r="E364" s="141">
        <f t="shared" si="8"/>
        <v>0.01201723858</v>
      </c>
      <c r="F364" s="140">
        <f t="shared" si="9"/>
        <v>0.4838454103</v>
      </c>
      <c r="G364" s="141">
        <f t="shared" si="10"/>
        <v>0.0595113832</v>
      </c>
      <c r="H364" s="142">
        <f t="shared" si="11"/>
        <v>1</v>
      </c>
      <c r="I364" s="142">
        <f t="shared" si="12"/>
        <v>0</v>
      </c>
      <c r="J364" s="142">
        <f t="shared" si="13"/>
        <v>1</v>
      </c>
      <c r="K364" s="142">
        <f t="shared" si="14"/>
        <v>0</v>
      </c>
      <c r="L364" s="139">
        <f>Assumptions!$C$6*Assumptions!$C$7*(1+$G364-0.05*(1-1))^1+Assumptions!$C$6*Assumptions!$C$8*(1+Assumptions!$C$11)^1+Assumptions!$C$16*1+Assumptions!$C$6*Assumptions!$C$9*(1+Assumptions!$C$12)^1</f>
        <v>746.4995316</v>
      </c>
      <c r="M364" s="139">
        <f>Assumptions!$C$6*Assumptions!$C$7*(1+$G364-0.05*(1-$H364))^2+Assumptions!$C$6*Assumptions!$C$8*(1+Assumptions!$C$11)^2+Assumptions!$C$16*$H364+Assumptions!$C$6*Assumptions!$C$9*(1+Assumptions!$C$12)^2</f>
        <v>774.3205273</v>
      </c>
      <c r="N364" s="139">
        <f>Assumptions!$C$6*Assumptions!$C$7*(1+$G364-0.05*(1-$I364))^3+Assumptions!$C$6*Assumptions!$C$8*(1+Assumptions!$C$11)^3+Assumptions!$C$16*$I364+Assumptions!$C$6*Assumptions!$C$9*(1+Assumptions!$C$12)^3</f>
        <v>689.4909046</v>
      </c>
      <c r="O364" s="139">
        <f>Assumptions!$C$6*Assumptions!$C$7*(1+$G364-0.05*(1-$J364))^4+Assumptions!$C$6*Assumptions!$C$8*(1+Assumptions!$C$11)^4+Assumptions!$C$16*$J364+Assumptions!$C$6*Assumptions!$C$9*(1+Assumptions!$C$12)^4</f>
        <v>834.2253088</v>
      </c>
      <c r="P364" s="139">
        <f>Assumptions!$C$6*Assumptions!$C$7*(1+$G364-0.05*(1-$K364))^5+Assumptions!$C$6*Assumptions!$C$8*(1+Assumptions!$C$11)^5+Assumptions!$C$16*$K364+Assumptions!$C$6*Assumptions!$C$9*(1+Assumptions!$C$12)^5</f>
        <v>709.9748097</v>
      </c>
      <c r="Q364" s="139">
        <f>($L364*(1-(Assumptions!$C$25+0.06*(1-1))-Assumptions!$C$27)-Assumptions!$C$28)-MAX(0,($L364*(1-(Assumptions!$C$25+0.06*(1-1))-Assumptions!$C$27)-Assumptions!$C$28)*Assumptions!$C$31)+Assumptions!$C$28-Assumptions!$C$29-$L364*Assumptions!$C$30</f>
        <v>92.99739929</v>
      </c>
      <c r="R364" s="139">
        <f>($M364*(1-(Assumptions!$C$25+0.06*(1-$H364))-Assumptions!$C$27)-Assumptions!$C$28)-MAX(0,($M364*(1-(Assumptions!$C$25+0.06*(1-$H364))-Assumptions!$C$27)-Assumptions!$C$28)*Assumptions!$C$31)+Assumptions!$C$28-Assumptions!$C$29-$M364*Assumptions!$C$30</f>
        <v>98.97891337</v>
      </c>
      <c r="S364" s="139">
        <f>($N364*(1-(Assumptions!$C$25+0.06*(1-$I364))-Assumptions!$C$27)-Assumptions!$C$28)-MAX(0,($N364*(1-(Assumptions!$C$25+0.06*(1-$I364))-Assumptions!$C$27)-Assumptions!$C$28)*Assumptions!$C$31)+Assumptions!$C$28-Assumptions!$C$29-$N364*Assumptions!$C$30</f>
        <v>38.58290805</v>
      </c>
      <c r="T364" s="139">
        <f>($O364*(1-(Assumptions!$C$25+0.06*(1-$J364))-Assumptions!$C$27)-Assumptions!$C$28)-MAX(0,($O364*(1-(Assumptions!$C$25+0.06*(1-$J364))-Assumptions!$C$27)-Assumptions!$C$28)*Assumptions!$C$31)+Assumptions!$C$28-Assumptions!$C$29-$O364*Assumptions!$C$30</f>
        <v>111.8584414</v>
      </c>
      <c r="U364" s="139">
        <f>($P364*(1-(Assumptions!$C$25+0.06*(1-$K364))-Assumptions!$C$27)-Assumptions!$C$28)-MAX(0,($P364*(1-(Assumptions!$C$25+0.06*(1-$K364))-Assumptions!$C$27)-Assumptions!$C$28)*Assumptions!$C$31)+Assumptions!$C$28-Assumptions!$C$29-$P364*Assumptions!$C$30</f>
        <v>43.29420624</v>
      </c>
      <c r="V364" s="143">
        <f>(($Q364/(1+$D364)^1+$R364/(1+$D364)^2+$S364/(1+$D364)^3+$T364/(1+$D364)^4+$U364/(1+$D364)^5+$U364*(1+$E364)/($D364-$E364)/(1+$D364)^5)-Assumptions!$C$37)/Assumptions!$C$40/Assumptions!$C$38</f>
        <v>-0.4939113499</v>
      </c>
    </row>
    <row r="365" ht="12.0" customHeight="1">
      <c r="B365" s="139">
        <v>313.0</v>
      </c>
      <c r="C365" s="140">
        <f t="shared" si="6"/>
        <v>0.6558274165</v>
      </c>
      <c r="D365" s="141">
        <f t="shared" si="7"/>
        <v>0.1011046476</v>
      </c>
      <c r="E365" s="141">
        <f t="shared" si="8"/>
        <v>0.01224143191</v>
      </c>
      <c r="F365" s="140">
        <f t="shared" si="9"/>
        <v>0.2161220042</v>
      </c>
      <c r="G365" s="141">
        <f t="shared" si="10"/>
        <v>0.04972357999</v>
      </c>
      <c r="H365" s="142">
        <f t="shared" si="11"/>
        <v>1</v>
      </c>
      <c r="I365" s="142">
        <f t="shared" si="12"/>
        <v>1</v>
      </c>
      <c r="J365" s="142">
        <f t="shared" si="13"/>
        <v>1</v>
      </c>
      <c r="K365" s="142">
        <f t="shared" si="14"/>
        <v>0</v>
      </c>
      <c r="L365" s="139">
        <f>Assumptions!$C$6*Assumptions!$C$7*(1+$G365-0.05*(1-1))^1+Assumptions!$C$6*Assumptions!$C$8*(1+Assumptions!$C$11)^1+Assumptions!$C$16*1+Assumptions!$C$6*Assumptions!$C$9*(1+Assumptions!$C$12)^1</f>
        <v>743.204957</v>
      </c>
      <c r="M365" s="139">
        <f>Assumptions!$C$6*Assumptions!$C$7*(1+$G365-0.05*(1-$H365))^2+Assumptions!$C$6*Assumptions!$C$8*(1+Assumptions!$C$11)^2+Assumptions!$C$16*$H365+Assumptions!$C$6*Assumptions!$C$9*(1+Assumptions!$C$12)^2</f>
        <v>767.3714955</v>
      </c>
      <c r="N365" s="139">
        <f>Assumptions!$C$6*Assumptions!$C$7*(1+$G365-0.05*(1-$I365))^3+Assumptions!$C$6*Assumptions!$C$8*(1+Assumptions!$C$11)^3+Assumptions!$C$16*$I365+Assumptions!$C$6*Assumptions!$C$9*(1+Assumptions!$C$12)^3</f>
        <v>792.5435836</v>
      </c>
      <c r="O365" s="139">
        <f>Assumptions!$C$6*Assumptions!$C$7*(1+$G365-0.05*(1-$J365))^4+Assumptions!$C$6*Assumptions!$C$8*(1+Assumptions!$C$11)^4+Assumptions!$C$16*$J365+Assumptions!$C$6*Assumptions!$C$9*(1+Assumptions!$C$12)^4</f>
        <v>818.7672989</v>
      </c>
      <c r="P365" s="139">
        <f>Assumptions!$C$6*Assumptions!$C$7*(1+$G365-0.05*(1-$K365))^5+Assumptions!$C$6*Assumptions!$C$8*(1+Assumptions!$C$11)^5+Assumptions!$C$16*$K365+Assumptions!$C$6*Assumptions!$C$9*(1+Assumptions!$C$12)^5</f>
        <v>693.194774</v>
      </c>
      <c r="Q365" s="139">
        <f>($L365*(1-(Assumptions!$C$25+0.06*(1-1))-Assumptions!$C$27)-Assumptions!$C$28)-MAX(0,($L365*(1-(Assumptions!$C$25+0.06*(1-1))-Assumptions!$C$27)-Assumptions!$C$28)*Assumptions!$C$31)+Assumptions!$C$28-Assumptions!$C$29-$L365*Assumptions!$C$30</f>
        <v>92.28906576</v>
      </c>
      <c r="R365" s="139">
        <f>($M365*(1-(Assumptions!$C$25+0.06*(1-$H365))-Assumptions!$C$27)-Assumptions!$C$28)-MAX(0,($M365*(1-(Assumptions!$C$25+0.06*(1-$H365))-Assumptions!$C$27)-Assumptions!$C$28)*Assumptions!$C$31)+Assumptions!$C$28-Assumptions!$C$29-$M365*Assumptions!$C$30</f>
        <v>97.48487153</v>
      </c>
      <c r="S365" s="139">
        <f>($N365*(1-(Assumptions!$C$25+0.06*(1-$I365))-Assumptions!$C$27)-Assumptions!$C$28)-MAX(0,($N365*(1-(Assumptions!$C$25+0.06*(1-$I365))-Assumptions!$C$27)-Assumptions!$C$28)*Assumptions!$C$31)+Assumptions!$C$28-Assumptions!$C$29-$N365*Assumptions!$C$30</f>
        <v>102.8968705</v>
      </c>
      <c r="T365" s="139">
        <f>($O365*(1-(Assumptions!$C$25+0.06*(1-$J365))-Assumptions!$C$27)-Assumptions!$C$28)-MAX(0,($O365*(1-(Assumptions!$C$25+0.06*(1-$J365))-Assumptions!$C$27)-Assumptions!$C$28)*Assumptions!$C$31)+Assumptions!$C$28-Assumptions!$C$29-$O365*Assumptions!$C$30</f>
        <v>108.5349693</v>
      </c>
      <c r="U365" s="139">
        <f>($P365*(1-(Assumptions!$C$25+0.06*(1-$K365))-Assumptions!$C$27)-Assumptions!$C$28)-MAX(0,($P365*(1-(Assumptions!$C$25+0.06*(1-$K365))-Assumptions!$C$27)-Assumptions!$C$28)*Assumptions!$C$31)+Assumptions!$C$28-Assumptions!$C$29-$P365*Assumptions!$C$30</f>
        <v>39.43479802</v>
      </c>
      <c r="V365" s="143">
        <f>(($Q365/(1+$D365)^1+$R365/(1+$D365)^2+$S365/(1+$D365)^3+$T365/(1+$D365)^4+$U365/(1+$D365)^5+$U365*(1+$E365)/($D365-$E365)/(1+$D365)^5)-Assumptions!$C$37)/Assumptions!$C$40/Assumptions!$C$38</f>
        <v>-0.5828398013</v>
      </c>
    </row>
    <row r="366" ht="12.0" customHeight="1">
      <c r="B366" s="139">
        <v>314.0</v>
      </c>
      <c r="C366" s="140">
        <f t="shared" si="6"/>
        <v>0.2649109277</v>
      </c>
      <c r="D366" s="141">
        <f t="shared" si="7"/>
        <v>0.09447653969</v>
      </c>
      <c r="E366" s="141">
        <f t="shared" si="8"/>
        <v>0.01046461544</v>
      </c>
      <c r="F366" s="140">
        <f t="shared" si="9"/>
        <v>0.05643881688</v>
      </c>
      <c r="G366" s="141">
        <f t="shared" si="10"/>
        <v>0.04007918005</v>
      </c>
      <c r="H366" s="142">
        <f t="shared" si="11"/>
        <v>1</v>
      </c>
      <c r="I366" s="142">
        <f t="shared" si="12"/>
        <v>0</v>
      </c>
      <c r="J366" s="142">
        <f t="shared" si="13"/>
        <v>1</v>
      </c>
      <c r="K366" s="142">
        <f t="shared" si="14"/>
        <v>1</v>
      </c>
      <c r="L366" s="139">
        <f>Assumptions!$C$6*Assumptions!$C$7*(1+$G366-0.05*(1-1))^1+Assumptions!$C$6*Assumptions!$C$8*(1+Assumptions!$C$11)^1+Assumptions!$C$16*1+Assumptions!$C$6*Assumptions!$C$9*(1+Assumptions!$C$12)^1</f>
        <v>739.958652</v>
      </c>
      <c r="M366" s="139">
        <f>Assumptions!$C$6*Assumptions!$C$7*(1+$G366-0.05*(1-$H366))^2+Assumptions!$C$6*Assumptions!$C$8*(1+Assumptions!$C$11)^2+Assumptions!$C$16*$H366+Assumptions!$C$6*Assumptions!$C$9*(1+Assumptions!$C$12)^2</f>
        <v>760.5873583</v>
      </c>
      <c r="N366" s="139">
        <f>Assumptions!$C$6*Assumptions!$C$7*(1+$G366-0.05*(1-$I366))^3+Assumptions!$C$6*Assumptions!$C$8*(1+Assumptions!$C$11)^3+Assumptions!$C$16*$I366+Assumptions!$C$6*Assumptions!$C$9*(1+Assumptions!$C$12)^3</f>
        <v>669.8756818</v>
      </c>
      <c r="O366" s="139">
        <f>Assumptions!$C$6*Assumptions!$C$7*(1+$G366-0.05*(1-$J366))^4+Assumptions!$C$6*Assumptions!$C$8*(1+Assumptions!$C$11)^4+Assumptions!$C$16*$J366+Assumptions!$C$6*Assumptions!$C$9*(1+Assumptions!$C$12)^4</f>
        <v>803.9528851</v>
      </c>
      <c r="P366" s="139">
        <f>Assumptions!$C$6*Assumptions!$C$7*(1+$G366-0.05*(1-$K366))^5+Assumptions!$C$6*Assumptions!$C$8*(1+Assumptions!$C$11)^5+Assumptions!$C$16*$K366+Assumptions!$C$6*Assumptions!$C$9*(1+Assumptions!$C$12)^5</f>
        <v>826.7410178</v>
      </c>
      <c r="Q366" s="139">
        <f>($L366*(1-(Assumptions!$C$25+0.06*(1-1))-Assumptions!$C$27)-Assumptions!$C$28)-MAX(0,($L366*(1-(Assumptions!$C$25+0.06*(1-1))-Assumptions!$C$27)-Assumptions!$C$28)*Assumptions!$C$31)+Assumptions!$C$28-Assumptions!$C$29-$L366*Assumptions!$C$30</f>
        <v>91.59111018</v>
      </c>
      <c r="R366" s="139">
        <f>($M366*(1-(Assumptions!$C$25+0.06*(1-$H366))-Assumptions!$C$27)-Assumptions!$C$28)-MAX(0,($M366*(1-(Assumptions!$C$25+0.06*(1-$H366))-Assumptions!$C$27)-Assumptions!$C$28)*Assumptions!$C$31)+Assumptions!$C$28-Assumptions!$C$29-$M366*Assumptions!$C$30</f>
        <v>96.02628203</v>
      </c>
      <c r="S366" s="139">
        <f>($N366*(1-(Assumptions!$C$25+0.06*(1-$I366))-Assumptions!$C$27)-Assumptions!$C$28)-MAX(0,($N366*(1-(Assumptions!$C$25+0.06*(1-$I366))-Assumptions!$C$27)-Assumptions!$C$28)*Assumptions!$C$31)+Assumptions!$C$28-Assumptions!$C$29-$N366*Assumptions!$C$30</f>
        <v>34.0714068</v>
      </c>
      <c r="T366" s="139">
        <f>($O366*(1-(Assumptions!$C$25+0.06*(1-$J366))-Assumptions!$C$27)-Assumptions!$C$28)-MAX(0,($O366*(1-(Assumptions!$C$25+0.06*(1-$J366))-Assumptions!$C$27)-Assumptions!$C$28)*Assumptions!$C$31)+Assumptions!$C$28-Assumptions!$C$29-$O366*Assumptions!$C$30</f>
        <v>105.3498703</v>
      </c>
      <c r="U366" s="139">
        <f>($P366*(1-(Assumptions!$C$25+0.06*(1-$K366))-Assumptions!$C$27)-Assumptions!$C$28)-MAX(0,($P366*(1-(Assumptions!$C$25+0.06*(1-$K366))-Assumptions!$C$27)-Assumptions!$C$28)*Assumptions!$C$31)+Assumptions!$C$28-Assumptions!$C$29-$P366*Assumptions!$C$30</f>
        <v>110.2493188</v>
      </c>
      <c r="V366" s="143">
        <f>(($Q366/(1+$D366)^1+$R366/(1+$D366)^2+$S366/(1+$D366)^3+$T366/(1+$D366)^4+$U366/(1+$D366)^5+$U366*(1+$E366)/($D366-$E366)/(1+$D366)^5)-Assumptions!$C$37)/Assumptions!$C$40/Assumptions!$C$38</f>
        <v>3.793576225</v>
      </c>
    </row>
    <row r="367" ht="12.0" customHeight="1">
      <c r="B367" s="139">
        <v>315.0</v>
      </c>
      <c r="C367" s="140">
        <f t="shared" si="6"/>
        <v>0.6032914131</v>
      </c>
      <c r="D367" s="141">
        <f t="shared" si="7"/>
        <v>0.1000817723</v>
      </c>
      <c r="E367" s="141">
        <f t="shared" si="8"/>
        <v>0.0261196157</v>
      </c>
      <c r="F367" s="140">
        <f t="shared" si="9"/>
        <v>0.5995462868</v>
      </c>
      <c r="G367" s="141">
        <f t="shared" si="10"/>
        <v>0.06315197058</v>
      </c>
      <c r="H367" s="142">
        <f t="shared" si="11"/>
        <v>1</v>
      </c>
      <c r="I367" s="142">
        <f t="shared" si="12"/>
        <v>1</v>
      </c>
      <c r="J367" s="142">
        <f t="shared" si="13"/>
        <v>1</v>
      </c>
      <c r="K367" s="142">
        <f t="shared" si="14"/>
        <v>0</v>
      </c>
      <c r="L367" s="139">
        <f>Assumptions!$C$6*Assumptions!$C$7*(1+$G367-0.05*(1-1))^1+Assumptions!$C$6*Assumptions!$C$8*(1+Assumptions!$C$11)^1+Assumptions!$C$16*1+Assumptions!$C$6*Assumptions!$C$9*(1+Assumptions!$C$12)^1</f>
        <v>747.7249533</v>
      </c>
      <c r="M367" s="139">
        <f>Assumptions!$C$6*Assumptions!$C$7*(1+$G367-0.05*(1-$H367))^2+Assumptions!$C$6*Assumptions!$C$8*(1+Assumptions!$C$11)^2+Assumptions!$C$16*$H367+Assumptions!$C$6*Assumptions!$C$9*(1+Assumptions!$C$12)^2</f>
        <v>776.9216851</v>
      </c>
      <c r="N367" s="139">
        <f>Assumptions!$C$6*Assumptions!$C$7*(1+$G367-0.05*(1-$I367))^3+Assumptions!$C$6*Assumptions!$C$8*(1+Assumptions!$C$11)^3+Assumptions!$C$16*$I367+Assumptions!$C$6*Assumptions!$C$9*(1+Assumptions!$C$12)^3</f>
        <v>807.6775589</v>
      </c>
      <c r="O367" s="139">
        <f>Assumptions!$C$6*Assumptions!$C$7*(1+$G367-0.05*(1-$J367))^4+Assumptions!$C$6*Assumptions!$C$8*(1+Assumptions!$C$11)^4+Assumptions!$C$16*$J367+Assumptions!$C$6*Assumptions!$C$9*(1+Assumptions!$C$12)^4</f>
        <v>840.085344</v>
      </c>
      <c r="P367" s="139">
        <f>Assumptions!$C$6*Assumptions!$C$7*(1+$G367-0.05*(1-$K367))^5+Assumptions!$C$6*Assumptions!$C$8*(1+Assumptions!$C$11)^5+Assumptions!$C$16*$K367+Assumptions!$C$6*Assumptions!$C$9*(1+Assumptions!$C$12)^5</f>
        <v>716.3844378</v>
      </c>
      <c r="Q367" s="139">
        <f>($L367*(1-(Assumptions!$C$25+0.06*(1-1))-Assumptions!$C$27)-Assumptions!$C$28)-MAX(0,($L367*(1-(Assumptions!$C$25+0.06*(1-1))-Assumptions!$C$27)-Assumptions!$C$28)*Assumptions!$C$31)+Assumptions!$C$28-Assumptions!$C$29-$L367*Assumptions!$C$30</f>
        <v>93.26086496</v>
      </c>
      <c r="R367" s="139">
        <f>($M367*(1-(Assumptions!$C$25+0.06*(1-$H367))-Assumptions!$C$27)-Assumptions!$C$28)-MAX(0,($M367*(1-(Assumptions!$C$25+0.06*(1-$H367))-Assumptions!$C$27)-Assumptions!$C$28)*Assumptions!$C$31)+Assumptions!$C$28-Assumptions!$C$29-$M367*Assumptions!$C$30</f>
        <v>99.53816229</v>
      </c>
      <c r="S367" s="139">
        <f>($N367*(1-(Assumptions!$C$25+0.06*(1-$I367))-Assumptions!$C$27)-Assumptions!$C$28)-MAX(0,($N367*(1-(Assumptions!$C$25+0.06*(1-$I367))-Assumptions!$C$27)-Assumptions!$C$28)*Assumptions!$C$31)+Assumptions!$C$28-Assumptions!$C$29-$N367*Assumptions!$C$30</f>
        <v>106.1506752</v>
      </c>
      <c r="T367" s="139">
        <f>($O367*(1-(Assumptions!$C$25+0.06*(1-$J367))-Assumptions!$C$27)-Assumptions!$C$28)-MAX(0,($O367*(1-(Assumptions!$C$25+0.06*(1-$J367))-Assumptions!$C$27)-Assumptions!$C$28)*Assumptions!$C$31)+Assumptions!$C$28-Assumptions!$C$29-$O367*Assumptions!$C$30</f>
        <v>113.118349</v>
      </c>
      <c r="U367" s="139">
        <f>($P367*(1-(Assumptions!$C$25+0.06*(1-$K367))-Assumptions!$C$27)-Assumptions!$C$28)-MAX(0,($P367*(1-(Assumptions!$C$25+0.06*(1-$K367))-Assumptions!$C$27)-Assumptions!$C$28)*Assumptions!$C$31)+Assumptions!$C$28-Assumptions!$C$29-$P367*Assumptions!$C$30</f>
        <v>44.7684207</v>
      </c>
      <c r="V367" s="143">
        <f>(($Q367/(1+$D367)^1+$R367/(1+$D367)^2+$S367/(1+$D367)^3+$T367/(1+$D367)^4+$U367/(1+$D367)^5+$U367*(1+$E367)/($D367-$E367)/(1+$D367)^5)-Assumptions!$C$37)/Assumptions!$C$40/Assumptions!$C$38</f>
        <v>0.3558394576</v>
      </c>
    </row>
    <row r="368" ht="12.0" customHeight="1">
      <c r="B368" s="139">
        <v>316.0</v>
      </c>
      <c r="C368" s="140">
        <f t="shared" si="6"/>
        <v>0.08771009084</v>
      </c>
      <c r="D368" s="141">
        <f t="shared" si="7"/>
        <v>0.09045286354</v>
      </c>
      <c r="E368" s="141">
        <f t="shared" si="8"/>
        <v>0.02125716715</v>
      </c>
      <c r="F368" s="140">
        <f t="shared" si="9"/>
        <v>0.5448564582</v>
      </c>
      <c r="G368" s="141">
        <f t="shared" si="10"/>
        <v>0.06137731013</v>
      </c>
      <c r="H368" s="142">
        <f t="shared" si="11"/>
        <v>0</v>
      </c>
      <c r="I368" s="142">
        <f t="shared" si="12"/>
        <v>1</v>
      </c>
      <c r="J368" s="142">
        <f t="shared" si="13"/>
        <v>1</v>
      </c>
      <c r="K368" s="142">
        <f t="shared" si="14"/>
        <v>1</v>
      </c>
      <c r="L368" s="139">
        <f>Assumptions!$C$6*Assumptions!$C$7*(1+$G368-0.05*(1-1))^1+Assumptions!$C$6*Assumptions!$C$8*(1+Assumptions!$C$11)^1+Assumptions!$C$16*1+Assumptions!$C$6*Assumptions!$C$9*(1+Assumptions!$C$12)^1</f>
        <v>747.1276026</v>
      </c>
      <c r="M368" s="139">
        <f>Assumptions!$C$6*Assumptions!$C$7*(1+$G368-0.05*(1-$H368))^2+Assumptions!$C$6*Assumptions!$C$8*(1+Assumptions!$C$11)^2+Assumptions!$C$16*$H368+Assumptions!$C$6*Assumptions!$C$9*(1+Assumptions!$C$12)^2</f>
        <v>680.7681358</v>
      </c>
      <c r="N368" s="139">
        <f>Assumptions!$C$6*Assumptions!$C$7*(1+$G368-0.05*(1-$I368))^3+Assumptions!$C$6*Assumptions!$C$8*(1+Assumptions!$C$11)^3+Assumptions!$C$16*$I368+Assumptions!$C$6*Assumptions!$C$9*(1+Assumptions!$C$12)^3</f>
        <v>805.6553958</v>
      </c>
      <c r="O368" s="139">
        <f>Assumptions!$C$6*Assumptions!$C$7*(1+$G368-0.05*(1-$J368))^4+Assumptions!$C$6*Assumptions!$C$8*(1+Assumptions!$C$11)^4+Assumptions!$C$16*$J368+Assumptions!$C$6*Assumptions!$C$9*(1+Assumptions!$C$12)^4</f>
        <v>837.2212461</v>
      </c>
      <c r="P368" s="139">
        <f>Assumptions!$C$6*Assumptions!$C$7*(1+$G368-0.05*(1-$K368))^5+Assumptions!$C$6*Assumptions!$C$8*(1+Assumptions!$C$11)^5+Assumptions!$C$16*$K368+Assumptions!$C$6*Assumptions!$C$9*(1+Assumptions!$C$12)^5</f>
        <v>870.4405139</v>
      </c>
      <c r="Q368" s="139">
        <f>($L368*(1-(Assumptions!$C$25+0.06*(1-1))-Assumptions!$C$27)-Assumptions!$C$28)-MAX(0,($L368*(1-(Assumptions!$C$25+0.06*(1-1))-Assumptions!$C$27)-Assumptions!$C$28)*Assumptions!$C$31)+Assumptions!$C$28-Assumptions!$C$29-$L368*Assumptions!$C$30</f>
        <v>93.13243456</v>
      </c>
      <c r="R368" s="139">
        <f>($M368*(1-(Assumptions!$C$25+0.06*(1-$H368))-Assumptions!$C$27)-Assumptions!$C$28)-MAX(0,($M368*(1-(Assumptions!$C$25+0.06*(1-$H368))-Assumptions!$C$27)-Assumptions!$C$28)*Assumptions!$C$31)+Assumptions!$C$28-Assumptions!$C$29-$M368*Assumptions!$C$30</f>
        <v>36.57667122</v>
      </c>
      <c r="S368" s="139">
        <f>($N368*(1-(Assumptions!$C$25+0.06*(1-$I368))-Assumptions!$C$27)-Assumptions!$C$28)-MAX(0,($N368*(1-(Assumptions!$C$25+0.06*(1-$I368))-Assumptions!$C$27)-Assumptions!$C$28)*Assumptions!$C$31)+Assumptions!$C$28-Assumptions!$C$29-$N368*Assumptions!$C$30</f>
        <v>105.7159101</v>
      </c>
      <c r="T368" s="139">
        <f>($O368*(1-(Assumptions!$C$25+0.06*(1-$J368))-Assumptions!$C$27)-Assumptions!$C$28)-MAX(0,($O368*(1-(Assumptions!$C$25+0.06*(1-$J368))-Assumptions!$C$27)-Assumptions!$C$28)*Assumptions!$C$31)+Assumptions!$C$28-Assumptions!$C$29-$O368*Assumptions!$C$30</f>
        <v>112.5025679</v>
      </c>
      <c r="U368" s="139">
        <f>($P368*(1-(Assumptions!$C$25+0.06*(1-$K368))-Assumptions!$C$27)-Assumptions!$C$28)-MAX(0,($P368*(1-(Assumptions!$C$25+0.06*(1-$K368))-Assumptions!$C$27)-Assumptions!$C$28)*Assumptions!$C$31)+Assumptions!$C$28-Assumptions!$C$29-$P368*Assumptions!$C$30</f>
        <v>119.6447105</v>
      </c>
      <c r="V368" s="143">
        <f>(($Q368/(1+$D368)^1+$R368/(1+$D368)^2+$S368/(1+$D368)^3+$T368/(1+$D368)^4+$U368/(1+$D368)^5+$U368*(1+$E368)/($D368-$E368)/(1+$D368)^5)-Assumptions!$C$37)/Assumptions!$C$40/Assumptions!$C$38</f>
        <v>6.309142912</v>
      </c>
    </row>
    <row r="369" ht="12.0" customHeight="1">
      <c r="B369" s="139">
        <v>317.0</v>
      </c>
      <c r="C369" s="140">
        <f t="shared" si="6"/>
        <v>0.1109720357</v>
      </c>
      <c r="D369" s="141">
        <f t="shared" si="7"/>
        <v>0.09113347537</v>
      </c>
      <c r="E369" s="141">
        <f t="shared" si="8"/>
        <v>0.01965574133</v>
      </c>
      <c r="F369" s="140">
        <f t="shared" si="9"/>
        <v>0.8696532942</v>
      </c>
      <c r="G369" s="141">
        <f t="shared" si="10"/>
        <v>0.07468255666</v>
      </c>
      <c r="H369" s="142">
        <f t="shared" si="11"/>
        <v>1</v>
      </c>
      <c r="I369" s="142">
        <f t="shared" si="12"/>
        <v>0</v>
      </c>
      <c r="J369" s="142">
        <f t="shared" si="13"/>
        <v>1</v>
      </c>
      <c r="K369" s="142">
        <f t="shared" si="14"/>
        <v>1</v>
      </c>
      <c r="L369" s="139">
        <f>Assumptions!$C$6*Assumptions!$C$7*(1+$G369-0.05*(1-1))^1+Assumptions!$C$6*Assumptions!$C$8*(1+Assumptions!$C$11)^1+Assumptions!$C$16*1+Assumptions!$C$6*Assumptions!$C$9*(1+Assumptions!$C$12)^1</f>
        <v>751.6061486</v>
      </c>
      <c r="M369" s="139">
        <f>Assumptions!$C$6*Assumptions!$C$7*(1+$G369-0.05*(1-$H369))^2+Assumptions!$C$6*Assumptions!$C$8*(1+Assumptions!$C$11)^2+Assumptions!$C$16*$H369+Assumptions!$C$6*Assumptions!$C$9*(1+Assumptions!$C$12)^2</f>
        <v>785.2190383</v>
      </c>
      <c r="N369" s="139">
        <f>Assumptions!$C$6*Assumptions!$C$7*(1+$G369-0.05*(1-$I369))^3+Assumptions!$C$6*Assumptions!$C$8*(1+Assumptions!$C$11)^3+Assumptions!$C$16*$I369+Assumptions!$C$6*Assumptions!$C$9*(1+Assumptions!$C$12)^3</f>
        <v>705.3393735</v>
      </c>
      <c r="O369" s="139">
        <f>Assumptions!$C$6*Assumptions!$C$7*(1+$G369-0.05*(1-$J369))^4+Assumptions!$C$6*Assumptions!$C$8*(1+Assumptions!$C$11)^4+Assumptions!$C$16*$J369+Assumptions!$C$6*Assumptions!$C$9*(1+Assumptions!$C$12)^4</f>
        <v>859.0467436</v>
      </c>
      <c r="P369" s="139">
        <f>Assumptions!$C$6*Assumptions!$C$7*(1+$G369-0.05*(1-$K369))^5+Assumptions!$C$6*Assumptions!$C$8*(1+Assumptions!$C$11)^5+Assumptions!$C$16*$K369+Assumptions!$C$6*Assumptions!$C$9*(1+Assumptions!$C$12)^5</f>
        <v>899.5795003</v>
      </c>
      <c r="Q369" s="139">
        <f>($L369*(1-(Assumptions!$C$25+0.06*(1-1))-Assumptions!$C$27)-Assumptions!$C$28)-MAX(0,($L369*(1-(Assumptions!$C$25+0.06*(1-1))-Assumptions!$C$27)-Assumptions!$C$28)*Assumptions!$C$31)+Assumptions!$C$28-Assumptions!$C$29-$L369*Assumptions!$C$30</f>
        <v>94.09532194</v>
      </c>
      <c r="R369" s="139">
        <f>($M369*(1-(Assumptions!$C$25+0.06*(1-$H369))-Assumptions!$C$27)-Assumptions!$C$28)-MAX(0,($M369*(1-(Assumptions!$C$25+0.06*(1-$H369))-Assumptions!$C$27)-Assumptions!$C$28)*Assumptions!$C$31)+Assumptions!$C$28-Assumptions!$C$29-$M369*Assumptions!$C$30</f>
        <v>101.3220932</v>
      </c>
      <c r="S369" s="139">
        <f>($N369*(1-(Assumptions!$C$25+0.06*(1-$I369))-Assumptions!$C$27)-Assumptions!$C$28)-MAX(0,($N369*(1-(Assumptions!$C$25+0.06*(1-$I369))-Assumptions!$C$27)-Assumptions!$C$28)*Assumptions!$C$31)+Assumptions!$C$28-Assumptions!$C$29-$N369*Assumptions!$C$30</f>
        <v>42.22805591</v>
      </c>
      <c r="T369" s="139">
        <f>($O369*(1-(Assumptions!$C$25+0.06*(1-$J369))-Assumptions!$C$27)-Assumptions!$C$28)-MAX(0,($O369*(1-(Assumptions!$C$25+0.06*(1-$J369))-Assumptions!$C$27)-Assumptions!$C$28)*Assumptions!$C$31)+Assumptions!$C$28-Assumptions!$C$29-$O369*Assumptions!$C$30</f>
        <v>117.1950499</v>
      </c>
      <c r="U369" s="139">
        <f>($P369*(1-(Assumptions!$C$25+0.06*(1-$K369))-Assumptions!$C$27)-Assumptions!$C$28)-MAX(0,($P369*(1-(Assumptions!$C$25+0.06*(1-$K369))-Assumptions!$C$27)-Assumptions!$C$28)*Assumptions!$C$31)+Assumptions!$C$28-Assumptions!$C$29-$P369*Assumptions!$C$30</f>
        <v>125.9095926</v>
      </c>
      <c r="V369" s="143">
        <f>(($Q369/(1+$D369)^1+$R369/(1+$D369)^2+$S369/(1+$D369)^3+$T369/(1+$D369)^4+$U369/(1+$D369)^5+$U369*(1+$E369)/($D369-$E369)/(1+$D369)^5)-Assumptions!$C$37)/Assumptions!$C$40/Assumptions!$C$38</f>
        <v>6.536249651</v>
      </c>
    </row>
    <row r="370" ht="12.0" customHeight="1">
      <c r="B370" s="139">
        <v>318.0</v>
      </c>
      <c r="C370" s="140">
        <f t="shared" si="6"/>
        <v>0.3204835257</v>
      </c>
      <c r="D370" s="141">
        <f t="shared" si="7"/>
        <v>0.09542323919</v>
      </c>
      <c r="E370" s="141">
        <f t="shared" si="8"/>
        <v>0.01898244026</v>
      </c>
      <c r="F370" s="140">
        <f t="shared" si="9"/>
        <v>0.3268913441</v>
      </c>
      <c r="G370" s="141">
        <f t="shared" si="10"/>
        <v>0.05425704886</v>
      </c>
      <c r="H370" s="142">
        <f t="shared" si="11"/>
        <v>0</v>
      </c>
      <c r="I370" s="142">
        <f t="shared" si="12"/>
        <v>1</v>
      </c>
      <c r="J370" s="142">
        <f t="shared" si="13"/>
        <v>1</v>
      </c>
      <c r="K370" s="142">
        <f t="shared" si="14"/>
        <v>1</v>
      </c>
      <c r="L370" s="139">
        <f>Assumptions!$C$6*Assumptions!$C$7*(1+$G370-0.05*(1-1))^1+Assumptions!$C$6*Assumptions!$C$8*(1+Assumptions!$C$11)^1+Assumptions!$C$16*1+Assumptions!$C$6*Assumptions!$C$9*(1+Assumptions!$C$12)^1</f>
        <v>744.7309226</v>
      </c>
      <c r="M370" s="139">
        <f>Assumptions!$C$6*Assumptions!$C$7*(1+$G370-0.05*(1-$H370))^2+Assumptions!$C$6*Assumptions!$C$8*(1+Assumptions!$C$11)^2+Assumptions!$C$16*$H370+Assumptions!$C$6*Assumptions!$C$9*(1+Assumptions!$C$12)^2</f>
        <v>675.9373053</v>
      </c>
      <c r="N370" s="139">
        <f>Assumptions!$C$6*Assumptions!$C$7*(1+$G370-0.05*(1-$I370))^3+Assumptions!$C$6*Assumptions!$C$8*(1+Assumptions!$C$11)^3+Assumptions!$C$16*$I370+Assumptions!$C$6*Assumptions!$C$9*(1+Assumptions!$C$12)^3</f>
        <v>797.6098749</v>
      </c>
      <c r="O370" s="139">
        <f>Assumptions!$C$6*Assumptions!$C$7*(1+$G370-0.05*(1-$J370))^4+Assumptions!$C$6*Assumptions!$C$8*(1+Assumptions!$C$11)^4+Assumptions!$C$16*$J370+Assumptions!$C$6*Assumptions!$C$9*(1+Assumptions!$C$12)^4</f>
        <v>825.8735734</v>
      </c>
      <c r="P370" s="139">
        <f>Assumptions!$C$6*Assumptions!$C$7*(1+$G370-0.05*(1-$K370))^5+Assumptions!$C$6*Assumptions!$C$8*(1+Assumptions!$C$11)^5+Assumptions!$C$16*$K370+Assumptions!$C$6*Assumptions!$C$9*(1+Assumptions!$C$12)^5</f>
        <v>855.4356401</v>
      </c>
      <c r="Q370" s="139">
        <f>($L370*(1-(Assumptions!$C$25+0.06*(1-1))-Assumptions!$C$27)-Assumptions!$C$28)-MAX(0,($L370*(1-(Assumptions!$C$25+0.06*(1-1))-Assumptions!$C$27)-Assumptions!$C$28)*Assumptions!$C$31)+Assumptions!$C$28-Assumptions!$C$29-$L370*Assumptions!$C$30</f>
        <v>92.61714837</v>
      </c>
      <c r="R370" s="139">
        <f>($M370*(1-(Assumptions!$C$25+0.06*(1-$H370))-Assumptions!$C$27)-Assumptions!$C$28)-MAX(0,($M370*(1-(Assumptions!$C$25+0.06*(1-$H370))-Assumptions!$C$27)-Assumptions!$C$28)*Assumptions!$C$31)+Assumptions!$C$28-Assumptions!$C$29-$M370*Assumptions!$C$30</f>
        <v>35.46558022</v>
      </c>
      <c r="S370" s="139">
        <f>($N370*(1-(Assumptions!$C$25+0.06*(1-$I370))-Assumptions!$C$27)-Assumptions!$C$28)-MAX(0,($N370*(1-(Assumptions!$C$25+0.06*(1-$I370))-Assumptions!$C$27)-Assumptions!$C$28)*Assumptions!$C$31)+Assumptions!$C$28-Assumptions!$C$29-$N370*Assumptions!$C$30</f>
        <v>103.9861231</v>
      </c>
      <c r="T370" s="139">
        <f>($O370*(1-(Assumptions!$C$25+0.06*(1-$J370))-Assumptions!$C$27)-Assumptions!$C$28)-MAX(0,($O370*(1-(Assumptions!$C$25+0.06*(1-$J370))-Assumptions!$C$27)-Assumptions!$C$28)*Assumptions!$C$31)+Assumptions!$C$28-Assumptions!$C$29-$O370*Assumptions!$C$30</f>
        <v>110.0628183</v>
      </c>
      <c r="U370" s="139">
        <f>($P370*(1-(Assumptions!$C$25+0.06*(1-$K370))-Assumptions!$C$27)-Assumptions!$C$28)-MAX(0,($P370*(1-(Assumptions!$C$25+0.06*(1-$K370))-Assumptions!$C$27)-Assumptions!$C$28)*Assumptions!$C$31)+Assumptions!$C$28-Assumptions!$C$29-$P370*Assumptions!$C$30</f>
        <v>116.4186626</v>
      </c>
      <c r="V370" s="143">
        <f>(($Q370/(1+$D370)^1+$R370/(1+$D370)^2+$S370/(1+$D370)^3+$T370/(1+$D370)^4+$U370/(1+$D370)^5+$U370*(1+$E370)/($D370-$E370)/(1+$D370)^5)-Assumptions!$C$37)/Assumptions!$C$40/Assumptions!$C$38</f>
        <v>4.960750386</v>
      </c>
    </row>
    <row r="371" ht="12.0" customHeight="1">
      <c r="B371" s="139">
        <v>319.0</v>
      </c>
      <c r="C371" s="140">
        <f t="shared" si="6"/>
        <v>0.352355557</v>
      </c>
      <c r="D371" s="141">
        <f t="shared" si="7"/>
        <v>0.09592925129</v>
      </c>
      <c r="E371" s="141">
        <f t="shared" si="8"/>
        <v>0.01595770252</v>
      </c>
      <c r="F371" s="140">
        <f t="shared" si="9"/>
        <v>0.0334454266</v>
      </c>
      <c r="G371" s="141">
        <f t="shared" si="10"/>
        <v>0.03775897982</v>
      </c>
      <c r="H371" s="142">
        <f t="shared" si="11"/>
        <v>0</v>
      </c>
      <c r="I371" s="142">
        <f t="shared" si="12"/>
        <v>1</v>
      </c>
      <c r="J371" s="142">
        <f t="shared" si="13"/>
        <v>0</v>
      </c>
      <c r="K371" s="142">
        <f t="shared" si="14"/>
        <v>1</v>
      </c>
      <c r="L371" s="139">
        <f>Assumptions!$C$6*Assumptions!$C$7*(1+$G371-0.05*(1-1))^1+Assumptions!$C$6*Assumptions!$C$8*(1+Assumptions!$C$11)^1+Assumptions!$C$16*1+Assumptions!$C$6*Assumptions!$C$9*(1+Assumptions!$C$12)^1</f>
        <v>739.1776726</v>
      </c>
      <c r="M371" s="139">
        <f>Assumptions!$C$6*Assumptions!$C$7*(1+$G371-0.05*(1-$H371))^2+Assumptions!$C$6*Assumptions!$C$8*(1+Assumptions!$C$11)^2+Assumptions!$C$16*$H371+Assumptions!$C$6*Assumptions!$C$9*(1+Assumptions!$C$12)^2</f>
        <v>664.8751422</v>
      </c>
      <c r="N371" s="139">
        <f>Assumptions!$C$6*Assumptions!$C$7*(1+$G371-0.05*(1-$I371))^3+Assumptions!$C$6*Assumptions!$C$8*(1+Assumptions!$C$11)^3+Assumptions!$C$16*$I371+Assumptions!$C$6*Assumptions!$C$9*(1+Assumptions!$C$12)^3</f>
        <v>779.3815185</v>
      </c>
      <c r="O371" s="139">
        <f>Assumptions!$C$6*Assumptions!$C$7*(1+$G371-0.05*(1-$J371))^4+Assumptions!$C$6*Assumptions!$C$8*(1+Assumptions!$C$11)^4+Assumptions!$C$16*$J371+Assumptions!$C$6*Assumptions!$C$9*(1+Assumptions!$C$12)^4</f>
        <v>670.477411</v>
      </c>
      <c r="P371" s="139">
        <f>Assumptions!$C$6*Assumptions!$C$7*(1+$G371-0.05*(1-$K371))^5+Assumptions!$C$6*Assumptions!$C$8*(1+Assumptions!$C$11)^5+Assumptions!$C$16*$K371+Assumptions!$C$6*Assumptions!$C$9*(1+Assumptions!$C$12)^5</f>
        <v>822.1917914</v>
      </c>
      <c r="Q371" s="139">
        <f>($L371*(1-(Assumptions!$C$25+0.06*(1-1))-Assumptions!$C$27)-Assumptions!$C$28)-MAX(0,($L371*(1-(Assumptions!$C$25+0.06*(1-1))-Assumptions!$C$27)-Assumptions!$C$28)*Assumptions!$C$31)+Assumptions!$C$28-Assumptions!$C$29-$L371*Assumptions!$C$30</f>
        <v>91.42319961</v>
      </c>
      <c r="R371" s="139">
        <f>($M371*(1-(Assumptions!$C$25+0.06*(1-$H371))-Assumptions!$C$27)-Assumptions!$C$28)-MAX(0,($M371*(1-(Assumptions!$C$25+0.06*(1-$H371))-Assumptions!$C$27)-Assumptions!$C$28)*Assumptions!$C$31)+Assumptions!$C$28-Assumptions!$C$29-$M371*Assumptions!$C$30</f>
        <v>32.92128271</v>
      </c>
      <c r="S371" s="139">
        <f>($N371*(1-(Assumptions!$C$25+0.06*(1-$I371))-Assumptions!$C$27)-Assumptions!$C$28)-MAX(0,($N371*(1-(Assumptions!$C$25+0.06*(1-$I371))-Assumptions!$C$27)-Assumptions!$C$28)*Assumptions!$C$31)+Assumptions!$C$28-Assumptions!$C$29-$N371*Assumptions!$C$30</f>
        <v>100.0670265</v>
      </c>
      <c r="T371" s="139">
        <f>($O371*(1-(Assumptions!$C$25+0.06*(1-$J371))-Assumptions!$C$27)-Assumptions!$C$28)-MAX(0,($O371*(1-(Assumptions!$C$25+0.06*(1-$J371))-Assumptions!$C$27)-Assumptions!$C$28)*Assumptions!$C$31)+Assumptions!$C$28-Assumptions!$C$29-$O371*Assumptions!$C$30</f>
        <v>34.20980453</v>
      </c>
      <c r="U371" s="139">
        <f>($P371*(1-(Assumptions!$C$25+0.06*(1-$K371))-Assumptions!$C$27)-Assumptions!$C$28)-MAX(0,($P371*(1-(Assumptions!$C$25+0.06*(1-$K371))-Assumptions!$C$27)-Assumptions!$C$28)*Assumptions!$C$31)+Assumptions!$C$28-Assumptions!$C$29-$P371*Assumptions!$C$30</f>
        <v>109.2712352</v>
      </c>
      <c r="V371" s="143">
        <f>(($Q371/(1+$D371)^1+$R371/(1+$D371)^2+$S371/(1+$D371)^3+$T371/(1+$D371)^4+$U371/(1+$D371)^5+$U371*(1+$E371)/($D371-$E371)/(1+$D371)^5)-Assumptions!$C$37)/Assumptions!$C$40/Assumptions!$C$38</f>
        <v>3.637157563</v>
      </c>
    </row>
    <row r="372" ht="12.0" customHeight="1">
      <c r="B372" s="139">
        <v>320.0</v>
      </c>
      <c r="C372" s="140">
        <f t="shared" si="6"/>
        <v>0.6782383235</v>
      </c>
      <c r="D372" s="141">
        <f t="shared" si="7"/>
        <v>0.1015646622</v>
      </c>
      <c r="E372" s="141">
        <f t="shared" si="8"/>
        <v>0.0116163298</v>
      </c>
      <c r="F372" s="140">
        <f t="shared" si="9"/>
        <v>0.5777071875</v>
      </c>
      <c r="G372" s="141">
        <f t="shared" si="10"/>
        <v>0.06242959807</v>
      </c>
      <c r="H372" s="142">
        <f t="shared" si="11"/>
        <v>1</v>
      </c>
      <c r="I372" s="142">
        <f t="shared" si="12"/>
        <v>1</v>
      </c>
      <c r="J372" s="142">
        <f t="shared" si="13"/>
        <v>1</v>
      </c>
      <c r="K372" s="142">
        <f t="shared" si="14"/>
        <v>1</v>
      </c>
      <c r="L372" s="139">
        <f>Assumptions!$C$6*Assumptions!$C$7*(1+$G372-0.05*(1-1))^1+Assumptions!$C$6*Assumptions!$C$8*(1+Assumptions!$C$11)^1+Assumptions!$C$16*1+Assumptions!$C$6*Assumptions!$C$9*(1+Assumptions!$C$12)^1</f>
        <v>747.4818027</v>
      </c>
      <c r="M372" s="139">
        <f>Assumptions!$C$6*Assumptions!$C$7*(1+$G372-0.05*(1-$H372))^2+Assumptions!$C$6*Assumptions!$C$8*(1+Assumptions!$C$11)^2+Assumptions!$C$16*$H372+Assumptions!$C$6*Assumptions!$C$9*(1+Assumptions!$C$12)^2</f>
        <v>776.4048487</v>
      </c>
      <c r="N372" s="139">
        <f>Assumptions!$C$6*Assumptions!$C$7*(1+$G372-0.05*(1-$I372))^3+Assumptions!$C$6*Assumptions!$C$8*(1+Assumptions!$C$11)^3+Assumptions!$C$16*$I372+Assumptions!$C$6*Assumptions!$C$9*(1+Assumptions!$C$12)^3</f>
        <v>806.8536255</v>
      </c>
      <c r="O372" s="139">
        <f>Assumptions!$C$6*Assumptions!$C$7*(1+$G372-0.05*(1-$J372))^4+Assumptions!$C$6*Assumptions!$C$8*(1+Assumptions!$C$11)^4+Assumptions!$C$16*$J372+Assumptions!$C$6*Assumptions!$C$9*(1+Assumptions!$C$12)^4</f>
        <v>838.9177853</v>
      </c>
      <c r="P372" s="139">
        <f>Assumptions!$C$6*Assumptions!$C$7*(1+$G372-0.05*(1-$K372))^5+Assumptions!$C$6*Assumptions!$C$8*(1+Assumptions!$C$11)^5+Assumptions!$C$16*$K372+Assumptions!$C$6*Assumptions!$C$9*(1+Assumptions!$C$12)^5</f>
        <v>872.6924656</v>
      </c>
      <c r="Q372" s="139">
        <f>($L372*(1-(Assumptions!$C$25+0.06*(1-1))-Assumptions!$C$27)-Assumptions!$C$28)-MAX(0,($L372*(1-(Assumptions!$C$25+0.06*(1-1))-Assumptions!$C$27)-Assumptions!$C$28)*Assumptions!$C$31)+Assumptions!$C$28-Assumptions!$C$29-$L372*Assumptions!$C$30</f>
        <v>93.20858758</v>
      </c>
      <c r="R372" s="139">
        <f>($M372*(1-(Assumptions!$C$25+0.06*(1-$H372))-Assumptions!$C$27)-Assumptions!$C$28)-MAX(0,($M372*(1-(Assumptions!$C$25+0.06*(1-$H372))-Assumptions!$C$27)-Assumptions!$C$28)*Assumptions!$C$31)+Assumptions!$C$28-Assumptions!$C$29-$M372*Assumptions!$C$30</f>
        <v>99.42704247</v>
      </c>
      <c r="S372" s="139">
        <f>($N372*(1-(Assumptions!$C$25+0.06*(1-$I372))-Assumptions!$C$27)-Assumptions!$C$28)-MAX(0,($N372*(1-(Assumptions!$C$25+0.06*(1-$I372))-Assumptions!$C$27)-Assumptions!$C$28)*Assumptions!$C$31)+Assumptions!$C$28-Assumptions!$C$29-$N372*Assumptions!$C$30</f>
        <v>105.9735295</v>
      </c>
      <c r="T372" s="139">
        <f>($O372*(1-(Assumptions!$C$25+0.06*(1-$J372))-Assumptions!$C$27)-Assumptions!$C$28)-MAX(0,($O372*(1-(Assumptions!$C$25+0.06*(1-$J372))-Assumptions!$C$27)-Assumptions!$C$28)*Assumptions!$C$31)+Assumptions!$C$28-Assumptions!$C$29-$O372*Assumptions!$C$30</f>
        <v>112.8673238</v>
      </c>
      <c r="U372" s="139">
        <f>($P372*(1-(Assumptions!$C$25+0.06*(1-$K372))-Assumptions!$C$27)-Assumptions!$C$28)-MAX(0,($P372*(1-(Assumptions!$C$25+0.06*(1-$K372))-Assumptions!$C$27)-Assumptions!$C$28)*Assumptions!$C$31)+Assumptions!$C$28-Assumptions!$C$29-$P372*Assumptions!$C$30</f>
        <v>120.1288801</v>
      </c>
      <c r="V372" s="143">
        <f>(($Q372/(1+$D372)^1+$R372/(1+$D372)^2+$S372/(1+$D372)^3+$T372/(1+$D372)^4+$U372/(1+$D372)^5+$U372*(1+$E372)/($D372-$E372)/(1+$D372)^5)-Assumptions!$C$37)/Assumptions!$C$40/Assumptions!$C$38</f>
        <v>4.196978323</v>
      </c>
    </row>
    <row r="373" ht="12.0" customHeight="1">
      <c r="B373" s="139">
        <v>321.0</v>
      </c>
      <c r="C373" s="140">
        <f t="shared" si="6"/>
        <v>0.6548321152</v>
      </c>
      <c r="D373" s="141">
        <f t="shared" si="7"/>
        <v>0.1010845703</v>
      </c>
      <c r="E373" s="141">
        <f t="shared" si="8"/>
        <v>0.02814824368</v>
      </c>
      <c r="F373" s="140">
        <f t="shared" si="9"/>
        <v>0.8986868424</v>
      </c>
      <c r="G373" s="141">
        <f t="shared" si="10"/>
        <v>0.07649579015</v>
      </c>
      <c r="H373" s="142">
        <f t="shared" si="11"/>
        <v>1</v>
      </c>
      <c r="I373" s="142">
        <f t="shared" si="12"/>
        <v>1</v>
      </c>
      <c r="J373" s="142">
        <f t="shared" si="13"/>
        <v>0</v>
      </c>
      <c r="K373" s="142">
        <f t="shared" si="14"/>
        <v>0</v>
      </c>
      <c r="L373" s="139">
        <f>Assumptions!$C$6*Assumptions!$C$7*(1+$G373-0.05*(1-1))^1+Assumptions!$C$6*Assumptions!$C$8*(1+Assumptions!$C$11)^1+Assumptions!$C$16*1+Assumptions!$C$6*Assumptions!$C$9*(1+Assumptions!$C$12)^1</f>
        <v>752.216483</v>
      </c>
      <c r="M373" s="139">
        <f>Assumptions!$C$6*Assumptions!$C$7*(1+$G373-0.05*(1-$H373))^2+Assumptions!$C$6*Assumptions!$C$8*(1+Assumptions!$C$11)^2+Assumptions!$C$16*$H373+Assumptions!$C$6*Assumptions!$C$9*(1+Assumptions!$C$12)^2</f>
        <v>786.5319765</v>
      </c>
      <c r="N373" s="139">
        <f>Assumptions!$C$6*Assumptions!$C$7*(1+$G373-0.05*(1-$I373))^3+Assumptions!$C$6*Assumptions!$C$8*(1+Assumptions!$C$11)^3+Assumptions!$C$16*$I373+Assumptions!$C$6*Assumptions!$C$9*(1+Assumptions!$C$12)^3</f>
        <v>823.0997377</v>
      </c>
      <c r="O373" s="139">
        <f>Assumptions!$C$6*Assumptions!$C$7*(1+$G373-0.05*(1-$J373))^4+Assumptions!$C$6*Assumptions!$C$8*(1+Assumptions!$C$11)^4+Assumptions!$C$16*$J373+Assumptions!$C$6*Assumptions!$C$9*(1+Assumptions!$C$12)^4</f>
        <v>723.7755159</v>
      </c>
      <c r="P373" s="139">
        <f>Assumptions!$C$6*Assumptions!$C$7*(1+$G373-0.05*(1-$K373))^5+Assumptions!$C$6*Assumptions!$C$8*(1+Assumptions!$C$11)^5+Assumptions!$C$16*$K373+Assumptions!$C$6*Assumptions!$C$9*(1+Assumptions!$C$12)^5</f>
        <v>740.6786131</v>
      </c>
      <c r="Q373" s="139">
        <f>($L373*(1-(Assumptions!$C$25+0.06*(1-1))-Assumptions!$C$27)-Assumptions!$C$28)-MAX(0,($L373*(1-(Assumptions!$C$25+0.06*(1-1))-Assumptions!$C$27)-Assumptions!$C$28)*Assumptions!$C$31)+Assumptions!$C$28-Assumptions!$C$29-$L373*Assumptions!$C$30</f>
        <v>94.22654384</v>
      </c>
      <c r="R373" s="139">
        <f>($M373*(1-(Assumptions!$C$25+0.06*(1-$H373))-Assumptions!$C$27)-Assumptions!$C$28)-MAX(0,($M373*(1-(Assumptions!$C$25+0.06*(1-$H373))-Assumptions!$C$27)-Assumptions!$C$28)*Assumptions!$C$31)+Assumptions!$C$28-Assumptions!$C$29-$M373*Assumptions!$C$30</f>
        <v>101.6043749</v>
      </c>
      <c r="S373" s="139">
        <f>($N373*(1-(Assumptions!$C$25+0.06*(1-$I373))-Assumptions!$C$27)-Assumptions!$C$28)-MAX(0,($N373*(1-(Assumptions!$C$25+0.06*(1-$I373))-Assumptions!$C$27)-Assumptions!$C$28)*Assumptions!$C$31)+Assumptions!$C$28-Assumptions!$C$29-$N373*Assumptions!$C$30</f>
        <v>109.4664436</v>
      </c>
      <c r="T373" s="139">
        <f>($O373*(1-(Assumptions!$C$25+0.06*(1-$J373))-Assumptions!$C$27)-Assumptions!$C$28)-MAX(0,($O373*(1-(Assumptions!$C$25+0.06*(1-$J373))-Assumptions!$C$27)-Assumptions!$C$28)*Assumptions!$C$31)+Assumptions!$C$28-Assumptions!$C$29-$O373*Assumptions!$C$30</f>
        <v>46.46836865</v>
      </c>
      <c r="U373" s="139">
        <f>($P373*(1-(Assumptions!$C$25+0.06*(1-$K373))-Assumptions!$C$27)-Assumptions!$C$28)-MAX(0,($P373*(1-(Assumptions!$C$25+0.06*(1-$K373))-Assumptions!$C$27)-Assumptions!$C$28)*Assumptions!$C$31)+Assumptions!$C$28-Assumptions!$C$29-$P373*Assumptions!$C$30</f>
        <v>50.35608101</v>
      </c>
      <c r="V373" s="143">
        <f>(($Q373/(1+$D373)^1+$R373/(1+$D373)^2+$S373/(1+$D373)^3+$T373/(1+$D373)^4+$U373/(1+$D373)^5+$U373*(1+$E373)/($D373-$E373)/(1+$D373)^5)-Assumptions!$C$37)/Assumptions!$C$40/Assumptions!$C$38</f>
        <v>0.4760505484</v>
      </c>
    </row>
    <row r="374" ht="12.0" customHeight="1">
      <c r="B374" s="139">
        <v>322.0</v>
      </c>
      <c r="C374" s="140">
        <f t="shared" si="6"/>
        <v>0.8211248031</v>
      </c>
      <c r="D374" s="141">
        <f t="shared" si="7"/>
        <v>0.1049825659</v>
      </c>
      <c r="E374" s="141">
        <f t="shared" si="8"/>
        <v>0.02238254677</v>
      </c>
      <c r="F374" s="140">
        <f t="shared" si="9"/>
        <v>0.7782759336</v>
      </c>
      <c r="G374" s="141">
        <f t="shared" si="10"/>
        <v>0.07002242959</v>
      </c>
      <c r="H374" s="142">
        <f t="shared" si="11"/>
        <v>0</v>
      </c>
      <c r="I374" s="142">
        <f t="shared" si="12"/>
        <v>0</v>
      </c>
      <c r="J374" s="142">
        <f t="shared" si="13"/>
        <v>1</v>
      </c>
      <c r="K374" s="142">
        <f t="shared" si="14"/>
        <v>0</v>
      </c>
      <c r="L374" s="139">
        <f>Assumptions!$C$6*Assumptions!$C$7*(1+$G374-0.05*(1-1))^1+Assumptions!$C$6*Assumptions!$C$8*(1+Assumptions!$C$11)^1+Assumptions!$C$16*1+Assumptions!$C$6*Assumptions!$C$9*(1+Assumptions!$C$12)^1</f>
        <v>750.0375498</v>
      </c>
      <c r="M374" s="139">
        <f>Assumptions!$C$6*Assumptions!$C$7*(1+$G374-0.05*(1-$H374))^2+Assumptions!$C$6*Assumptions!$C$8*(1+Assumptions!$C$11)^2+Assumptions!$C$16*$H374+Assumptions!$C$6*Assumptions!$C$9*(1+Assumptions!$C$12)^2</f>
        <v>686.6794018</v>
      </c>
      <c r="N374" s="139">
        <f>Assumptions!$C$6*Assumptions!$C$7*(1+$G374-0.05*(1-$I374))^3+Assumptions!$C$6*Assumptions!$C$8*(1+Assumptions!$C$11)^3+Assumptions!$C$16*$I374+Assumptions!$C$6*Assumptions!$C$9*(1+Assumptions!$C$12)^3</f>
        <v>700.420845</v>
      </c>
      <c r="O374" s="139">
        <f>Assumptions!$C$6*Assumptions!$C$7*(1+$G374-0.05*(1-$J374))^4+Assumptions!$C$6*Assumptions!$C$8*(1+Assumptions!$C$11)^4+Assumptions!$C$16*$J374+Assumptions!$C$6*Assumptions!$C$9*(1+Assumptions!$C$12)^4</f>
        <v>851.309494</v>
      </c>
      <c r="P374" s="139">
        <f>Assumptions!$C$6*Assumptions!$C$7*(1+$G374-0.05*(1-$K374))^5+Assumptions!$C$6*Assumptions!$C$8*(1+Assumptions!$C$11)^5+Assumptions!$C$16*$K374+Assumptions!$C$6*Assumptions!$C$9*(1+Assumptions!$C$12)^5</f>
        <v>728.7341926</v>
      </c>
      <c r="Q374" s="139">
        <f>($L374*(1-(Assumptions!$C$25+0.06*(1-1))-Assumptions!$C$27)-Assumptions!$C$28)-MAX(0,($L374*(1-(Assumptions!$C$25+0.06*(1-1))-Assumptions!$C$27)-Assumptions!$C$28)*Assumptions!$C$31)+Assumptions!$C$28-Assumptions!$C$29-$L374*Assumptions!$C$30</f>
        <v>93.75807321</v>
      </c>
      <c r="R374" s="139">
        <f>($M374*(1-(Assumptions!$C$25+0.06*(1-$H374))-Assumptions!$C$27)-Assumptions!$C$28)-MAX(0,($M374*(1-(Assumptions!$C$25+0.06*(1-$H374))-Assumptions!$C$27)-Assumptions!$C$28)*Assumptions!$C$31)+Assumptions!$C$28-Assumptions!$C$29-$M374*Assumptions!$C$30</f>
        <v>37.9362624</v>
      </c>
      <c r="S374" s="139">
        <f>($N374*(1-(Assumptions!$C$25+0.06*(1-$I374))-Assumptions!$C$27)-Assumptions!$C$28)-MAX(0,($N374*(1-(Assumptions!$C$25+0.06*(1-$I374))-Assumptions!$C$27)-Assumptions!$C$28)*Assumptions!$C$31)+Assumptions!$C$28-Assumptions!$C$29-$N374*Assumptions!$C$30</f>
        <v>41.09679434</v>
      </c>
      <c r="T374" s="139">
        <f>($O374*(1-(Assumptions!$C$25+0.06*(1-$J374))-Assumptions!$C$27)-Assumptions!$C$28)-MAX(0,($O374*(1-(Assumptions!$C$25+0.06*(1-$J374))-Assumptions!$C$27)-Assumptions!$C$28)*Assumptions!$C$31)+Assumptions!$C$28-Assumptions!$C$29-$O374*Assumptions!$C$30</f>
        <v>115.5315412</v>
      </c>
      <c r="U374" s="139">
        <f>($P374*(1-(Assumptions!$C$25+0.06*(1-$K374))-Assumptions!$C$27)-Assumptions!$C$28)-MAX(0,($P374*(1-(Assumptions!$C$25+0.06*(1-$K374))-Assumptions!$C$27)-Assumptions!$C$28)*Assumptions!$C$31)+Assumptions!$C$28-Assumptions!$C$29-$P374*Assumptions!$C$30</f>
        <v>47.60886431</v>
      </c>
      <c r="V374" s="143">
        <f>(($Q374/(1+$D374)^1+$R374/(1+$D374)^2+$S374/(1+$D374)^3+$T374/(1+$D374)^4+$U374/(1+$D374)^5+$U374*(1+$E374)/($D374-$E374)/(1+$D374)^5)-Assumptions!$C$37)/Assumptions!$C$40/Assumptions!$C$38</f>
        <v>-0.6336922898</v>
      </c>
    </row>
    <row r="375" ht="12.0" customHeight="1">
      <c r="B375" s="139">
        <v>323.0</v>
      </c>
      <c r="C375" s="140">
        <f t="shared" si="6"/>
        <v>0.1849730664</v>
      </c>
      <c r="D375" s="141">
        <f t="shared" si="7"/>
        <v>0.09291870378</v>
      </c>
      <c r="E375" s="141">
        <f t="shared" si="8"/>
        <v>0.01902552055</v>
      </c>
      <c r="F375" s="140">
        <f t="shared" si="9"/>
        <v>0.1440844084</v>
      </c>
      <c r="G375" s="141">
        <f t="shared" si="10"/>
        <v>0.04610440732</v>
      </c>
      <c r="H375" s="142">
        <f t="shared" si="11"/>
        <v>0</v>
      </c>
      <c r="I375" s="142">
        <f t="shared" si="12"/>
        <v>0</v>
      </c>
      <c r="J375" s="142">
        <f t="shared" si="13"/>
        <v>0</v>
      </c>
      <c r="K375" s="142">
        <f t="shared" si="14"/>
        <v>0</v>
      </c>
      <c r="L375" s="139">
        <f>Assumptions!$C$6*Assumptions!$C$7*(1+$G375-0.05*(1-1))^1+Assumptions!$C$6*Assumptions!$C$8*(1+Assumptions!$C$11)^1+Assumptions!$C$16*1+Assumptions!$C$6*Assumptions!$C$9*(1+Assumptions!$C$12)^1</f>
        <v>741.9867435</v>
      </c>
      <c r="M375" s="139">
        <f>Assumptions!$C$6*Assumptions!$C$7*(1+$G375-0.05*(1-$H375))^2+Assumptions!$C$6*Assumptions!$C$8*(1+Assumptions!$C$11)^2+Assumptions!$C$16*$H375+Assumptions!$C$6*Assumptions!$C$9*(1+Assumptions!$C$12)^2</f>
        <v>670.4479551</v>
      </c>
      <c r="N375" s="139">
        <f>Assumptions!$C$6*Assumptions!$C$7*(1+$G375-0.05*(1-$I375))^3+Assumptions!$C$6*Assumptions!$C$8*(1+Assumptions!$C$11)^3+Assumptions!$C$16*$I375+Assumptions!$C$6*Assumptions!$C$9*(1+Assumptions!$C$12)^3</f>
        <v>675.8762022</v>
      </c>
      <c r="O375" s="139">
        <f>Assumptions!$C$6*Assumptions!$C$7*(1+$G375-0.05*(1-$J375))^4+Assumptions!$C$6*Assumptions!$C$8*(1+Assumptions!$C$11)^4+Assumptions!$C$16*$J375+Assumptions!$C$6*Assumptions!$C$9*(1+Assumptions!$C$12)^4</f>
        <v>681.4441038</v>
      </c>
      <c r="P375" s="139">
        <f>Assumptions!$C$6*Assumptions!$C$7*(1+$G375-0.05*(1-$K375))^5+Assumptions!$C$6*Assumptions!$C$8*(1+Assumptions!$C$11)^5+Assumptions!$C$16*$K375+Assumptions!$C$6*Assumptions!$C$9*(1+Assumptions!$C$12)^5</f>
        <v>687.1543319</v>
      </c>
      <c r="Q375" s="139">
        <f>($L375*(1-(Assumptions!$C$25+0.06*(1-1))-Assumptions!$C$27)-Assumptions!$C$28)-MAX(0,($L375*(1-(Assumptions!$C$25+0.06*(1-1))-Assumptions!$C$27)-Assumptions!$C$28)*Assumptions!$C$31)+Assumptions!$C$28-Assumptions!$C$29-$L375*Assumptions!$C$30</f>
        <v>92.02714985</v>
      </c>
      <c r="R375" s="139">
        <f>($M375*(1-(Assumptions!$C$25+0.06*(1-$H375))-Assumptions!$C$27)-Assumptions!$C$28)-MAX(0,($M375*(1-(Assumptions!$C$25+0.06*(1-$H375))-Assumptions!$C$27)-Assumptions!$C$28)*Assumptions!$C$31)+Assumptions!$C$28-Assumptions!$C$29-$M375*Assumptions!$C$30</f>
        <v>34.20302968</v>
      </c>
      <c r="S375" s="139">
        <f>($N375*(1-(Assumptions!$C$25+0.06*(1-$I375))-Assumptions!$C$27)-Assumptions!$C$28)-MAX(0,($N375*(1-(Assumptions!$C$25+0.06*(1-$I375))-Assumptions!$C$27)-Assumptions!$C$28)*Assumptions!$C$31)+Assumptions!$C$28-Assumptions!$C$29-$N375*Assumptions!$C$30</f>
        <v>35.4515265</v>
      </c>
      <c r="T375" s="139">
        <f>($O375*(1-(Assumptions!$C$25+0.06*(1-$J375))-Assumptions!$C$27)-Assumptions!$C$28)-MAX(0,($O375*(1-(Assumptions!$C$25+0.06*(1-$J375))-Assumptions!$C$27)-Assumptions!$C$28)*Assumptions!$C$31)+Assumptions!$C$28-Assumptions!$C$29-$O375*Assumptions!$C$30</f>
        <v>36.73214387</v>
      </c>
      <c r="U375" s="139">
        <f>($P375*(1-(Assumptions!$C$25+0.06*(1-$K375))-Assumptions!$C$27)-Assumptions!$C$28)-MAX(0,($P375*(1-(Assumptions!$C$25+0.06*(1-$K375))-Assumptions!$C$27)-Assumptions!$C$28)*Assumptions!$C$31)+Assumptions!$C$28-Assumptions!$C$29-$P375*Assumptions!$C$30</f>
        <v>38.04549633</v>
      </c>
      <c r="V375" s="143">
        <f>(($Q375/(1+$D375)^1+$R375/(1+$D375)^2+$S375/(1+$D375)^3+$T375/(1+$D375)^4+$U375/(1+$D375)^5+$U375*(1+$E375)/($D375-$E375)/(1+$D375)^5)-Assumptions!$C$37)/Assumptions!$C$40/Assumptions!$C$38</f>
        <v>-1.288385752</v>
      </c>
    </row>
    <row r="376" ht="12.0" customHeight="1">
      <c r="B376" s="139">
        <v>324.0</v>
      </c>
      <c r="C376" s="140">
        <f t="shared" si="6"/>
        <v>0.6869168049</v>
      </c>
      <c r="D376" s="141">
        <f t="shared" si="7"/>
        <v>0.1017470882</v>
      </c>
      <c r="E376" s="141">
        <f t="shared" si="8"/>
        <v>0.02401832333</v>
      </c>
      <c r="F376" s="140">
        <f t="shared" si="9"/>
        <v>0.565819272</v>
      </c>
      <c r="G376" s="141">
        <f t="shared" si="10"/>
        <v>0.06204422581</v>
      </c>
      <c r="H376" s="142">
        <f t="shared" si="11"/>
        <v>1</v>
      </c>
      <c r="I376" s="142">
        <f t="shared" si="12"/>
        <v>1</v>
      </c>
      <c r="J376" s="142">
        <f t="shared" si="13"/>
        <v>1</v>
      </c>
      <c r="K376" s="142">
        <f t="shared" si="14"/>
        <v>0</v>
      </c>
      <c r="L376" s="139">
        <f>Assumptions!$C$6*Assumptions!$C$7*(1+$G376-0.05*(1-1))^1+Assumptions!$C$6*Assumptions!$C$8*(1+Assumptions!$C$11)^1+Assumptions!$C$16*1+Assumptions!$C$6*Assumptions!$C$9*(1+Assumptions!$C$12)^1</f>
        <v>747.3520864</v>
      </c>
      <c r="M376" s="139">
        <f>Assumptions!$C$6*Assumptions!$C$7*(1+$G376-0.05*(1-$H376))^2+Assumptions!$C$6*Assumptions!$C$8*(1+Assumptions!$C$11)^2+Assumptions!$C$16*$H376+Assumptions!$C$6*Assumptions!$C$9*(1+Assumptions!$C$12)^2</f>
        <v>776.1292698</v>
      </c>
      <c r="N376" s="139">
        <f>Assumptions!$C$6*Assumptions!$C$7*(1+$G376-0.05*(1-$I376))^3+Assumptions!$C$6*Assumptions!$C$8*(1+Assumptions!$C$11)^3+Assumptions!$C$16*$I376+Assumptions!$C$6*Assumptions!$C$9*(1+Assumptions!$C$12)^3</f>
        <v>806.4145303</v>
      </c>
      <c r="O376" s="139">
        <f>Assumptions!$C$6*Assumptions!$C$7*(1+$G376-0.05*(1-$J376))^4+Assumptions!$C$6*Assumptions!$C$8*(1+Assumptions!$C$11)^4+Assumptions!$C$16*$J376+Assumptions!$C$6*Assumptions!$C$9*(1+Assumptions!$C$12)^4</f>
        <v>838.2958879</v>
      </c>
      <c r="P376" s="139">
        <f>Assumptions!$C$6*Assumptions!$C$7*(1+$G376-0.05*(1-$K376))^5+Assumptions!$C$6*Assumptions!$C$8*(1+Assumptions!$C$11)^5+Assumptions!$C$16*$K376+Assumptions!$C$6*Assumptions!$C$9*(1+Assumptions!$C$12)^5</f>
        <v>714.4243636</v>
      </c>
      <c r="Q376" s="139">
        <f>($L376*(1-(Assumptions!$C$25+0.06*(1-1))-Assumptions!$C$27)-Assumptions!$C$28)-MAX(0,($L376*(1-(Assumptions!$C$25+0.06*(1-1))-Assumptions!$C$27)-Assumptions!$C$28)*Assumptions!$C$31)+Assumptions!$C$28-Assumptions!$C$29-$L376*Assumptions!$C$30</f>
        <v>93.18069858</v>
      </c>
      <c r="R376" s="139">
        <f>($M376*(1-(Assumptions!$C$25+0.06*(1-$H376))-Assumptions!$C$27)-Assumptions!$C$28)-MAX(0,($M376*(1-(Assumptions!$C$25+0.06*(1-$H376))-Assumptions!$C$27)-Assumptions!$C$28)*Assumptions!$C$31)+Assumptions!$C$28-Assumptions!$C$29-$M376*Assumptions!$C$30</f>
        <v>99.367793</v>
      </c>
      <c r="S376" s="139">
        <f>($N376*(1-(Assumptions!$C$25+0.06*(1-$I376))-Assumptions!$C$27)-Assumptions!$C$28)-MAX(0,($N376*(1-(Assumptions!$C$25+0.06*(1-$I376))-Assumptions!$C$27)-Assumptions!$C$28)*Assumptions!$C$31)+Assumptions!$C$28-Assumptions!$C$29-$N376*Assumptions!$C$30</f>
        <v>105.879124</v>
      </c>
      <c r="T376" s="139">
        <f>($O376*(1-(Assumptions!$C$25+0.06*(1-$J376))-Assumptions!$C$27)-Assumptions!$C$28)-MAX(0,($O376*(1-(Assumptions!$C$25+0.06*(1-$J376))-Assumptions!$C$27)-Assumptions!$C$28)*Assumptions!$C$31)+Assumptions!$C$28-Assumptions!$C$29-$O376*Assumptions!$C$30</f>
        <v>112.7336159</v>
      </c>
      <c r="U376" s="139">
        <f>($P376*(1-(Assumptions!$C$25+0.06*(1-$K376))-Assumptions!$C$27)-Assumptions!$C$28)-MAX(0,($P376*(1-(Assumptions!$C$25+0.06*(1-$K376))-Assumptions!$C$27)-Assumptions!$C$28)*Assumptions!$C$31)+Assumptions!$C$28-Assumptions!$C$29-$P376*Assumptions!$C$30</f>
        <v>44.31760363</v>
      </c>
      <c r="V376" s="143">
        <f>(($Q376/(1+$D376)^1+$R376/(1+$D376)^2+$S376/(1+$D376)^3+$T376/(1+$D376)^4+$U376/(1+$D376)^5+$U376*(1+$E376)/($D376-$E376)/(1+$D376)^5)-Assumptions!$C$37)/Assumptions!$C$40/Assumptions!$C$38</f>
        <v>0.1356333284</v>
      </c>
    </row>
    <row r="377" ht="12.0" customHeight="1">
      <c r="B377" s="139">
        <v>325.0</v>
      </c>
      <c r="C377" s="140">
        <f t="shared" si="6"/>
        <v>0.1865557573</v>
      </c>
      <c r="D377" s="141">
        <f t="shared" si="7"/>
        <v>0.09295250915</v>
      </c>
      <c r="E377" s="141">
        <f t="shared" si="8"/>
        <v>0.02022139854</v>
      </c>
      <c r="F377" s="140">
        <f t="shared" si="9"/>
        <v>0.6737623361</v>
      </c>
      <c r="G377" s="141">
        <f t="shared" si="10"/>
        <v>0.06576721652</v>
      </c>
      <c r="H377" s="142">
        <f t="shared" si="11"/>
        <v>0</v>
      </c>
      <c r="I377" s="142">
        <f t="shared" si="12"/>
        <v>1</v>
      </c>
      <c r="J377" s="142">
        <f t="shared" si="13"/>
        <v>1</v>
      </c>
      <c r="K377" s="142">
        <f t="shared" si="14"/>
        <v>0</v>
      </c>
      <c r="L377" s="139">
        <f>Assumptions!$C$6*Assumptions!$C$7*(1+$G377-0.05*(1-1))^1+Assumptions!$C$6*Assumptions!$C$8*(1+Assumptions!$C$11)^1+Assumptions!$C$16*1+Assumptions!$C$6*Assumptions!$C$9*(1+Assumptions!$C$12)^1</f>
        <v>748.6052451</v>
      </c>
      <c r="M377" s="139">
        <f>Assumptions!$C$6*Assumptions!$C$7*(1+$G377-0.05*(1-$H377))^2+Assumptions!$C$6*Assumptions!$C$8*(1+Assumptions!$C$11)^2+Assumptions!$C$16*$H377+Assumptions!$C$6*Assumptions!$C$9*(1+Assumptions!$C$12)^2</f>
        <v>683.7635306</v>
      </c>
      <c r="N377" s="139">
        <f>Assumptions!$C$6*Assumptions!$C$7*(1+$G377-0.05*(1-$I377))^3+Assumptions!$C$6*Assumptions!$C$8*(1+Assumptions!$C$11)^3+Assumptions!$C$16*$I377+Assumptions!$C$6*Assumptions!$C$9*(1+Assumptions!$C$12)^3</f>
        <v>810.6698682</v>
      </c>
      <c r="O377" s="139">
        <f>Assumptions!$C$6*Assumptions!$C$7*(1+$G377-0.05*(1-$J377))^4+Assumptions!$C$6*Assumptions!$C$8*(1+Assumptions!$C$11)^4+Assumptions!$C$16*$J377+Assumptions!$C$6*Assumptions!$C$9*(1+Assumptions!$C$12)^4</f>
        <v>844.3322714</v>
      </c>
      <c r="P377" s="139">
        <f>Assumptions!$C$6*Assumptions!$C$7*(1+$G377-0.05*(1-$K377))^5+Assumptions!$C$6*Assumptions!$C$8*(1+Assumptions!$C$11)^5+Assumptions!$C$16*$K377+Assumptions!$C$6*Assumptions!$C$9*(1+Assumptions!$C$12)^5</f>
        <v>721.0460604</v>
      </c>
      <c r="Q377" s="139">
        <f>($L377*(1-(Assumptions!$C$25+0.06*(1-1))-Assumptions!$C$27)-Assumptions!$C$28)-MAX(0,($L377*(1-(Assumptions!$C$25+0.06*(1-1))-Assumptions!$C$27)-Assumptions!$C$28)*Assumptions!$C$31)+Assumptions!$C$28-Assumptions!$C$29-$L377*Assumptions!$C$30</f>
        <v>93.45012769</v>
      </c>
      <c r="R377" s="139">
        <f>($M377*(1-(Assumptions!$C$25+0.06*(1-$H377))-Assumptions!$C$27)-Assumptions!$C$28)-MAX(0,($M377*(1-(Assumptions!$C$25+0.06*(1-$H377))-Assumptions!$C$27)-Assumptions!$C$28)*Assumptions!$C$31)+Assumptions!$C$28-Assumptions!$C$29-$M377*Assumptions!$C$30</f>
        <v>37.26561205</v>
      </c>
      <c r="S377" s="139">
        <f>($N377*(1-(Assumptions!$C$25+0.06*(1-$I377))-Assumptions!$C$27)-Assumptions!$C$28)-MAX(0,($N377*(1-(Assumptions!$C$25+0.06*(1-$I377))-Assumptions!$C$27)-Assumptions!$C$28)*Assumptions!$C$31)+Assumptions!$C$28-Assumptions!$C$29-$N377*Assumptions!$C$30</f>
        <v>106.7940217</v>
      </c>
      <c r="T377" s="139">
        <f>($O377*(1-(Assumptions!$C$25+0.06*(1-$J377))-Assumptions!$C$27)-Assumptions!$C$28)-MAX(0,($O377*(1-(Assumptions!$C$25+0.06*(1-$J377))-Assumptions!$C$27)-Assumptions!$C$28)*Assumptions!$C$31)+Assumptions!$C$28-Assumptions!$C$29-$O377*Assumptions!$C$30</f>
        <v>114.0314383</v>
      </c>
      <c r="U377" s="139">
        <f>($P377*(1-(Assumptions!$C$25+0.06*(1-$K377))-Assumptions!$C$27)-Assumptions!$C$28)-MAX(0,($P377*(1-(Assumptions!$C$25+0.06*(1-$K377))-Assumptions!$C$27)-Assumptions!$C$28)*Assumptions!$C$31)+Assumptions!$C$28-Assumptions!$C$29-$P377*Assumptions!$C$30</f>
        <v>45.8405939</v>
      </c>
      <c r="V377" s="143">
        <f>(($Q377/(1+$D377)^1+$R377/(1+$D377)^2+$S377/(1+$D377)^3+$T377/(1+$D377)^4+$U377/(1+$D377)^5+$U377*(1+$E377)/($D377-$E377)/(1+$D377)^5)-Assumptions!$C$37)/Assumptions!$C$40/Assumptions!$C$38</f>
        <v>0.2216934097</v>
      </c>
    </row>
    <row r="378" ht="12.0" customHeight="1">
      <c r="B378" s="139">
        <v>326.0</v>
      </c>
      <c r="C378" s="140">
        <f t="shared" si="6"/>
        <v>0.4893375512</v>
      </c>
      <c r="D378" s="141">
        <f t="shared" si="7"/>
        <v>0.09807423166</v>
      </c>
      <c r="E378" s="141">
        <f t="shared" si="8"/>
        <v>0.02637466633</v>
      </c>
      <c r="F378" s="140">
        <f t="shared" si="9"/>
        <v>0.8212568481</v>
      </c>
      <c r="G378" s="141">
        <f t="shared" si="10"/>
        <v>0.07206295249</v>
      </c>
      <c r="H378" s="142">
        <f t="shared" si="11"/>
        <v>1</v>
      </c>
      <c r="I378" s="142">
        <f t="shared" si="12"/>
        <v>1</v>
      </c>
      <c r="J378" s="142">
        <f t="shared" si="13"/>
        <v>0</v>
      </c>
      <c r="K378" s="142">
        <f t="shared" si="14"/>
        <v>1</v>
      </c>
      <c r="L378" s="139">
        <f>Assumptions!$C$6*Assumptions!$C$7*(1+$G378-0.05*(1-1))^1+Assumptions!$C$6*Assumptions!$C$8*(1+Assumptions!$C$11)^1+Assumptions!$C$16*1+Assumptions!$C$6*Assumptions!$C$9*(1+Assumptions!$C$12)^1</f>
        <v>750.7243898</v>
      </c>
      <c r="M378" s="139">
        <f>Assumptions!$C$6*Assumptions!$C$7*(1+$G378-0.05*(1-$H378))^2+Assumptions!$C$6*Assumptions!$C$8*(1+Assumptions!$C$11)^2+Assumptions!$C$16*$H378+Assumptions!$C$6*Assumptions!$C$9*(1+Assumptions!$C$12)^2</f>
        <v>783.3261267</v>
      </c>
      <c r="N378" s="139">
        <f>Assumptions!$C$6*Assumptions!$C$7*(1+$G378-0.05*(1-$I378))^3+Assumptions!$C$6*Assumptions!$C$8*(1+Assumptions!$C$11)^3+Assumptions!$C$16*$I378+Assumptions!$C$6*Assumptions!$C$9*(1+Assumptions!$C$12)^3</f>
        <v>817.9337629</v>
      </c>
      <c r="O378" s="139">
        <f>Assumptions!$C$6*Assumptions!$C$7*(1+$G378-0.05*(1-$J378))^4+Assumptions!$C$6*Assumptions!$C$8*(1+Assumptions!$C$11)^4+Assumptions!$C$16*$J378+Assumptions!$C$6*Assumptions!$C$9*(1+Assumptions!$C$12)^4</f>
        <v>717.3617479</v>
      </c>
      <c r="P378" s="139">
        <f>Assumptions!$C$6*Assumptions!$C$7*(1+$G378-0.05*(1-$K378))^5+Assumptions!$C$6*Assumptions!$C$8*(1+Assumptions!$C$11)^5+Assumptions!$C$16*$K378+Assumptions!$C$6*Assumptions!$C$9*(1+Assumptions!$C$12)^5</f>
        <v>893.7272438</v>
      </c>
      <c r="Q378" s="139">
        <f>($L378*(1-(Assumptions!$C$25+0.06*(1-1))-Assumptions!$C$27)-Assumptions!$C$28)-MAX(0,($L378*(1-(Assumptions!$C$25+0.06*(1-1))-Assumptions!$C$27)-Assumptions!$C$28)*Assumptions!$C$31)+Assumptions!$C$28-Assumptions!$C$29-$L378*Assumptions!$C$30</f>
        <v>93.90574381</v>
      </c>
      <c r="R378" s="139">
        <f>($M378*(1-(Assumptions!$C$25+0.06*(1-$H378))-Assumptions!$C$27)-Assumptions!$C$28)-MAX(0,($M378*(1-(Assumptions!$C$25+0.06*(1-$H378))-Assumptions!$C$27)-Assumptions!$C$28)*Assumptions!$C$31)+Assumptions!$C$28-Assumptions!$C$29-$M378*Assumptions!$C$30</f>
        <v>100.9151172</v>
      </c>
      <c r="S378" s="139">
        <f>($N378*(1-(Assumptions!$C$25+0.06*(1-$I378))-Assumptions!$C$27)-Assumptions!$C$28)-MAX(0,($N378*(1-(Assumptions!$C$25+0.06*(1-$I378))-Assumptions!$C$27)-Assumptions!$C$28)*Assumptions!$C$31)+Assumptions!$C$28-Assumptions!$C$29-$N378*Assumptions!$C$30</f>
        <v>108.355759</v>
      </c>
      <c r="T378" s="139">
        <f>($O378*(1-(Assumptions!$C$25+0.06*(1-$J378))-Assumptions!$C$27)-Assumptions!$C$28)-MAX(0,($O378*(1-(Assumptions!$C$25+0.06*(1-$J378))-Assumptions!$C$27)-Assumptions!$C$28)*Assumptions!$C$31)+Assumptions!$C$28-Assumptions!$C$29-$O378*Assumptions!$C$30</f>
        <v>44.99320203</v>
      </c>
      <c r="U378" s="139">
        <f>($P378*(1-(Assumptions!$C$25+0.06*(1-$K378))-Assumptions!$C$27)-Assumptions!$C$28)-MAX(0,($P378*(1-(Assumptions!$C$25+0.06*(1-$K378))-Assumptions!$C$27)-Assumptions!$C$28)*Assumptions!$C$31)+Assumptions!$C$28-Assumptions!$C$29-$P378*Assumptions!$C$30</f>
        <v>124.6513574</v>
      </c>
      <c r="V378" s="143">
        <f>(($Q378/(1+$D378)^1+$R378/(1+$D378)^2+$S378/(1+$D378)^3+$T378/(1+$D378)^4+$U378/(1+$D378)^5+$U378*(1+$E378)/($D378-$E378)/(1+$D378)^5)-Assumptions!$C$37)/Assumptions!$C$40/Assumptions!$C$38</f>
        <v>6.134574458</v>
      </c>
    </row>
    <row r="379" ht="12.0" customHeight="1">
      <c r="B379" s="139">
        <v>327.0</v>
      </c>
      <c r="C379" s="140">
        <f t="shared" si="6"/>
        <v>0.04003582969</v>
      </c>
      <c r="D379" s="141">
        <f t="shared" si="7"/>
        <v>0.0886840394</v>
      </c>
      <c r="E379" s="141">
        <f t="shared" si="8"/>
        <v>0.01480722282</v>
      </c>
      <c r="F379" s="140">
        <f t="shared" si="9"/>
        <v>0.9379694277</v>
      </c>
      <c r="G379" s="141">
        <f t="shared" si="10"/>
        <v>0.07943330562</v>
      </c>
      <c r="H379" s="142">
        <f t="shared" si="11"/>
        <v>1</v>
      </c>
      <c r="I379" s="142">
        <f t="shared" si="12"/>
        <v>0</v>
      </c>
      <c r="J379" s="142">
        <f t="shared" si="13"/>
        <v>0</v>
      </c>
      <c r="K379" s="142">
        <f t="shared" si="14"/>
        <v>1</v>
      </c>
      <c r="L379" s="139">
        <f>Assumptions!$C$6*Assumptions!$C$7*(1+$G379-0.05*(1-1))^1+Assumptions!$C$6*Assumptions!$C$8*(1+Assumptions!$C$11)^1+Assumptions!$C$16*1+Assumptions!$C$6*Assumptions!$C$9*(1+Assumptions!$C$12)^1</f>
        <v>753.2052507</v>
      </c>
      <c r="M379" s="139">
        <f>Assumptions!$C$6*Assumptions!$C$7*(1+$G379-0.05*(1-$H379))^2+Assumptions!$C$6*Assumptions!$C$8*(1+Assumptions!$C$11)^2+Assumptions!$C$16*$H379+Assumptions!$C$6*Assumptions!$C$9*(1+Assumptions!$C$12)^2</f>
        <v>788.6636895</v>
      </c>
      <c r="N379" s="139">
        <f>Assumptions!$C$6*Assumptions!$C$7*(1+$G379-0.05*(1-$I379))^3+Assumptions!$C$6*Assumptions!$C$8*(1+Assumptions!$C$11)^3+Assumptions!$C$16*$I379+Assumptions!$C$6*Assumptions!$C$9*(1+Assumptions!$C$12)^3</f>
        <v>710.3998115</v>
      </c>
      <c r="O379" s="139">
        <f>Assumptions!$C$6*Assumptions!$C$7*(1+$G379-0.05*(1-$J379))^4+Assumptions!$C$6*Assumptions!$C$8*(1+Assumptions!$C$11)^4+Assumptions!$C$16*$J379+Assumptions!$C$6*Assumptions!$C$9*(1+Assumptions!$C$12)^4</f>
        <v>728.071766</v>
      </c>
      <c r="P379" s="139">
        <f>Assumptions!$C$6*Assumptions!$C$7*(1+$G379-0.05*(1-$K379))^5+Assumptions!$C$6*Assumptions!$C$8*(1+Assumptions!$C$11)^5+Assumptions!$C$16*$K379+Assumptions!$C$6*Assumptions!$C$9*(1+Assumptions!$C$12)^5</f>
        <v>910.3393616</v>
      </c>
      <c r="Q379" s="139">
        <f>($L379*(1-(Assumptions!$C$25+0.06*(1-1))-Assumptions!$C$27)-Assumptions!$C$28)-MAX(0,($L379*(1-(Assumptions!$C$25+0.06*(1-1))-Assumptions!$C$27)-Assumptions!$C$28)*Assumptions!$C$31)+Assumptions!$C$28-Assumptions!$C$29-$L379*Assumptions!$C$30</f>
        <v>94.43912889</v>
      </c>
      <c r="R379" s="139">
        <f>($M379*(1-(Assumptions!$C$25+0.06*(1-$H379))-Assumptions!$C$27)-Assumptions!$C$28)-MAX(0,($M379*(1-(Assumptions!$C$25+0.06*(1-$H379))-Assumptions!$C$27)-Assumptions!$C$28)*Assumptions!$C$31)+Assumptions!$C$28-Assumptions!$C$29-$M379*Assumptions!$C$30</f>
        <v>102.0626933</v>
      </c>
      <c r="S379" s="139">
        <f>($N379*(1-(Assumptions!$C$25+0.06*(1-$I379))-Assumptions!$C$27)-Assumptions!$C$28)-MAX(0,($N379*(1-(Assumptions!$C$25+0.06*(1-$I379))-Assumptions!$C$27)-Assumptions!$C$28)*Assumptions!$C$31)+Assumptions!$C$28-Assumptions!$C$29-$N379*Assumptions!$C$30</f>
        <v>43.39195664</v>
      </c>
      <c r="T379" s="139">
        <f>($O379*(1-(Assumptions!$C$25+0.06*(1-$J379))-Assumptions!$C$27)-Assumptions!$C$28)-MAX(0,($O379*(1-(Assumptions!$C$25+0.06*(1-$J379))-Assumptions!$C$27)-Assumptions!$C$28)*Assumptions!$C$31)+Assumptions!$C$28-Assumptions!$C$29-$O379*Assumptions!$C$30</f>
        <v>47.45650619</v>
      </c>
      <c r="U379" s="139">
        <f>($P379*(1-(Assumptions!$C$25+0.06*(1-$K379))-Assumptions!$C$27)-Assumptions!$C$28)-MAX(0,($P379*(1-(Assumptions!$C$25+0.06*(1-$K379))-Assumptions!$C$27)-Assumptions!$C$28)*Assumptions!$C$31)+Assumptions!$C$28-Assumptions!$C$29-$P379*Assumptions!$C$30</f>
        <v>128.2229627</v>
      </c>
      <c r="V379" s="143">
        <f>(($Q379/(1+$D379)^1+$R379/(1+$D379)^2+$S379/(1+$D379)^3+$T379/(1+$D379)^4+$U379/(1+$D379)^5+$U379*(1+$E379)/($D379-$E379)/(1+$D379)^5)-Assumptions!$C$37)/Assumptions!$C$40/Assumptions!$C$38</f>
        <v>6.119008269</v>
      </c>
    </row>
    <row r="380" ht="12.0" customHeight="1">
      <c r="B380" s="139">
        <v>328.0</v>
      </c>
      <c r="C380" s="140">
        <f t="shared" si="6"/>
        <v>0.967422428</v>
      </c>
      <c r="D380" s="141">
        <f t="shared" si="7"/>
        <v>0.1107249541</v>
      </c>
      <c r="E380" s="141">
        <f t="shared" si="8"/>
        <v>0.01341443443</v>
      </c>
      <c r="F380" s="140">
        <f t="shared" si="9"/>
        <v>0.8595230581</v>
      </c>
      <c r="G380" s="141">
        <f t="shared" si="10"/>
        <v>0.07409847506</v>
      </c>
      <c r="H380" s="142">
        <f t="shared" si="11"/>
        <v>1</v>
      </c>
      <c r="I380" s="142">
        <f t="shared" si="12"/>
        <v>1</v>
      </c>
      <c r="J380" s="142">
        <f t="shared" si="13"/>
        <v>1</v>
      </c>
      <c r="K380" s="142">
        <f t="shared" si="14"/>
        <v>1</v>
      </c>
      <c r="L380" s="139">
        <f>Assumptions!$C$6*Assumptions!$C$7*(1+$G380-0.05*(1-1))^1+Assumptions!$C$6*Assumptions!$C$8*(1+Assumptions!$C$11)^1+Assumptions!$C$16*1+Assumptions!$C$6*Assumptions!$C$9*(1+Assumptions!$C$12)^1</f>
        <v>751.4095467</v>
      </c>
      <c r="M380" s="139">
        <f>Assumptions!$C$6*Assumptions!$C$7*(1+$G380-0.05*(1-$H380))^2+Assumptions!$C$6*Assumptions!$C$8*(1+Assumptions!$C$11)^2+Assumptions!$C$16*$H380+Assumptions!$C$6*Assumptions!$C$9*(1+Assumptions!$C$12)^2</f>
        <v>784.796584</v>
      </c>
      <c r="N380" s="139">
        <f>Assumptions!$C$6*Assumptions!$C$7*(1+$G380-0.05*(1-$I380))^3+Assumptions!$C$6*Assumptions!$C$8*(1+Assumptions!$C$11)^3+Assumptions!$C$16*$I380+Assumptions!$C$6*Assumptions!$C$9*(1+Assumptions!$C$12)^3</f>
        <v>820.3006427</v>
      </c>
      <c r="O380" s="139">
        <f>Assumptions!$C$6*Assumptions!$C$7*(1+$G380-0.05*(1-$J380))^4+Assumptions!$C$6*Assumptions!$C$8*(1+Assumptions!$C$11)^4+Assumptions!$C$16*$J380+Assumptions!$C$6*Assumptions!$C$9*(1+Assumptions!$C$12)^4</f>
        <v>858.0714528</v>
      </c>
      <c r="P380" s="139">
        <f>Assumptions!$C$6*Assumptions!$C$7*(1+$G380-0.05*(1-$K380))^5+Assumptions!$C$6*Assumptions!$C$8*(1+Assumptions!$C$11)^5+Assumptions!$C$16*$K380+Assumptions!$C$6*Assumptions!$C$9*(1+Assumptions!$C$12)^5</f>
        <v>898.2696961</v>
      </c>
      <c r="Q380" s="139">
        <f>($L380*(1-(Assumptions!$C$25+0.06*(1-1))-Assumptions!$C$27)-Assumptions!$C$28)-MAX(0,($L380*(1-(Assumptions!$C$25+0.06*(1-1))-Assumptions!$C$27)-Assumptions!$C$28)*Assumptions!$C$31)+Assumptions!$C$28-Assumptions!$C$29-$L380*Assumptions!$C$30</f>
        <v>94.05305254</v>
      </c>
      <c r="R380" s="139">
        <f>($M380*(1-(Assumptions!$C$25+0.06*(1-$H380))-Assumptions!$C$27)-Assumptions!$C$28)-MAX(0,($M380*(1-(Assumptions!$C$25+0.06*(1-$H380))-Assumptions!$C$27)-Assumptions!$C$28)*Assumptions!$C$31)+Assumptions!$C$28-Assumptions!$C$29-$M380*Assumptions!$C$30</f>
        <v>101.2312656</v>
      </c>
      <c r="S380" s="139">
        <f>($N380*(1-(Assumptions!$C$25+0.06*(1-$I380))-Assumptions!$C$27)-Assumptions!$C$28)-MAX(0,($N380*(1-(Assumptions!$C$25+0.06*(1-$I380))-Assumptions!$C$27)-Assumptions!$C$28)*Assumptions!$C$31)+Assumptions!$C$28-Assumptions!$C$29-$N380*Assumptions!$C$30</f>
        <v>108.8646382</v>
      </c>
      <c r="T380" s="139">
        <f>($O380*(1-(Assumptions!$C$25+0.06*(1-$J380))-Assumptions!$C$27)-Assumptions!$C$28)-MAX(0,($O380*(1-(Assumptions!$C$25+0.06*(1-$J380))-Assumptions!$C$27)-Assumptions!$C$28)*Assumptions!$C$31)+Assumptions!$C$28-Assumptions!$C$29-$O380*Assumptions!$C$30</f>
        <v>116.9853623</v>
      </c>
      <c r="U380" s="139">
        <f>($P380*(1-(Assumptions!$C$25+0.06*(1-$K380))-Assumptions!$C$27)-Assumptions!$C$28)-MAX(0,($P380*(1-(Assumptions!$C$25+0.06*(1-$K380))-Assumptions!$C$27)-Assumptions!$C$28)*Assumptions!$C$31)+Assumptions!$C$28-Assumptions!$C$29-$P380*Assumptions!$C$30</f>
        <v>125.6279847</v>
      </c>
      <c r="V380" s="143">
        <f>(($Q380/(1+$D380)^1+$R380/(1+$D380)^2+$S380/(1+$D380)^3+$T380/(1+$D380)^4+$U380/(1+$D380)^5+$U380*(1+$E380)/($D380-$E380)/(1+$D380)^5)-Assumptions!$C$37)/Assumptions!$C$40/Assumptions!$C$38</f>
        <v>3.742327684</v>
      </c>
    </row>
    <row r="381" ht="12.0" customHeight="1">
      <c r="B381" s="139">
        <v>329.0</v>
      </c>
      <c r="C381" s="140">
        <f t="shared" si="6"/>
        <v>0.1800538739</v>
      </c>
      <c r="D381" s="141">
        <f t="shared" si="7"/>
        <v>0.09281269885</v>
      </c>
      <c r="E381" s="141">
        <f t="shared" si="8"/>
        <v>0.02197583893</v>
      </c>
      <c r="F381" s="140">
        <f t="shared" si="9"/>
        <v>0.2425978955</v>
      </c>
      <c r="G381" s="141">
        <f t="shared" si="10"/>
        <v>0.05089679908</v>
      </c>
      <c r="H381" s="142">
        <f t="shared" si="11"/>
        <v>0</v>
      </c>
      <c r="I381" s="142">
        <f t="shared" si="12"/>
        <v>1</v>
      </c>
      <c r="J381" s="142">
        <f t="shared" si="13"/>
        <v>1</v>
      </c>
      <c r="K381" s="142">
        <f t="shared" si="14"/>
        <v>0</v>
      </c>
      <c r="L381" s="139">
        <f>Assumptions!$C$6*Assumptions!$C$7*(1+$G381-0.05*(1-1))^1+Assumptions!$C$6*Assumptions!$C$8*(1+Assumptions!$C$11)^1+Assumptions!$C$16*1+Assumptions!$C$6*Assumptions!$C$9*(1+Assumptions!$C$12)^1</f>
        <v>743.5998626</v>
      </c>
      <c r="M381" s="139">
        <f>Assumptions!$C$6*Assumptions!$C$7*(1+$G381-0.05*(1-$H381))^2+Assumptions!$C$6*Assumptions!$C$8*(1+Assumptions!$C$11)^2+Assumptions!$C$16*$H381+Assumptions!$C$6*Assumptions!$C$9*(1+Assumptions!$C$12)^2</f>
        <v>673.6693559</v>
      </c>
      <c r="N381" s="139">
        <f>Assumptions!$C$6*Assumptions!$C$7*(1+$G381-0.05*(1-$I381))^3+Assumptions!$C$6*Assumptions!$C$8*(1+Assumptions!$C$11)^3+Assumptions!$C$16*$I381+Assumptions!$C$6*Assumptions!$C$9*(1+Assumptions!$C$12)^3</f>
        <v>793.8505056</v>
      </c>
      <c r="O381" s="139">
        <f>Assumptions!$C$6*Assumptions!$C$7*(1+$G381-0.05*(1-$J381))^4+Assumptions!$C$6*Assumptions!$C$8*(1+Assumptions!$C$11)^4+Assumptions!$C$16*$J381+Assumptions!$C$6*Assumptions!$C$9*(1+Assumptions!$C$12)^4</f>
        <v>820.5975307</v>
      </c>
      <c r="P381" s="139">
        <f>Assumptions!$C$6*Assumptions!$C$7*(1+$G381-0.05*(1-$K381))^5+Assumptions!$C$6*Assumptions!$C$8*(1+Assumptions!$C$11)^5+Assumptions!$C$16*$K381+Assumptions!$C$6*Assumptions!$C$9*(1+Assumptions!$C$12)^5</f>
        <v>695.1717541</v>
      </c>
      <c r="Q381" s="139">
        <f>($L381*(1-(Assumptions!$C$25+0.06*(1-1))-Assumptions!$C$27)-Assumptions!$C$28)-MAX(0,($L381*(1-(Assumptions!$C$25+0.06*(1-1))-Assumptions!$C$27)-Assumptions!$C$28)*Assumptions!$C$31)+Assumptions!$C$28-Assumptions!$C$29-$L381*Assumptions!$C$30</f>
        <v>92.37397045</v>
      </c>
      <c r="R381" s="139">
        <f>($M381*(1-(Assumptions!$C$25+0.06*(1-$H381))-Assumptions!$C$27)-Assumptions!$C$28)-MAX(0,($M381*(1-(Assumptions!$C$25+0.06*(1-$H381))-Assumptions!$C$27)-Assumptions!$C$28)*Assumptions!$C$31)+Assumptions!$C$28-Assumptions!$C$29-$M381*Assumptions!$C$30</f>
        <v>34.94395185</v>
      </c>
      <c r="S381" s="139">
        <f>($N381*(1-(Assumptions!$C$25+0.06*(1-$I381))-Assumptions!$C$27)-Assumptions!$C$28)-MAX(0,($N381*(1-(Assumptions!$C$25+0.06*(1-$I381))-Assumptions!$C$27)-Assumptions!$C$28)*Assumptions!$C$31)+Assumptions!$C$28-Assumptions!$C$29-$N381*Assumptions!$C$30</f>
        <v>103.1778587</v>
      </c>
      <c r="T381" s="139">
        <f>($O381*(1-(Assumptions!$C$25+0.06*(1-$J381))-Assumptions!$C$27)-Assumptions!$C$28)-MAX(0,($O381*(1-(Assumptions!$C$25+0.06*(1-$J381))-Assumptions!$C$27)-Assumptions!$C$28)*Assumptions!$C$31)+Assumptions!$C$28-Assumptions!$C$29-$O381*Assumptions!$C$30</f>
        <v>108.9284691</v>
      </c>
      <c r="U381" s="139">
        <f>($P381*(1-(Assumptions!$C$25+0.06*(1-$K381))-Assumptions!$C$27)-Assumptions!$C$28)-MAX(0,($P381*(1-(Assumptions!$C$25+0.06*(1-$K381))-Assumptions!$C$27)-Assumptions!$C$28)*Assumptions!$C$31)+Assumptions!$C$28-Assumptions!$C$29-$P381*Assumptions!$C$30</f>
        <v>39.88950345</v>
      </c>
      <c r="V381" s="143">
        <f>(($Q381/(1+$D381)^1+$R381/(1+$D381)^2+$S381/(1+$D381)^3+$T381/(1+$D381)^4+$U381/(1+$D381)^5+$U381*(1+$E381)/($D381-$E381)/(1+$D381)^5)-Assumptions!$C$37)/Assumptions!$C$40/Assumptions!$C$38</f>
        <v>-0.2157042851</v>
      </c>
    </row>
    <row r="382" ht="12.0" customHeight="1">
      <c r="B382" s="139">
        <v>330.0</v>
      </c>
      <c r="C382" s="140">
        <f t="shared" si="6"/>
        <v>0.8902740756</v>
      </c>
      <c r="D382" s="141">
        <f t="shared" si="7"/>
        <v>0.1071542213</v>
      </c>
      <c r="E382" s="141">
        <f t="shared" si="8"/>
        <v>0.02529012376</v>
      </c>
      <c r="F382" s="140">
        <f t="shared" si="9"/>
        <v>0.3969374906</v>
      </c>
      <c r="G382" s="141">
        <f t="shared" si="10"/>
        <v>0.05672989867</v>
      </c>
      <c r="H382" s="142">
        <f t="shared" si="11"/>
        <v>1</v>
      </c>
      <c r="I382" s="142">
        <f t="shared" si="12"/>
        <v>1</v>
      </c>
      <c r="J382" s="142">
        <f t="shared" si="13"/>
        <v>1</v>
      </c>
      <c r="K382" s="142">
        <f t="shared" si="14"/>
        <v>0</v>
      </c>
      <c r="L382" s="139">
        <f>Assumptions!$C$6*Assumptions!$C$7*(1+$G382-0.05*(1-1))^1+Assumptions!$C$6*Assumptions!$C$8*(1+Assumptions!$C$11)^1+Assumptions!$C$16*1+Assumptions!$C$6*Assumptions!$C$9*(1+Assumptions!$C$12)^1</f>
        <v>745.5632839</v>
      </c>
      <c r="M382" s="139">
        <f>Assumptions!$C$6*Assumptions!$C$7*(1+$G382-0.05*(1-$H382))^2+Assumptions!$C$6*Assumptions!$C$8*(1+Assumptions!$C$11)^2+Assumptions!$C$16*$H382+Assumptions!$C$6*Assumptions!$C$9*(1+Assumptions!$C$12)^2</f>
        <v>772.3392013</v>
      </c>
      <c r="N382" s="139">
        <f>Assumptions!$C$6*Assumptions!$C$7*(1+$G382-0.05*(1-$I382))^3+Assumptions!$C$6*Assumptions!$C$8*(1+Assumptions!$C$11)^3+Assumptions!$C$16*$I382+Assumptions!$C$6*Assumptions!$C$9*(1+Assumptions!$C$12)^3</f>
        <v>800.3917934</v>
      </c>
      <c r="O382" s="139">
        <f>Assumptions!$C$6*Assumptions!$C$7*(1+$G382-0.05*(1-$J382))^4+Assumptions!$C$6*Assumptions!$C$8*(1+Assumptions!$C$11)^4+Assumptions!$C$16*$J382+Assumptions!$C$6*Assumptions!$C$9*(1+Assumptions!$C$12)^4</f>
        <v>829.7886395</v>
      </c>
      <c r="P382" s="139">
        <f>Assumptions!$C$6*Assumptions!$C$7*(1+$G382-0.05*(1-$K382))^5+Assumptions!$C$6*Assumptions!$C$8*(1+Assumptions!$C$11)^5+Assumptions!$C$16*$K382+Assumptions!$C$6*Assumptions!$C$9*(1+Assumptions!$C$12)^5</f>
        <v>705.139632</v>
      </c>
      <c r="Q382" s="139">
        <f>($L382*(1-(Assumptions!$C$25+0.06*(1-1))-Assumptions!$C$27)-Assumptions!$C$28)-MAX(0,($L382*(1-(Assumptions!$C$25+0.06*(1-1))-Assumptions!$C$27)-Assumptions!$C$28)*Assumptions!$C$31)+Assumptions!$C$28-Assumptions!$C$29-$L382*Assumptions!$C$30</f>
        <v>92.79610604</v>
      </c>
      <c r="R382" s="139">
        <f>($M382*(1-(Assumptions!$C$25+0.06*(1-$H382))-Assumptions!$C$27)-Assumptions!$C$28)-MAX(0,($M382*(1-(Assumptions!$C$25+0.06*(1-$H382))-Assumptions!$C$27)-Assumptions!$C$28)*Assumptions!$C$31)+Assumptions!$C$28-Assumptions!$C$29-$M382*Assumptions!$C$30</f>
        <v>98.55292828</v>
      </c>
      <c r="S382" s="139">
        <f>($N382*(1-(Assumptions!$C$25+0.06*(1-$I382))-Assumptions!$C$27)-Assumptions!$C$28)-MAX(0,($N382*(1-(Assumptions!$C$25+0.06*(1-$I382))-Assumptions!$C$27)-Assumptions!$C$28)*Assumptions!$C$31)+Assumptions!$C$28-Assumptions!$C$29-$N382*Assumptions!$C$30</f>
        <v>104.5842356</v>
      </c>
      <c r="T382" s="139">
        <f>($O382*(1-(Assumptions!$C$25+0.06*(1-$J382))-Assumptions!$C$27)-Assumptions!$C$28)-MAX(0,($O382*(1-(Assumptions!$C$25+0.06*(1-$J382))-Assumptions!$C$27)-Assumptions!$C$28)*Assumptions!$C$31)+Assumptions!$C$28-Assumptions!$C$29-$O382*Assumptions!$C$30</f>
        <v>110.9045575</v>
      </c>
      <c r="U382" s="139">
        <f>($P382*(1-(Assumptions!$C$25+0.06*(1-$K382))-Assumptions!$C$27)-Assumptions!$C$28)-MAX(0,($P382*(1-(Assumptions!$C$25+0.06*(1-$K382))-Assumptions!$C$27)-Assumptions!$C$28)*Assumptions!$C$31)+Assumptions!$C$28-Assumptions!$C$29-$P382*Assumptions!$C$30</f>
        <v>42.18211535</v>
      </c>
      <c r="V382" s="143">
        <f>(($Q382/(1+$D382)^1+$R382/(1+$D382)^2+$S382/(1+$D382)^3+$T382/(1+$D382)^4+$U382/(1+$D382)^5+$U382*(1+$E382)/($D382-$E382)/(1+$D382)^5)-Assumptions!$C$37)/Assumptions!$C$40/Assumptions!$C$38</f>
        <v>-0.2628796301</v>
      </c>
    </row>
    <row r="383" ht="12.0" customHeight="1">
      <c r="B383" s="139">
        <v>331.0</v>
      </c>
      <c r="C383" s="140">
        <f t="shared" si="6"/>
        <v>0.9762926874</v>
      </c>
      <c r="D383" s="141">
        <f t="shared" si="7"/>
        <v>0.1113531106</v>
      </c>
      <c r="E383" s="141">
        <f t="shared" si="8"/>
        <v>0.0260151398</v>
      </c>
      <c r="F383" s="140">
        <f t="shared" si="9"/>
        <v>0.2506392157</v>
      </c>
      <c r="G383" s="141">
        <f t="shared" si="10"/>
        <v>0.05124030575</v>
      </c>
      <c r="H383" s="142">
        <f t="shared" si="11"/>
        <v>1</v>
      </c>
      <c r="I383" s="142">
        <f t="shared" si="12"/>
        <v>1</v>
      </c>
      <c r="J383" s="142">
        <f t="shared" si="13"/>
        <v>1</v>
      </c>
      <c r="K383" s="142">
        <f t="shared" si="14"/>
        <v>0</v>
      </c>
      <c r="L383" s="139">
        <f>Assumptions!$C$6*Assumptions!$C$7*(1+$G383-0.05*(1-1))^1+Assumptions!$C$6*Assumptions!$C$8*(1+Assumptions!$C$11)^1+Assumptions!$C$16*1+Assumptions!$C$6*Assumptions!$C$9*(1+Assumptions!$C$12)^1</f>
        <v>743.7154869</v>
      </c>
      <c r="M383" s="139">
        <f>Assumptions!$C$6*Assumptions!$C$7*(1+$G383-0.05*(1-$H383))^2+Assumptions!$C$6*Assumptions!$C$8*(1+Assumptions!$C$11)^2+Assumptions!$C$16*$H383+Assumptions!$C$6*Assumptions!$C$9*(1+Assumptions!$C$12)^2</f>
        <v>768.4441003</v>
      </c>
      <c r="N383" s="139">
        <f>Assumptions!$C$6*Assumptions!$C$7*(1+$G383-0.05*(1-$I383))^3+Assumptions!$C$6*Assumptions!$C$8*(1+Assumptions!$C$11)^3+Assumptions!$C$16*$I383+Assumptions!$C$6*Assumptions!$C$9*(1+Assumptions!$C$12)^3</f>
        <v>794.2337119</v>
      </c>
      <c r="O383" s="139">
        <f>Assumptions!$C$6*Assumptions!$C$7*(1+$G383-0.05*(1-$J383))^4+Assumptions!$C$6*Assumptions!$C$8*(1+Assumptions!$C$11)^4+Assumptions!$C$16*$J383+Assumptions!$C$6*Assumptions!$C$9*(1+Assumptions!$C$12)^4</f>
        <v>821.1345655</v>
      </c>
      <c r="P383" s="139">
        <f>Assumptions!$C$6*Assumptions!$C$7*(1+$G383-0.05*(1-$K383))^5+Assumptions!$C$6*Assumptions!$C$8*(1+Assumptions!$C$11)^5+Assumptions!$C$16*$K383+Assumptions!$C$6*Assumptions!$C$9*(1+Assumptions!$C$12)^5</f>
        <v>695.7523509</v>
      </c>
      <c r="Q383" s="139">
        <f>($L383*(1-(Assumptions!$C$25+0.06*(1-1))-Assumptions!$C$27)-Assumptions!$C$28)-MAX(0,($L383*(1-(Assumptions!$C$25+0.06*(1-1))-Assumptions!$C$27)-Assumptions!$C$28)*Assumptions!$C$31)+Assumptions!$C$28-Assumptions!$C$29-$L383*Assumptions!$C$30</f>
        <v>92.39882969</v>
      </c>
      <c r="R383" s="139">
        <f>($M383*(1-(Assumptions!$C$25+0.06*(1-$H383))-Assumptions!$C$27)-Assumptions!$C$28)-MAX(0,($M383*(1-(Assumptions!$C$25+0.06*(1-$H383))-Assumptions!$C$27)-Assumptions!$C$28)*Assumptions!$C$31)+Assumptions!$C$28-Assumptions!$C$29-$M383*Assumptions!$C$30</f>
        <v>97.71548157</v>
      </c>
      <c r="S383" s="139">
        <f>($N383*(1-(Assumptions!$C$25+0.06*(1-$I383))-Assumptions!$C$27)-Assumptions!$C$28)-MAX(0,($N383*(1-(Assumptions!$C$25+0.06*(1-$I383))-Assumptions!$C$27)-Assumptions!$C$28)*Assumptions!$C$31)+Assumptions!$C$28-Assumptions!$C$29-$N383*Assumptions!$C$30</f>
        <v>103.2602481</v>
      </c>
      <c r="T383" s="139">
        <f>($O383*(1-(Assumptions!$C$25+0.06*(1-$J383))-Assumptions!$C$27)-Assumptions!$C$28)-MAX(0,($O383*(1-(Assumptions!$C$25+0.06*(1-$J383))-Assumptions!$C$27)-Assumptions!$C$28)*Assumptions!$C$31)+Assumptions!$C$28-Assumptions!$C$29-$O383*Assumptions!$C$30</f>
        <v>109.0439316</v>
      </c>
      <c r="U383" s="139">
        <f>($P383*(1-(Assumptions!$C$25+0.06*(1-$K383))-Assumptions!$C$27)-Assumptions!$C$28)-MAX(0,($P383*(1-(Assumptions!$C$25+0.06*(1-$K383))-Assumptions!$C$27)-Assumptions!$C$28)*Assumptions!$C$31)+Assumptions!$C$28-Assumptions!$C$29-$P383*Assumptions!$C$30</f>
        <v>40.0230407</v>
      </c>
      <c r="V383" s="143">
        <f>(($Q383/(1+$D383)^1+$R383/(1+$D383)^2+$S383/(1+$D383)^3+$T383/(1+$D383)^4+$U383/(1+$D383)^5+$U383*(1+$E383)/($D383-$E383)/(1+$D383)^5)-Assumptions!$C$37)/Assumptions!$C$40/Assumptions!$C$38</f>
        <v>-0.5876051614</v>
      </c>
    </row>
    <row r="384" ht="12.0" customHeight="1">
      <c r="B384" s="139">
        <v>332.0</v>
      </c>
      <c r="C384" s="140">
        <f t="shared" si="6"/>
        <v>0.9854165026</v>
      </c>
      <c r="D384" s="141">
        <f t="shared" si="7"/>
        <v>0.1121396955</v>
      </c>
      <c r="E384" s="141">
        <f t="shared" si="8"/>
        <v>0.01921126758</v>
      </c>
      <c r="F384" s="140">
        <f t="shared" si="9"/>
        <v>0.1243896535</v>
      </c>
      <c r="G384" s="141">
        <f t="shared" si="10"/>
        <v>0.0449633344</v>
      </c>
      <c r="H384" s="142">
        <f t="shared" si="11"/>
        <v>1</v>
      </c>
      <c r="I384" s="142">
        <f t="shared" si="12"/>
        <v>0</v>
      </c>
      <c r="J384" s="142">
        <f t="shared" si="13"/>
        <v>1</v>
      </c>
      <c r="K384" s="142">
        <f t="shared" si="14"/>
        <v>1</v>
      </c>
      <c r="L384" s="139">
        <f>Assumptions!$C$6*Assumptions!$C$7*(1+$G384-0.05*(1-1))^1+Assumptions!$C$6*Assumptions!$C$8*(1+Assumptions!$C$11)^1+Assumptions!$C$16*1+Assumptions!$C$6*Assumptions!$C$9*(1+Assumptions!$C$12)^1</f>
        <v>741.6026584</v>
      </c>
      <c r="M384" s="139">
        <f>Assumptions!$C$6*Assumptions!$C$7*(1+$G384-0.05*(1-$H384))^2+Assumptions!$C$6*Assumptions!$C$8*(1+Assumptions!$C$11)^2+Assumptions!$C$16*$H384+Assumptions!$C$6*Assumptions!$C$9*(1+Assumptions!$C$12)^2</f>
        <v>764.0151814</v>
      </c>
      <c r="N384" s="139">
        <f>Assumptions!$C$6*Assumptions!$C$7*(1+$G384-0.05*(1-$I384))^3+Assumptions!$C$6*Assumptions!$C$8*(1+Assumptions!$C$11)^3+Assumptions!$C$16*$I384+Assumptions!$C$6*Assumptions!$C$9*(1+Assumptions!$C$12)^3</f>
        <v>674.7342159</v>
      </c>
      <c r="O384" s="139">
        <f>Assumptions!$C$6*Assumptions!$C$7*(1+$G384-0.05*(1-$J384))^4+Assumptions!$C$6*Assumptions!$C$8*(1+Assumptions!$C$11)^4+Assumptions!$C$16*$J384+Assumptions!$C$6*Assumptions!$C$9*(1+Assumptions!$C$12)^4</f>
        <v>811.403989</v>
      </c>
      <c r="P384" s="139">
        <f>Assumptions!$C$6*Assumptions!$C$7*(1+$G384-0.05*(1-$K384))^5+Assumptions!$C$6*Assumptions!$C$8*(1+Assumptions!$C$11)^5+Assumptions!$C$16*$K384+Assumptions!$C$6*Assumptions!$C$9*(1+Assumptions!$C$12)^5</f>
        <v>836.4509889</v>
      </c>
      <c r="Q384" s="139">
        <f>($L384*(1-(Assumptions!$C$25+0.06*(1-1))-Assumptions!$C$27)-Assumptions!$C$28)-MAX(0,($L384*(1-(Assumptions!$C$25+0.06*(1-1))-Assumptions!$C$27)-Assumptions!$C$28)*Assumptions!$C$31)+Assumptions!$C$28-Assumptions!$C$29-$L384*Assumptions!$C$30</f>
        <v>91.94457155</v>
      </c>
      <c r="R384" s="139">
        <f>($M384*(1-(Assumptions!$C$25+0.06*(1-$H384))-Assumptions!$C$27)-Assumptions!$C$28)-MAX(0,($M384*(1-(Assumptions!$C$25+0.06*(1-$H384))-Assumptions!$C$27)-Assumptions!$C$28)*Assumptions!$C$31)+Assumptions!$C$28-Assumptions!$C$29-$M384*Assumptions!$C$30</f>
        <v>96.76326401</v>
      </c>
      <c r="S384" s="139">
        <f>($N384*(1-(Assumptions!$C$25+0.06*(1-$I384))-Assumptions!$C$27)-Assumptions!$C$28)-MAX(0,($N384*(1-(Assumptions!$C$25+0.06*(1-$I384))-Assumptions!$C$27)-Assumptions!$C$28)*Assumptions!$C$31)+Assumptions!$C$28-Assumptions!$C$29-$N384*Assumptions!$C$30</f>
        <v>35.18886965</v>
      </c>
      <c r="T384" s="139">
        <f>($O384*(1-(Assumptions!$C$25+0.06*(1-$J384))-Assumptions!$C$27)-Assumptions!$C$28)-MAX(0,($O384*(1-(Assumptions!$C$25+0.06*(1-$J384))-Assumptions!$C$27)-Assumptions!$C$28)*Assumptions!$C$31)+Assumptions!$C$28-Assumptions!$C$29-$O384*Assumptions!$C$30</f>
        <v>106.9518576</v>
      </c>
      <c r="U384" s="139">
        <f>($P384*(1-(Assumptions!$C$25+0.06*(1-$K384))-Assumptions!$C$27)-Assumptions!$C$28)-MAX(0,($P384*(1-(Assumptions!$C$25+0.06*(1-$K384))-Assumptions!$C$27)-Assumptions!$C$28)*Assumptions!$C$31)+Assumptions!$C$28-Assumptions!$C$29-$P384*Assumptions!$C$30</f>
        <v>112.3369626</v>
      </c>
      <c r="V384" s="143">
        <f>(($Q384/(1+$D384)^1+$R384/(1+$D384)^2+$S384/(1+$D384)^3+$T384/(1+$D384)^4+$U384/(1+$D384)^5+$U384*(1+$E384)/($D384-$E384)/(1+$D384)^5)-Assumptions!$C$37)/Assumptions!$C$40/Assumptions!$C$38</f>
        <v>2.769625463</v>
      </c>
    </row>
    <row r="385" ht="12.0" customHeight="1">
      <c r="B385" s="139">
        <v>333.0</v>
      </c>
      <c r="C385" s="140">
        <f t="shared" si="6"/>
        <v>0.3504253204</v>
      </c>
      <c r="D385" s="141">
        <f t="shared" si="7"/>
        <v>0.09589927445</v>
      </c>
      <c r="E385" s="141">
        <f t="shared" si="8"/>
        <v>0.01648941438</v>
      </c>
      <c r="F385" s="140">
        <f t="shared" si="9"/>
        <v>0.8220043373</v>
      </c>
      <c r="G385" s="141">
        <f t="shared" si="10"/>
        <v>0.07210049741</v>
      </c>
      <c r="H385" s="142">
        <f t="shared" si="11"/>
        <v>1</v>
      </c>
      <c r="I385" s="142">
        <f t="shared" si="12"/>
        <v>1</v>
      </c>
      <c r="J385" s="142">
        <f t="shared" si="13"/>
        <v>1</v>
      </c>
      <c r="K385" s="142">
        <f t="shared" si="14"/>
        <v>1</v>
      </c>
      <c r="L385" s="139">
        <f>Assumptions!$C$6*Assumptions!$C$7*(1+$G385-0.05*(1-1))^1+Assumptions!$C$6*Assumptions!$C$8*(1+Assumptions!$C$11)^1+Assumptions!$C$16*1+Assumptions!$C$6*Assumptions!$C$9*(1+Assumptions!$C$12)^1</f>
        <v>750.7370274</v>
      </c>
      <c r="M385" s="139">
        <f>Assumptions!$C$6*Assumptions!$C$7*(1+$G385-0.05*(1-$H385))^2+Assumptions!$C$6*Assumptions!$C$8*(1+Assumptions!$C$11)^2+Assumptions!$C$16*$H385+Assumptions!$C$6*Assumptions!$C$9*(1+Assumptions!$C$12)^2</f>
        <v>783.3532238</v>
      </c>
      <c r="N385" s="139">
        <f>Assumptions!$C$6*Assumptions!$C$7*(1+$G385-0.05*(1-$I385))^3+Assumptions!$C$6*Assumptions!$C$8*(1+Assumptions!$C$11)^3+Assumptions!$C$16*$I385+Assumptions!$C$6*Assumptions!$C$9*(1+Assumptions!$C$12)^3</f>
        <v>817.9773384</v>
      </c>
      <c r="O385" s="139">
        <f>Assumptions!$C$6*Assumptions!$C$7*(1+$G385-0.05*(1-$J385))^4+Assumptions!$C$6*Assumptions!$C$8*(1+Assumptions!$C$11)^4+Assumptions!$C$16*$J385+Assumptions!$C$6*Assumptions!$C$9*(1+Assumptions!$C$12)^4</f>
        <v>854.7472687</v>
      </c>
      <c r="P385" s="139">
        <f>Assumptions!$C$6*Assumptions!$C$7*(1+$G385-0.05*(1-$K385))^5+Assumptions!$C$6*Assumptions!$C$8*(1+Assumptions!$C$11)^5+Assumptions!$C$16*$K385+Assumptions!$C$6*Assumptions!$C$9*(1+Assumptions!$C$12)^5</f>
        <v>893.8107169</v>
      </c>
      <c r="Q385" s="139">
        <f>($L385*(1-(Assumptions!$C$25+0.06*(1-1))-Assumptions!$C$27)-Assumptions!$C$28)-MAX(0,($L385*(1-(Assumptions!$C$25+0.06*(1-1))-Assumptions!$C$27)-Assumptions!$C$28)*Assumptions!$C$31)+Assumptions!$C$28-Assumptions!$C$29-$L385*Assumptions!$C$30</f>
        <v>93.9084609</v>
      </c>
      <c r="R385" s="139">
        <f>($M385*(1-(Assumptions!$C$25+0.06*(1-$H385))-Assumptions!$C$27)-Assumptions!$C$28)-MAX(0,($M385*(1-(Assumptions!$C$25+0.06*(1-$H385))-Assumptions!$C$27)-Assumptions!$C$28)*Assumptions!$C$31)+Assumptions!$C$28-Assumptions!$C$29-$M385*Assumptions!$C$30</f>
        <v>100.9209431</v>
      </c>
      <c r="S385" s="139">
        <f>($N385*(1-(Assumptions!$C$25+0.06*(1-$I385))-Assumptions!$C$27)-Assumptions!$C$28)-MAX(0,($N385*(1-(Assumptions!$C$25+0.06*(1-$I385))-Assumptions!$C$27)-Assumptions!$C$28)*Assumptions!$C$31)+Assumptions!$C$28-Assumptions!$C$29-$N385*Assumptions!$C$30</f>
        <v>108.3651278</v>
      </c>
      <c r="T385" s="139">
        <f>($O385*(1-(Assumptions!$C$25+0.06*(1-$J385))-Assumptions!$C$27)-Assumptions!$C$28)-MAX(0,($O385*(1-(Assumptions!$C$25+0.06*(1-$J385))-Assumptions!$C$27)-Assumptions!$C$28)*Assumptions!$C$31)+Assumptions!$C$28-Assumptions!$C$29-$O385*Assumptions!$C$30</f>
        <v>116.2706628</v>
      </c>
      <c r="U385" s="139">
        <f>($P385*(1-(Assumptions!$C$25+0.06*(1-$K385))-Assumptions!$C$27)-Assumptions!$C$28)-MAX(0,($P385*(1-(Assumptions!$C$25+0.06*(1-$K385))-Assumptions!$C$27)-Assumptions!$C$28)*Assumptions!$C$31)+Assumptions!$C$28-Assumptions!$C$29-$P385*Assumptions!$C$30</f>
        <v>124.6693041</v>
      </c>
      <c r="V385" s="143">
        <f>(($Q385/(1+$D385)^1+$R385/(1+$D385)^2+$S385/(1+$D385)^3+$T385/(1+$D385)^4+$U385/(1+$D385)^5+$U385*(1+$E385)/($D385-$E385)/(1+$D385)^5)-Assumptions!$C$37)/Assumptions!$C$40/Assumptions!$C$38</f>
        <v>5.692215124</v>
      </c>
    </row>
    <row r="386" ht="12.0" customHeight="1">
      <c r="B386" s="139">
        <v>334.0</v>
      </c>
      <c r="C386" s="140">
        <f t="shared" si="6"/>
        <v>0.1419130947</v>
      </c>
      <c r="D386" s="141">
        <f t="shared" si="7"/>
        <v>0.09193603194</v>
      </c>
      <c r="E386" s="141">
        <f t="shared" si="8"/>
        <v>0.01098710705</v>
      </c>
      <c r="F386" s="140">
        <f t="shared" si="9"/>
        <v>0.6153399589</v>
      </c>
      <c r="G386" s="141">
        <f t="shared" si="10"/>
        <v>0.06368673198</v>
      </c>
      <c r="H386" s="142">
        <f t="shared" si="11"/>
        <v>1</v>
      </c>
      <c r="I386" s="142">
        <f t="shared" si="12"/>
        <v>1</v>
      </c>
      <c r="J386" s="142">
        <f t="shared" si="13"/>
        <v>1</v>
      </c>
      <c r="K386" s="142">
        <f t="shared" si="14"/>
        <v>1</v>
      </c>
      <c r="L386" s="139">
        <f>Assumptions!$C$6*Assumptions!$C$7*(1+$G386-0.05*(1-1))^1+Assumptions!$C$6*Assumptions!$C$8*(1+Assumptions!$C$11)^1+Assumptions!$C$16*1+Assumptions!$C$6*Assumptions!$C$9*(1+Assumptions!$C$12)^1</f>
        <v>747.904954</v>
      </c>
      <c r="M386" s="139">
        <f>Assumptions!$C$6*Assumptions!$C$7*(1+$G386-0.05*(1-$H386))^2+Assumptions!$C$6*Assumptions!$C$8*(1+Assumptions!$C$11)^2+Assumptions!$C$16*$H386+Assumptions!$C$6*Assumptions!$C$9*(1+Assumptions!$C$12)^2</f>
        <v>777.3045175</v>
      </c>
      <c r="N386" s="139">
        <f>Assumptions!$C$6*Assumptions!$C$7*(1+$G386-0.05*(1-$I386))^3+Assumptions!$C$6*Assumptions!$C$8*(1+Assumptions!$C$11)^3+Assumptions!$C$16*$I386+Assumptions!$C$6*Assumptions!$C$9*(1+Assumptions!$C$12)^3</f>
        <v>808.2882261</v>
      </c>
      <c r="O386" s="139">
        <f>Assumptions!$C$6*Assumptions!$C$7*(1+$G386-0.05*(1-$J386))^4+Assumptions!$C$6*Assumptions!$C$8*(1+Assumptions!$C$11)^4+Assumptions!$C$16*$J386+Assumptions!$C$6*Assumptions!$C$9*(1+Assumptions!$C$12)^4</f>
        <v>840.9512043</v>
      </c>
      <c r="P386" s="139">
        <f>Assumptions!$C$6*Assumptions!$C$7*(1+$G386-0.05*(1-$K386))^5+Assumptions!$C$6*Assumptions!$C$8*(1+Assumptions!$C$11)^5+Assumptions!$C$16*$K386+Assumptions!$C$6*Assumptions!$C$9*(1+Assumptions!$C$12)^5</f>
        <v>875.3945198</v>
      </c>
      <c r="Q386" s="139">
        <f>($L386*(1-(Assumptions!$C$25+0.06*(1-1))-Assumptions!$C$27)-Assumptions!$C$28)-MAX(0,($L386*(1-(Assumptions!$C$25+0.06*(1-1))-Assumptions!$C$27)-Assumptions!$C$28)*Assumptions!$C$31)+Assumptions!$C$28-Assumptions!$C$29-$L386*Assumptions!$C$30</f>
        <v>93.29956511</v>
      </c>
      <c r="R386" s="139">
        <f>($M386*(1-(Assumptions!$C$25+0.06*(1-$H386))-Assumptions!$C$27)-Assumptions!$C$28)-MAX(0,($M386*(1-(Assumptions!$C$25+0.06*(1-$H386))-Assumptions!$C$27)-Assumptions!$C$28)*Assumptions!$C$31)+Assumptions!$C$28-Assumptions!$C$29-$M386*Assumptions!$C$30</f>
        <v>99.62047126</v>
      </c>
      <c r="S386" s="139">
        <f>($N386*(1-(Assumptions!$C$25+0.06*(1-$I386))-Assumptions!$C$27)-Assumptions!$C$28)-MAX(0,($N386*(1-(Assumptions!$C$25+0.06*(1-$I386))-Assumptions!$C$27)-Assumptions!$C$28)*Assumptions!$C$31)+Assumptions!$C$28-Assumptions!$C$29-$N386*Assumptions!$C$30</f>
        <v>106.2819686</v>
      </c>
      <c r="T386" s="139">
        <f>($O386*(1-(Assumptions!$C$25+0.06*(1-$J386))-Assumptions!$C$27)-Assumptions!$C$28)-MAX(0,($O386*(1-(Assumptions!$C$25+0.06*(1-$J386))-Assumptions!$C$27)-Assumptions!$C$28)*Assumptions!$C$31)+Assumptions!$C$28-Assumptions!$C$29-$O386*Assumptions!$C$30</f>
        <v>113.3045089</v>
      </c>
      <c r="U386" s="139">
        <f>($P386*(1-(Assumptions!$C$25+0.06*(1-$K386))-Assumptions!$C$27)-Assumptions!$C$28)-MAX(0,($P386*(1-(Assumptions!$C$25+0.06*(1-$K386))-Assumptions!$C$27)-Assumptions!$C$28)*Assumptions!$C$31)+Assumptions!$C$28-Assumptions!$C$29-$P386*Assumptions!$C$30</f>
        <v>120.7098218</v>
      </c>
      <c r="V386" s="143">
        <f>(($Q386/(1+$D386)^1+$R386/(1+$D386)^2+$S386/(1+$D386)^3+$T386/(1+$D386)^4+$U386/(1+$D386)^5+$U386*(1+$E386)/($D386-$E386)/(1+$D386)^5)-Assumptions!$C$37)/Assumptions!$C$40/Assumptions!$C$38</f>
        <v>5.365615606</v>
      </c>
    </row>
    <row r="387" ht="12.0" customHeight="1">
      <c r="B387" s="139">
        <v>335.0</v>
      </c>
      <c r="C387" s="140">
        <f t="shared" si="6"/>
        <v>0.9814864704</v>
      </c>
      <c r="D387" s="141">
        <f t="shared" si="7"/>
        <v>0.1117772543</v>
      </c>
      <c r="E387" s="141">
        <f t="shared" si="8"/>
        <v>0.01487982529</v>
      </c>
      <c r="F387" s="140">
        <f t="shared" si="9"/>
        <v>0.4826707401</v>
      </c>
      <c r="G387" s="141">
        <f t="shared" si="10"/>
        <v>0.05947553786</v>
      </c>
      <c r="H387" s="142">
        <f t="shared" si="11"/>
        <v>1</v>
      </c>
      <c r="I387" s="142">
        <f t="shared" si="12"/>
        <v>1</v>
      </c>
      <c r="J387" s="142">
        <f t="shared" si="13"/>
        <v>0</v>
      </c>
      <c r="K387" s="142">
        <f t="shared" si="14"/>
        <v>0</v>
      </c>
      <c r="L387" s="139">
        <f>Assumptions!$C$6*Assumptions!$C$7*(1+$G387-0.05*(1-1))^1+Assumptions!$C$6*Assumptions!$C$8*(1+Assumptions!$C$11)^1+Assumptions!$C$16*1+Assumptions!$C$6*Assumptions!$C$9*(1+Assumptions!$C$12)^1</f>
        <v>746.487466</v>
      </c>
      <c r="M387" s="139">
        <f>Assumptions!$C$6*Assumptions!$C$7*(1+$G387-0.05*(1-$H387))^2+Assumptions!$C$6*Assumptions!$C$8*(1+Assumptions!$C$11)^2+Assumptions!$C$16*$H387+Assumptions!$C$6*Assumptions!$C$9*(1+Assumptions!$C$12)^2</f>
        <v>774.2949606</v>
      </c>
      <c r="N387" s="139">
        <f>Assumptions!$C$6*Assumptions!$C$7*(1+$G387-0.05*(1-$I387))^3+Assumptions!$C$6*Assumptions!$C$8*(1+Assumptions!$C$11)^3+Assumptions!$C$16*$I387+Assumptions!$C$6*Assumptions!$C$9*(1+Assumptions!$C$12)^3</f>
        <v>803.4958865</v>
      </c>
      <c r="O387" s="139">
        <f>Assumptions!$C$6*Assumptions!$C$7*(1+$G387-0.05*(1-$J387))^4+Assumptions!$C$6*Assumptions!$C$8*(1+Assumptions!$C$11)^4+Assumptions!$C$16*$J387+Assumptions!$C$6*Assumptions!$C$9*(1+Assumptions!$C$12)^4</f>
        <v>699.5989043</v>
      </c>
      <c r="P387" s="139">
        <f>Assumptions!$C$6*Assumptions!$C$7*(1+$G387-0.05*(1-$K387))^5+Assumptions!$C$6*Assumptions!$C$8*(1+Assumptions!$C$11)^5+Assumptions!$C$16*$K387+Assumptions!$C$6*Assumptions!$C$9*(1+Assumptions!$C$12)^5</f>
        <v>709.9121583</v>
      </c>
      <c r="Q387" s="139">
        <f>($L387*(1-(Assumptions!$C$25+0.06*(1-1))-Assumptions!$C$27)-Assumptions!$C$28)-MAX(0,($L387*(1-(Assumptions!$C$25+0.06*(1-1))-Assumptions!$C$27)-Assumptions!$C$28)*Assumptions!$C$31)+Assumptions!$C$28-Assumptions!$C$29-$L387*Assumptions!$C$30</f>
        <v>92.9948052</v>
      </c>
      <c r="R387" s="139">
        <f>($M387*(1-(Assumptions!$C$25+0.06*(1-$H387))-Assumptions!$C$27)-Assumptions!$C$28)-MAX(0,($M387*(1-(Assumptions!$C$25+0.06*(1-$H387))-Assumptions!$C$27)-Assumptions!$C$28)*Assumptions!$C$31)+Assumptions!$C$28-Assumptions!$C$29-$M387*Assumptions!$C$30</f>
        <v>98.97341653</v>
      </c>
      <c r="S387" s="139">
        <f>($N387*(1-(Assumptions!$C$25+0.06*(1-$I387))-Assumptions!$C$27)-Assumptions!$C$28)-MAX(0,($N387*(1-(Assumptions!$C$25+0.06*(1-$I387))-Assumptions!$C$27)-Assumptions!$C$28)*Assumptions!$C$31)+Assumptions!$C$28-Assumptions!$C$29-$N387*Assumptions!$C$30</f>
        <v>105.2516156</v>
      </c>
      <c r="T387" s="139">
        <f>($O387*(1-(Assumptions!$C$25+0.06*(1-$J387))-Assumptions!$C$27)-Assumptions!$C$28)-MAX(0,($O387*(1-(Assumptions!$C$25+0.06*(1-$J387))-Assumptions!$C$27)-Assumptions!$C$28)*Assumptions!$C$31)+Assumptions!$C$28-Assumptions!$C$29-$O387*Assumptions!$C$30</f>
        <v>40.907748</v>
      </c>
      <c r="U387" s="139">
        <f>($P387*(1-(Assumptions!$C$25+0.06*(1-$K387))-Assumptions!$C$27)-Assumptions!$C$28)-MAX(0,($P387*(1-(Assumptions!$C$25+0.06*(1-$K387))-Assumptions!$C$27)-Assumptions!$C$28)*Assumptions!$C$31)+Assumptions!$C$28-Assumptions!$C$29-$P387*Assumptions!$C$30</f>
        <v>43.27979641</v>
      </c>
      <c r="V387" s="143">
        <f>(($Q387/(1+$D387)^1+$R387/(1+$D387)^2+$S387/(1+$D387)^3+$T387/(1+$D387)^4+$U387/(1+$D387)^5+$U387*(1+$E387)/($D387-$E387)/(1+$D387)^5)-Assumptions!$C$37)/Assumptions!$C$40/Assumptions!$C$38</f>
        <v>-1.032209791</v>
      </c>
    </row>
    <row r="388" ht="12.0" customHeight="1">
      <c r="B388" s="139">
        <v>336.0</v>
      </c>
      <c r="C388" s="140">
        <f t="shared" si="6"/>
        <v>0.8565115032</v>
      </c>
      <c r="D388" s="141">
        <f t="shared" si="7"/>
        <v>0.1060279854</v>
      </c>
      <c r="E388" s="141">
        <f t="shared" si="8"/>
        <v>0.01200439293</v>
      </c>
      <c r="F388" s="140">
        <f t="shared" si="9"/>
        <v>0.4835867285</v>
      </c>
      <c r="G388" s="141">
        <f t="shared" si="10"/>
        <v>0.05950349321</v>
      </c>
      <c r="H388" s="142">
        <f t="shared" si="11"/>
        <v>0</v>
      </c>
      <c r="I388" s="142">
        <f t="shared" si="12"/>
        <v>1</v>
      </c>
      <c r="J388" s="142">
        <f t="shared" si="13"/>
        <v>0</v>
      </c>
      <c r="K388" s="142">
        <f t="shared" si="14"/>
        <v>0</v>
      </c>
      <c r="L388" s="139">
        <f>Assumptions!$C$6*Assumptions!$C$7*(1+$G388-0.05*(1-1))^1+Assumptions!$C$6*Assumptions!$C$8*(1+Assumptions!$C$11)^1+Assumptions!$C$16*1+Assumptions!$C$6*Assumptions!$C$9*(1+Assumptions!$C$12)^1</f>
        <v>746.4968758</v>
      </c>
      <c r="M388" s="139">
        <f>Assumptions!$C$6*Assumptions!$C$7*(1+$G388-0.05*(1-$H388))^2+Assumptions!$C$6*Assumptions!$C$8*(1+Assumptions!$C$11)^2+Assumptions!$C$16*$H388+Assumptions!$C$6*Assumptions!$C$9*(1+Assumptions!$C$12)^2</f>
        <v>679.4935121</v>
      </c>
      <c r="N388" s="139">
        <f>Assumptions!$C$6*Assumptions!$C$7*(1+$G388-0.05*(1-$I388))^3+Assumptions!$C$6*Assumptions!$C$8*(1+Assumptions!$C$11)^3+Assumptions!$C$16*$I388+Assumptions!$C$6*Assumptions!$C$9*(1+Assumptions!$C$12)^3</f>
        <v>803.5275744</v>
      </c>
      <c r="O388" s="139">
        <f>Assumptions!$C$6*Assumptions!$C$7*(1+$G388-0.05*(1-$J388))^4+Assumptions!$C$6*Assumptions!$C$8*(1+Assumptions!$C$11)^4+Assumptions!$C$16*$J388+Assumptions!$C$6*Assumptions!$C$9*(1+Assumptions!$C$12)^4</f>
        <v>699.6376252</v>
      </c>
      <c r="P388" s="139">
        <f>Assumptions!$C$6*Assumptions!$C$7*(1+$G388-0.05*(1-$K388))^5+Assumptions!$C$6*Assumptions!$C$8*(1+Assumptions!$C$11)^5+Assumptions!$C$16*$K388+Assumptions!$C$6*Assumptions!$C$9*(1+Assumptions!$C$12)^5</f>
        <v>709.9610186</v>
      </c>
      <c r="Q388" s="139">
        <f>($L388*(1-(Assumptions!$C$25+0.06*(1-1))-Assumptions!$C$27)-Assumptions!$C$28)-MAX(0,($L388*(1-(Assumptions!$C$25+0.06*(1-1))-Assumptions!$C$27)-Assumptions!$C$28)*Assumptions!$C$31)+Assumptions!$C$28-Assumptions!$C$29-$L388*Assumptions!$C$30</f>
        <v>92.9968283</v>
      </c>
      <c r="R388" s="139">
        <f>($M388*(1-(Assumptions!$C$25+0.06*(1-$H388))-Assumptions!$C$27)-Assumptions!$C$28)-MAX(0,($M388*(1-(Assumptions!$C$25+0.06*(1-$H388))-Assumptions!$C$27)-Assumptions!$C$28)*Assumptions!$C$31)+Assumptions!$C$28-Assumptions!$C$29-$M388*Assumptions!$C$30</f>
        <v>36.28350779</v>
      </c>
      <c r="S388" s="139">
        <f>($N388*(1-(Assumptions!$C$25+0.06*(1-$I388))-Assumptions!$C$27)-Assumptions!$C$28)-MAX(0,($N388*(1-(Assumptions!$C$25+0.06*(1-$I388))-Assumptions!$C$27)-Assumptions!$C$28)*Assumptions!$C$31)+Assumptions!$C$28-Assumptions!$C$29-$N388*Assumptions!$C$30</f>
        <v>105.2584285</v>
      </c>
      <c r="T388" s="139">
        <f>($O388*(1-(Assumptions!$C$25+0.06*(1-$J388))-Assumptions!$C$27)-Assumptions!$C$28)-MAX(0,($O388*(1-(Assumptions!$C$25+0.06*(1-$J388))-Assumptions!$C$27)-Assumptions!$C$28)*Assumptions!$C$31)+Assumptions!$C$28-Assumptions!$C$29-$O388*Assumptions!$C$30</f>
        <v>40.91665378</v>
      </c>
      <c r="U388" s="139">
        <f>($P388*(1-(Assumptions!$C$25+0.06*(1-$K388))-Assumptions!$C$27)-Assumptions!$C$28)-MAX(0,($P388*(1-(Assumptions!$C$25+0.06*(1-$K388))-Assumptions!$C$27)-Assumptions!$C$28)*Assumptions!$C$31)+Assumptions!$C$28-Assumptions!$C$29-$P388*Assumptions!$C$30</f>
        <v>43.29103428</v>
      </c>
      <c r="V388" s="143">
        <f>(($Q388/(1+$D388)^1+$R388/(1+$D388)^2+$S388/(1+$D388)^3+$T388/(1+$D388)^4+$U388/(1+$D388)^5+$U388*(1+$E388)/($D388-$E388)/(1+$D388)^5)-Assumptions!$C$37)/Assumptions!$C$40/Assumptions!$C$38</f>
        <v>-1.288755093</v>
      </c>
    </row>
    <row r="389" ht="12.0" customHeight="1">
      <c r="B389" s="139">
        <v>337.0</v>
      </c>
      <c r="C389" s="140">
        <f t="shared" si="6"/>
        <v>0.02286692889</v>
      </c>
      <c r="D389" s="141">
        <f t="shared" si="7"/>
        <v>0.08778422142</v>
      </c>
      <c r="E389" s="141">
        <f t="shared" si="8"/>
        <v>0.01273641776</v>
      </c>
      <c r="F389" s="140">
        <f t="shared" si="9"/>
        <v>0.3639883275</v>
      </c>
      <c r="G389" s="141">
        <f t="shared" si="10"/>
        <v>0.05559646439</v>
      </c>
      <c r="H389" s="142">
        <f t="shared" si="11"/>
        <v>1</v>
      </c>
      <c r="I389" s="142">
        <f t="shared" si="12"/>
        <v>1</v>
      </c>
      <c r="J389" s="142">
        <f t="shared" si="13"/>
        <v>1</v>
      </c>
      <c r="K389" s="142">
        <f t="shared" si="14"/>
        <v>0</v>
      </c>
      <c r="L389" s="139">
        <f>Assumptions!$C$6*Assumptions!$C$7*(1+$G389-0.05*(1-1))^1+Assumptions!$C$6*Assumptions!$C$8*(1+Assumptions!$C$11)^1+Assumptions!$C$16*1+Assumptions!$C$6*Assumptions!$C$9*(1+Assumptions!$C$12)^1</f>
        <v>745.1817699</v>
      </c>
      <c r="M389" s="139">
        <f>Assumptions!$C$6*Assumptions!$C$7*(1+$G389-0.05*(1-$H389))^2+Assumptions!$C$6*Assumptions!$C$8*(1+Assumptions!$C$11)^2+Assumptions!$C$16*$H389+Assumptions!$C$6*Assumptions!$C$9*(1+Assumptions!$C$12)^2</f>
        <v>771.5333193</v>
      </c>
      <c r="N389" s="139">
        <f>Assumptions!$C$6*Assumptions!$C$7*(1+$G389-0.05*(1-$I389))^3+Assumptions!$C$6*Assumptions!$C$8*(1+Assumptions!$C$11)^3+Assumptions!$C$16*$I389+Assumptions!$C$6*Assumptions!$C$9*(1+Assumptions!$C$12)^3</f>
        <v>799.1150789</v>
      </c>
      <c r="O389" s="139">
        <f>Assumptions!$C$6*Assumptions!$C$7*(1+$G389-0.05*(1-$J389))^4+Assumptions!$C$6*Assumptions!$C$8*(1+Assumptions!$C$11)^4+Assumptions!$C$16*$J389+Assumptions!$C$6*Assumptions!$C$9*(1+Assumptions!$C$12)^4</f>
        <v>827.9907473</v>
      </c>
      <c r="P389" s="139">
        <f>Assumptions!$C$6*Assumptions!$C$7*(1+$G389-0.05*(1-$K389))^5+Assumptions!$C$6*Assumptions!$C$8*(1+Assumptions!$C$11)^5+Assumptions!$C$16*$K389+Assumptions!$C$6*Assumptions!$C$9*(1+Assumptions!$C$12)^5</f>
        <v>703.1845975</v>
      </c>
      <c r="Q389" s="139">
        <f>($L389*(1-(Assumptions!$C$25+0.06*(1-1))-Assumptions!$C$27)-Assumptions!$C$28)-MAX(0,($L389*(1-(Assumptions!$C$25+0.06*(1-1))-Assumptions!$C$27)-Assumptions!$C$28)*Assumptions!$C$31)+Assumptions!$C$28-Assumptions!$C$29-$L389*Assumptions!$C$30</f>
        <v>92.71408053</v>
      </c>
      <c r="R389" s="139">
        <f>($M389*(1-(Assumptions!$C$25+0.06*(1-$H389))-Assumptions!$C$27)-Assumptions!$C$28)-MAX(0,($M389*(1-(Assumptions!$C$25+0.06*(1-$H389))-Assumptions!$C$27)-Assumptions!$C$28)*Assumptions!$C$31)+Assumptions!$C$28-Assumptions!$C$29-$M389*Assumptions!$C$30</f>
        <v>98.37966364</v>
      </c>
      <c r="S389" s="139">
        <f>($N389*(1-(Assumptions!$C$25+0.06*(1-$I389))-Assumptions!$C$27)-Assumptions!$C$28)-MAX(0,($N389*(1-(Assumptions!$C$25+0.06*(1-$I389))-Assumptions!$C$27)-Assumptions!$C$28)*Assumptions!$C$31)+Assumptions!$C$28-Assumptions!$C$29-$N389*Assumptions!$C$30</f>
        <v>104.309742</v>
      </c>
      <c r="T389" s="139">
        <f>($O389*(1-(Assumptions!$C$25+0.06*(1-$J389))-Assumptions!$C$27)-Assumptions!$C$28)-MAX(0,($O389*(1-(Assumptions!$C$25+0.06*(1-$J389))-Assumptions!$C$27)-Assumptions!$C$28)*Assumptions!$C$31)+Assumptions!$C$28-Assumptions!$C$29-$O389*Assumptions!$C$30</f>
        <v>110.5180107</v>
      </c>
      <c r="U389" s="139">
        <f>($P389*(1-(Assumptions!$C$25+0.06*(1-$K389))-Assumptions!$C$27)-Assumptions!$C$28)-MAX(0,($P389*(1-(Assumptions!$C$25+0.06*(1-$K389))-Assumptions!$C$27)-Assumptions!$C$28)*Assumptions!$C$31)+Assumptions!$C$28-Assumptions!$C$29-$P389*Assumptions!$C$30</f>
        <v>41.73245743</v>
      </c>
      <c r="V389" s="143">
        <f>(($Q389/(1+$D389)^1+$R389/(1+$D389)^2+$S389/(1+$D389)^3+$T389/(1+$D389)^4+$U389/(1+$D389)^5+$U389*(1+$E389)/($D389-$E389)/(1+$D389)^5)-Assumptions!$C$37)/Assumptions!$C$40/Assumptions!$C$38</f>
        <v>0.2638248897</v>
      </c>
    </row>
    <row r="390" ht="12.0" customHeight="1">
      <c r="B390" s="139">
        <v>338.0</v>
      </c>
      <c r="C390" s="140">
        <f t="shared" si="6"/>
        <v>0.7479870668</v>
      </c>
      <c r="D390" s="141">
        <f t="shared" si="7"/>
        <v>0.1031096991</v>
      </c>
      <c r="E390" s="141">
        <f t="shared" si="8"/>
        <v>0.01633618479</v>
      </c>
      <c r="F390" s="140">
        <f t="shared" si="9"/>
        <v>0.1080658688</v>
      </c>
      <c r="G390" s="141">
        <f t="shared" si="10"/>
        <v>0.04394699121</v>
      </c>
      <c r="H390" s="142">
        <f t="shared" si="11"/>
        <v>1</v>
      </c>
      <c r="I390" s="142">
        <f t="shared" si="12"/>
        <v>1</v>
      </c>
      <c r="J390" s="142">
        <f t="shared" si="13"/>
        <v>1</v>
      </c>
      <c r="K390" s="142">
        <f t="shared" si="14"/>
        <v>0</v>
      </c>
      <c r="L390" s="139">
        <f>Assumptions!$C$6*Assumptions!$C$7*(1+$G390-0.05*(1-1))^1+Assumptions!$C$6*Assumptions!$C$8*(1+Assumptions!$C$11)^1+Assumptions!$C$16*1+Assumptions!$C$6*Assumptions!$C$9*(1+Assumptions!$C$12)^1</f>
        <v>741.2605572</v>
      </c>
      <c r="M390" s="139">
        <f>Assumptions!$C$6*Assumptions!$C$7*(1+$G390-0.05*(1-$H390))^2+Assumptions!$C$6*Assumptions!$C$8*(1+Assumptions!$C$11)^2+Assumptions!$C$16*$H390+Assumptions!$C$6*Assumptions!$C$9*(1+Assumptions!$C$12)^2</f>
        <v>763.3005629</v>
      </c>
      <c r="N390" s="139">
        <f>Assumptions!$C$6*Assumptions!$C$7*(1+$G390-0.05*(1-$I390))^3+Assumptions!$C$6*Assumptions!$C$8*(1+Assumptions!$C$11)^3+Assumptions!$C$16*$I390+Assumptions!$C$6*Assumptions!$C$9*(1+Assumptions!$C$12)^3</f>
        <v>786.1511735</v>
      </c>
      <c r="O390" s="139">
        <f>Assumptions!$C$6*Assumptions!$C$7*(1+$G390-0.05*(1-$J390))^4+Assumptions!$C$6*Assumptions!$C$8*(1+Assumptions!$C$11)^4+Assumptions!$C$16*$J390+Assumptions!$C$6*Assumptions!$C$9*(1+Assumptions!$C$12)^4</f>
        <v>809.8448531</v>
      </c>
      <c r="P390" s="139">
        <f>Assumptions!$C$6*Assumptions!$C$7*(1+$G390-0.05*(1-$K390))^5+Assumptions!$C$6*Assumptions!$C$8*(1+Assumptions!$C$11)^5+Assumptions!$C$16*$K390+Assumptions!$C$6*Assumptions!$C$9*(1+Assumptions!$C$12)^5</f>
        <v>683.5951003</v>
      </c>
      <c r="Q390" s="139">
        <f>($L390*(1-(Assumptions!$C$25+0.06*(1-1))-Assumptions!$C$27)-Assumptions!$C$28)-MAX(0,($L390*(1-(Assumptions!$C$25+0.06*(1-1))-Assumptions!$C$27)-Assumptions!$C$28)*Assumptions!$C$31)+Assumptions!$C$28-Assumptions!$C$29-$L390*Assumptions!$C$30</f>
        <v>91.87101981</v>
      </c>
      <c r="R390" s="139">
        <f>($M390*(1-(Assumptions!$C$25+0.06*(1-$H390))-Assumptions!$C$27)-Assumptions!$C$28)-MAX(0,($M390*(1-(Assumptions!$C$25+0.06*(1-$H390))-Assumptions!$C$27)-Assumptions!$C$28)*Assumptions!$C$31)+Assumptions!$C$28-Assumptions!$C$29-$M390*Assumptions!$C$30</f>
        <v>96.60962102</v>
      </c>
      <c r="S390" s="139">
        <f>($N390*(1-(Assumptions!$C$25+0.06*(1-$I390))-Assumptions!$C$27)-Assumptions!$C$28)-MAX(0,($N390*(1-(Assumptions!$C$25+0.06*(1-$I390))-Assumptions!$C$27)-Assumptions!$C$28)*Assumptions!$C$31)+Assumptions!$C$28-Assumptions!$C$29-$N390*Assumptions!$C$30</f>
        <v>101.5225023</v>
      </c>
      <c r="T390" s="139">
        <f>($O390*(1-(Assumptions!$C$25+0.06*(1-$J390))-Assumptions!$C$27)-Assumptions!$C$28)-MAX(0,($O390*(1-(Assumptions!$C$25+0.06*(1-$J390))-Assumptions!$C$27)-Assumptions!$C$28)*Assumptions!$C$31)+Assumptions!$C$28-Assumptions!$C$29-$O390*Assumptions!$C$30</f>
        <v>106.6166434</v>
      </c>
      <c r="U390" s="139">
        <f>($P390*(1-(Assumptions!$C$25+0.06*(1-$K390))-Assumptions!$C$27)-Assumptions!$C$28)-MAX(0,($P390*(1-(Assumptions!$C$25+0.06*(1-$K390))-Assumptions!$C$27)-Assumptions!$C$28)*Assumptions!$C$31)+Assumptions!$C$28-Assumptions!$C$29-$P390*Assumptions!$C$30</f>
        <v>37.22687307</v>
      </c>
      <c r="V390" s="143">
        <f>(($Q390/(1+$D390)^1+$R390/(1+$D390)^2+$S390/(1+$D390)^3+$T390/(1+$D390)^4+$U390/(1+$D390)^5+$U390*(1+$E390)/($D390-$E390)/(1+$D390)^5)-Assumptions!$C$37)/Assumptions!$C$40/Assumptions!$C$38</f>
        <v>-0.7152912773</v>
      </c>
    </row>
    <row r="391" ht="12.0" customHeight="1">
      <c r="B391" s="139">
        <v>339.0</v>
      </c>
      <c r="C391" s="140">
        <f t="shared" si="6"/>
        <v>0.9109934831</v>
      </c>
      <c r="D391" s="141">
        <f t="shared" si="7"/>
        <v>0.1079336957</v>
      </c>
      <c r="E391" s="141">
        <f t="shared" si="8"/>
        <v>0.0158057928</v>
      </c>
      <c r="F391" s="140">
        <f t="shared" si="9"/>
        <v>0.6279067008</v>
      </c>
      <c r="G391" s="141">
        <f t="shared" si="10"/>
        <v>0.06412012483</v>
      </c>
      <c r="H391" s="142">
        <f t="shared" si="11"/>
        <v>1</v>
      </c>
      <c r="I391" s="142">
        <f t="shared" si="12"/>
        <v>0</v>
      </c>
      <c r="J391" s="142">
        <f t="shared" si="13"/>
        <v>0</v>
      </c>
      <c r="K391" s="142">
        <f t="shared" si="14"/>
        <v>1</v>
      </c>
      <c r="L391" s="139">
        <f>Assumptions!$C$6*Assumptions!$C$7*(1+$G391-0.05*(1-1))^1+Assumptions!$C$6*Assumptions!$C$8*(1+Assumptions!$C$11)^1+Assumptions!$C$16*1+Assumptions!$C$6*Assumptions!$C$9*(1+Assumptions!$C$12)^1</f>
        <v>748.050834</v>
      </c>
      <c r="M391" s="139">
        <f>Assumptions!$C$6*Assumptions!$C$7*(1+$G391-0.05*(1-$H391))^2+Assumptions!$C$6*Assumptions!$C$8*(1+Assumptions!$C$11)^2+Assumptions!$C$16*$H391+Assumptions!$C$6*Assumptions!$C$9*(1+Assumptions!$C$12)^2</f>
        <v>777.614922</v>
      </c>
      <c r="N391" s="139">
        <f>Assumptions!$C$6*Assumptions!$C$7*(1+$G391-0.05*(1-$I391))^3+Assumptions!$C$6*Assumptions!$C$8*(1+Assumptions!$C$11)^3+Assumptions!$C$16*$I391+Assumptions!$C$6*Assumptions!$C$9*(1+Assumptions!$C$12)^3</f>
        <v>694.2554487</v>
      </c>
      <c r="O391" s="139">
        <f>Assumptions!$C$6*Assumptions!$C$7*(1+$G391-0.05*(1-$J391))^4+Assumptions!$C$6*Assumptions!$C$8*(1+Assumptions!$C$11)^4+Assumptions!$C$16*$J391+Assumptions!$C$6*Assumptions!$C$9*(1+Assumptions!$C$12)^4</f>
        <v>706.0763641</v>
      </c>
      <c r="P391" s="139">
        <f>Assumptions!$C$6*Assumptions!$C$7*(1+$G391-0.05*(1-$K391))^5+Assumptions!$C$6*Assumptions!$C$8*(1+Assumptions!$C$11)^5+Assumptions!$C$16*$K391+Assumptions!$C$6*Assumptions!$C$9*(1+Assumptions!$C$12)^5</f>
        <v>876.32901</v>
      </c>
      <c r="Q391" s="139">
        <f>($L391*(1-(Assumptions!$C$25+0.06*(1-1))-Assumptions!$C$27)-Assumptions!$C$28)-MAX(0,($L391*(1-(Assumptions!$C$25+0.06*(1-1))-Assumptions!$C$27)-Assumptions!$C$28)*Assumptions!$C$31)+Assumptions!$C$28-Assumptions!$C$29-$L391*Assumptions!$C$30</f>
        <v>93.33092931</v>
      </c>
      <c r="R391" s="139">
        <f>($M391*(1-(Assumptions!$C$25+0.06*(1-$H391))-Assumptions!$C$27)-Assumptions!$C$28)-MAX(0,($M391*(1-(Assumptions!$C$25+0.06*(1-$H391))-Assumptions!$C$27)-Assumptions!$C$28)*Assumptions!$C$31)+Assumptions!$C$28-Assumptions!$C$29-$M391*Assumptions!$C$30</f>
        <v>99.68720824</v>
      </c>
      <c r="S391" s="139">
        <f>($N391*(1-(Assumptions!$C$25+0.06*(1-$I391))-Assumptions!$C$27)-Assumptions!$C$28)-MAX(0,($N391*(1-(Assumptions!$C$25+0.06*(1-$I391))-Assumptions!$C$27)-Assumptions!$C$28)*Assumptions!$C$31)+Assumptions!$C$28-Assumptions!$C$29-$N391*Assumptions!$C$30</f>
        <v>39.6787532</v>
      </c>
      <c r="T391" s="139">
        <f>($O391*(1-(Assumptions!$C$25+0.06*(1-$J391))-Assumptions!$C$27)-Assumptions!$C$28)-MAX(0,($O391*(1-(Assumptions!$C$25+0.06*(1-$J391))-Assumptions!$C$27)-Assumptions!$C$28)*Assumptions!$C$31)+Assumptions!$C$28-Assumptions!$C$29-$O391*Assumptions!$C$30</f>
        <v>42.39756374</v>
      </c>
      <c r="U391" s="139">
        <f>($P391*(1-(Assumptions!$C$25+0.06*(1-$K391))-Assumptions!$C$27)-Assumptions!$C$28)-MAX(0,($P391*(1-(Assumptions!$C$25+0.06*(1-$K391))-Assumptions!$C$27)-Assumptions!$C$28)*Assumptions!$C$31)+Assumptions!$C$28-Assumptions!$C$29-$P391*Assumptions!$C$30</f>
        <v>120.9107372</v>
      </c>
      <c r="V391" s="143">
        <f>(($Q391/(1+$D391)^1+$R391/(1+$D391)^2+$S391/(1+$D391)^3+$T391/(1+$D391)^4+$U391/(1+$D391)^5+$U391*(1+$E391)/($D391-$E391)/(1+$D391)^5)-Assumptions!$C$37)/Assumptions!$C$40/Assumptions!$C$38</f>
        <v>3.137685202</v>
      </c>
    </row>
    <row r="392" ht="12.0" customHeight="1">
      <c r="B392" s="139">
        <v>340.0</v>
      </c>
      <c r="C392" s="140">
        <f t="shared" si="6"/>
        <v>0.5078578504</v>
      </c>
      <c r="D392" s="141">
        <f t="shared" si="7"/>
        <v>0.09838399127</v>
      </c>
      <c r="E392" s="141">
        <f t="shared" si="8"/>
        <v>0.0148510427</v>
      </c>
      <c r="F392" s="140">
        <f t="shared" si="9"/>
        <v>0.4319258201</v>
      </c>
      <c r="G392" s="141">
        <f t="shared" si="10"/>
        <v>0.05788308584</v>
      </c>
      <c r="H392" s="142">
        <f t="shared" si="11"/>
        <v>0</v>
      </c>
      <c r="I392" s="142">
        <f t="shared" si="12"/>
        <v>0</v>
      </c>
      <c r="J392" s="142">
        <f t="shared" si="13"/>
        <v>0</v>
      </c>
      <c r="K392" s="142">
        <f t="shared" si="14"/>
        <v>0</v>
      </c>
      <c r="L392" s="139">
        <f>Assumptions!$C$6*Assumptions!$C$7*(1+$G392-0.05*(1-1))^1+Assumptions!$C$6*Assumptions!$C$8*(1+Assumptions!$C$11)^1+Assumptions!$C$16*1+Assumptions!$C$6*Assumptions!$C$9*(1+Assumptions!$C$12)^1</f>
        <v>745.9514467</v>
      </c>
      <c r="M392" s="139">
        <f>Assumptions!$C$6*Assumptions!$C$7*(1+$G392-0.05*(1-$H392))^2+Assumptions!$C$6*Assumptions!$C$8*(1+Assumptions!$C$11)^2+Assumptions!$C$16*$H392+Assumptions!$C$6*Assumptions!$C$9*(1+Assumptions!$C$12)^2</f>
        <v>678.3931707</v>
      </c>
      <c r="N392" s="139">
        <f>Assumptions!$C$6*Assumptions!$C$7*(1+$G392-0.05*(1-$I392))^3+Assumptions!$C$6*Assumptions!$C$8*(1+Assumptions!$C$11)^3+Assumptions!$C$16*$I392+Assumptions!$C$6*Assumptions!$C$9*(1+Assumptions!$C$12)^3</f>
        <v>687.8179242</v>
      </c>
      <c r="O392" s="139">
        <f>Assumptions!$C$6*Assumptions!$C$7*(1+$G392-0.05*(1-$J392))^4+Assumptions!$C$6*Assumptions!$C$8*(1+Assumptions!$C$11)^4+Assumptions!$C$16*$J392+Assumptions!$C$6*Assumptions!$C$9*(1+Assumptions!$C$12)^4</f>
        <v>697.3985123</v>
      </c>
      <c r="P392" s="139">
        <f>Assumptions!$C$6*Assumptions!$C$7*(1+$G392-0.05*(1-$K392))^5+Assumptions!$C$6*Assumptions!$C$8*(1+Assumptions!$C$11)^5+Assumptions!$C$16*$K392+Assumptions!$C$6*Assumptions!$C$9*(1+Assumptions!$C$12)^5</f>
        <v>707.1377942</v>
      </c>
      <c r="Q392" s="139">
        <f>($L392*(1-(Assumptions!$C$25+0.06*(1-1))-Assumptions!$C$27)-Assumptions!$C$28)-MAX(0,($L392*(1-(Assumptions!$C$25+0.06*(1-1))-Assumptions!$C$27)-Assumptions!$C$28)*Assumptions!$C$31)+Assumptions!$C$28-Assumptions!$C$29-$L392*Assumptions!$C$30</f>
        <v>92.87956104</v>
      </c>
      <c r="R392" s="139">
        <f>($M392*(1-(Assumptions!$C$25+0.06*(1-$H392))-Assumptions!$C$27)-Assumptions!$C$28)-MAX(0,($M392*(1-(Assumptions!$C$25+0.06*(1-$H392))-Assumptions!$C$27)-Assumptions!$C$28)*Assumptions!$C$31)+Assumptions!$C$28-Assumptions!$C$29-$M392*Assumptions!$C$30</f>
        <v>36.03042927</v>
      </c>
      <c r="S392" s="139">
        <f>($N392*(1-(Assumptions!$C$25+0.06*(1-$I392))-Assumptions!$C$27)-Assumptions!$C$28)-MAX(0,($N392*(1-(Assumptions!$C$25+0.06*(1-$I392))-Assumptions!$C$27)-Assumptions!$C$28)*Assumptions!$C$31)+Assumptions!$C$28-Assumptions!$C$29-$N392*Assumptions!$C$30</f>
        <v>38.19812257</v>
      </c>
      <c r="T392" s="139">
        <f>($O392*(1-(Assumptions!$C$25+0.06*(1-$J392))-Assumptions!$C$27)-Assumptions!$C$28)-MAX(0,($O392*(1-(Assumptions!$C$25+0.06*(1-$J392))-Assumptions!$C$27)-Assumptions!$C$28)*Assumptions!$C$31)+Assumptions!$C$28-Assumptions!$C$29-$O392*Assumptions!$C$30</f>
        <v>40.40165783</v>
      </c>
      <c r="U392" s="139">
        <f>($P392*(1-(Assumptions!$C$25+0.06*(1-$K392))-Assumptions!$C$27)-Assumptions!$C$28)-MAX(0,($P392*(1-(Assumptions!$C$25+0.06*(1-$K392))-Assumptions!$C$27)-Assumptions!$C$28)*Assumptions!$C$31)+Assumptions!$C$28-Assumptions!$C$29-$P392*Assumptions!$C$30</f>
        <v>42.64169266</v>
      </c>
      <c r="V392" s="143">
        <f>(($Q392/(1+$D392)^1+$R392/(1+$D392)^2+$S392/(1+$D392)^3+$T392/(1+$D392)^4+$U392/(1+$D392)^5+$U392*(1+$E392)/($D392-$E392)/(1+$D392)^5)-Assumptions!$C$37)/Assumptions!$C$40/Assumptions!$C$38</f>
        <v>-1.326456692</v>
      </c>
    </row>
    <row r="393" ht="12.0" customHeight="1">
      <c r="B393" s="139">
        <v>341.0</v>
      </c>
      <c r="C393" s="140">
        <f t="shared" si="6"/>
        <v>0.9489722476</v>
      </c>
      <c r="D393" s="141">
        <f t="shared" si="7"/>
        <v>0.1096496197</v>
      </c>
      <c r="E393" s="141">
        <f t="shared" si="8"/>
        <v>0.02107787367</v>
      </c>
      <c r="F393" s="140">
        <f t="shared" si="9"/>
        <v>0.6792296056</v>
      </c>
      <c r="G393" s="141">
        <f t="shared" si="10"/>
        <v>0.06597112758</v>
      </c>
      <c r="H393" s="142">
        <f t="shared" si="11"/>
        <v>1</v>
      </c>
      <c r="I393" s="142">
        <f t="shared" si="12"/>
        <v>0</v>
      </c>
      <c r="J393" s="142">
        <f t="shared" si="13"/>
        <v>1</v>
      </c>
      <c r="K393" s="142">
        <f t="shared" si="14"/>
        <v>0</v>
      </c>
      <c r="L393" s="139">
        <f>Assumptions!$C$6*Assumptions!$C$7*(1+$G393-0.05*(1-1))^1+Assumptions!$C$6*Assumptions!$C$8*(1+Assumptions!$C$11)^1+Assumptions!$C$16*1+Assumptions!$C$6*Assumptions!$C$9*(1+Assumptions!$C$12)^1</f>
        <v>748.6738815</v>
      </c>
      <c r="M393" s="139">
        <f>Assumptions!$C$6*Assumptions!$C$7*(1+$G393-0.05*(1-$H393))^2+Assumptions!$C$6*Assumptions!$C$8*(1+Assumptions!$C$11)^2+Assumptions!$C$16*$H393+Assumptions!$C$6*Assumptions!$C$9*(1+Assumptions!$C$12)^2</f>
        <v>778.9420701</v>
      </c>
      <c r="N393" s="139">
        <f>Assumptions!$C$6*Assumptions!$C$7*(1+$G393-0.05*(1-$I393))^3+Assumptions!$C$6*Assumptions!$C$8*(1+Assumptions!$C$11)^3+Assumptions!$C$16*$I393+Assumptions!$C$6*Assumptions!$C$9*(1+Assumptions!$C$12)^3</f>
        <v>696.1812598</v>
      </c>
      <c r="O393" s="139">
        <f>Assumptions!$C$6*Assumptions!$C$7*(1+$G393-0.05*(1-$J393))^4+Assumptions!$C$6*Assumptions!$C$8*(1+Assumptions!$C$11)^4+Assumptions!$C$16*$J393+Assumptions!$C$6*Assumptions!$C$9*(1+Assumptions!$C$12)^4</f>
        <v>844.6647215</v>
      </c>
      <c r="P393" s="139">
        <f>Assumptions!$C$6*Assumptions!$C$7*(1+$G393-0.05*(1-$K393))^5+Assumptions!$C$6*Assumptions!$C$8*(1+Assumptions!$C$11)^5+Assumptions!$C$16*$K393+Assumptions!$C$6*Assumptions!$C$9*(1+Assumptions!$C$12)^5</f>
        <v>721.4115508</v>
      </c>
      <c r="Q393" s="139">
        <f>($L393*(1-(Assumptions!$C$25+0.06*(1-1))-Assumptions!$C$27)-Assumptions!$C$28)-MAX(0,($L393*(1-(Assumptions!$C$25+0.06*(1-1))-Assumptions!$C$27)-Assumptions!$C$28)*Assumptions!$C$31)+Assumptions!$C$28-Assumptions!$C$29-$L393*Assumptions!$C$30</f>
        <v>93.46488453</v>
      </c>
      <c r="R393" s="139">
        <f>($M393*(1-(Assumptions!$C$25+0.06*(1-$H393))-Assumptions!$C$27)-Assumptions!$C$28)-MAX(0,($M393*(1-(Assumptions!$C$25+0.06*(1-$H393))-Assumptions!$C$27)-Assumptions!$C$28)*Assumptions!$C$31)+Assumptions!$C$28-Assumptions!$C$29-$M393*Assumptions!$C$30</f>
        <v>99.97254508</v>
      </c>
      <c r="S393" s="139">
        <f>($N393*(1-(Assumptions!$C$25+0.06*(1-$I393))-Assumptions!$C$27)-Assumptions!$C$28)-MAX(0,($N393*(1-(Assumptions!$C$25+0.06*(1-$I393))-Assumptions!$C$27)-Assumptions!$C$28)*Assumptions!$C$31)+Assumptions!$C$28-Assumptions!$C$29-$N393*Assumptions!$C$30</f>
        <v>40.12168974</v>
      </c>
      <c r="T393" s="139">
        <f>($O393*(1-(Assumptions!$C$25+0.06*(1-$J393))-Assumptions!$C$27)-Assumptions!$C$28)-MAX(0,($O393*(1-(Assumptions!$C$25+0.06*(1-$J393))-Assumptions!$C$27)-Assumptions!$C$28)*Assumptions!$C$31)+Assumptions!$C$28-Assumptions!$C$29-$O393*Assumptions!$C$30</f>
        <v>114.1029151</v>
      </c>
      <c r="U393" s="139">
        <f>($P393*(1-(Assumptions!$C$25+0.06*(1-$K393))-Assumptions!$C$27)-Assumptions!$C$28)-MAX(0,($P393*(1-(Assumptions!$C$25+0.06*(1-$K393))-Assumptions!$C$27)-Assumptions!$C$28)*Assumptions!$C$31)+Assumptions!$C$28-Assumptions!$C$29-$P393*Assumptions!$C$30</f>
        <v>45.9246567</v>
      </c>
      <c r="V393" s="143">
        <f>(($Q393/(1+$D393)^1+$R393/(1+$D393)^2+$S393/(1+$D393)^3+$T393/(1+$D393)^4+$U393/(1+$D393)^5+$U393*(1+$E393)/($D393-$E393)/(1+$D393)^5)-Assumptions!$C$37)/Assumptions!$C$40/Assumptions!$C$38</f>
        <v>-0.6217568867</v>
      </c>
    </row>
    <row r="394" ht="12.0" customHeight="1">
      <c r="B394" s="139">
        <v>342.0</v>
      </c>
      <c r="C394" s="140">
        <f t="shared" si="6"/>
        <v>0.721658972</v>
      </c>
      <c r="D394" s="141">
        <f t="shared" si="7"/>
        <v>0.102504028</v>
      </c>
      <c r="E394" s="141">
        <f t="shared" si="8"/>
        <v>0.01059137212</v>
      </c>
      <c r="F394" s="140">
        <f t="shared" si="9"/>
        <v>0.7826684512</v>
      </c>
      <c r="G394" s="141">
        <f t="shared" si="10"/>
        <v>0.0702213047</v>
      </c>
      <c r="H394" s="142">
        <f t="shared" si="11"/>
        <v>1</v>
      </c>
      <c r="I394" s="142">
        <f t="shared" si="12"/>
        <v>0</v>
      </c>
      <c r="J394" s="142">
        <f t="shared" si="13"/>
        <v>1</v>
      </c>
      <c r="K394" s="142">
        <f t="shared" si="14"/>
        <v>1</v>
      </c>
      <c r="L394" s="139">
        <f>Assumptions!$C$6*Assumptions!$C$7*(1+$G394-0.05*(1-1))^1+Assumptions!$C$6*Assumptions!$C$8*(1+Assumptions!$C$11)^1+Assumptions!$C$16*1+Assumptions!$C$6*Assumptions!$C$9*(1+Assumptions!$C$12)^1</f>
        <v>750.1044912</v>
      </c>
      <c r="M394" s="139">
        <f>Assumptions!$C$6*Assumptions!$C$7*(1+$G394-0.05*(1-$H394))^2+Assumptions!$C$6*Assumptions!$C$8*(1+Assumptions!$C$11)^2+Assumptions!$C$16*$H394+Assumptions!$C$6*Assumptions!$C$9*(1+Assumptions!$C$12)^2</f>
        <v>781.9981276</v>
      </c>
      <c r="N394" s="139">
        <f>Assumptions!$C$6*Assumptions!$C$7*(1+$G394-0.05*(1-$I394))^3+Assumptions!$C$6*Assumptions!$C$8*(1+Assumptions!$C$11)^3+Assumptions!$C$16*$I394+Assumptions!$C$6*Assumptions!$C$9*(1+Assumptions!$C$12)^3</f>
        <v>700.6298323</v>
      </c>
      <c r="O394" s="139">
        <f>Assumptions!$C$6*Assumptions!$C$7*(1+$G394-0.05*(1-$J394))^4+Assumptions!$C$6*Assumptions!$C$8*(1+Assumptions!$C$11)^4+Assumptions!$C$16*$J394+Assumptions!$C$6*Assumptions!$C$9*(1+Assumptions!$C$12)^4</f>
        <v>851.6376303</v>
      </c>
      <c r="P394" s="139">
        <f>Assumptions!$C$6*Assumptions!$C$7*(1+$G394-0.05*(1-$K394))^5+Assumptions!$C$6*Assumptions!$C$8*(1+Assumptions!$C$11)^5+Assumptions!$C$16*$K394+Assumptions!$C$6*Assumptions!$C$9*(1+Assumptions!$C$12)^5</f>
        <v>889.6470599</v>
      </c>
      <c r="Q394" s="139">
        <f>($L394*(1-(Assumptions!$C$25+0.06*(1-1))-Assumptions!$C$27)-Assumptions!$C$28)-MAX(0,($L394*(1-(Assumptions!$C$25+0.06*(1-1))-Assumptions!$C$27)-Assumptions!$C$28)*Assumptions!$C$31)+Assumptions!$C$28-Assumptions!$C$29-$L394*Assumptions!$C$30</f>
        <v>93.7724656</v>
      </c>
      <c r="R394" s="139">
        <f>($M394*(1-(Assumptions!$C$25+0.06*(1-$H394))-Assumptions!$C$27)-Assumptions!$C$28)-MAX(0,($M394*(1-(Assumptions!$C$25+0.06*(1-$H394))-Assumptions!$C$27)-Assumptions!$C$28)*Assumptions!$C$31)+Assumptions!$C$28-Assumptions!$C$29-$M394*Assumptions!$C$30</f>
        <v>100.6295974</v>
      </c>
      <c r="S394" s="139">
        <f>($N394*(1-(Assumptions!$C$25+0.06*(1-$I394))-Assumptions!$C$27)-Assumptions!$C$28)-MAX(0,($N394*(1-(Assumptions!$C$25+0.06*(1-$I394))-Assumptions!$C$27)-Assumptions!$C$28)*Assumptions!$C$31)+Assumptions!$C$28-Assumptions!$C$29-$N394*Assumptions!$C$30</f>
        <v>41.14486142</v>
      </c>
      <c r="T394" s="139">
        <f>($O394*(1-(Assumptions!$C$25+0.06*(1-$J394))-Assumptions!$C$27)-Assumptions!$C$28)-MAX(0,($O394*(1-(Assumptions!$C$25+0.06*(1-$J394))-Assumptions!$C$27)-Assumptions!$C$28)*Assumptions!$C$31)+Assumptions!$C$28-Assumptions!$C$29-$O394*Assumptions!$C$30</f>
        <v>115.6020905</v>
      </c>
      <c r="U394" s="139">
        <f>($P394*(1-(Assumptions!$C$25+0.06*(1-$K394))-Assumptions!$C$27)-Assumptions!$C$28)-MAX(0,($P394*(1-(Assumptions!$C$25+0.06*(1-$K394))-Assumptions!$C$27)-Assumptions!$C$28)*Assumptions!$C$31)+Assumptions!$C$28-Assumptions!$C$29-$P394*Assumptions!$C$30</f>
        <v>123.7741179</v>
      </c>
      <c r="V394" s="143">
        <f>(($Q394/(1+$D394)^1+$R394/(1+$D394)^2+$S394/(1+$D394)^3+$T394/(1+$D394)^4+$U394/(1+$D394)^5+$U394*(1+$E394)/($D394-$E394)/(1+$D394)^5)-Assumptions!$C$37)/Assumptions!$C$40/Assumptions!$C$38</f>
        <v>3.874973873</v>
      </c>
    </row>
    <row r="395" ht="12.0" customHeight="1">
      <c r="B395" s="139">
        <v>343.0</v>
      </c>
      <c r="C395" s="140">
        <f t="shared" si="6"/>
        <v>0.2740133031</v>
      </c>
      <c r="D395" s="141">
        <f t="shared" si="7"/>
        <v>0.09463797228</v>
      </c>
      <c r="E395" s="141">
        <f t="shared" si="8"/>
        <v>0.02301169524</v>
      </c>
      <c r="F395" s="140">
        <f t="shared" si="9"/>
        <v>0.8627345516</v>
      </c>
      <c r="G395" s="141">
        <f t="shared" si="10"/>
        <v>0.07428129118</v>
      </c>
      <c r="H395" s="142">
        <f t="shared" si="11"/>
        <v>1</v>
      </c>
      <c r="I395" s="142">
        <f t="shared" si="12"/>
        <v>1</v>
      </c>
      <c r="J395" s="142">
        <f t="shared" si="13"/>
        <v>1</v>
      </c>
      <c r="K395" s="142">
        <f t="shared" si="14"/>
        <v>0</v>
      </c>
      <c r="L395" s="139">
        <f>Assumptions!$C$6*Assumptions!$C$7*(1+$G395-0.05*(1-1))^1+Assumptions!$C$6*Assumptions!$C$8*(1+Assumptions!$C$11)^1+Assumptions!$C$16*1+Assumptions!$C$6*Assumptions!$C$9*(1+Assumptions!$C$12)^1</f>
        <v>751.4710826</v>
      </c>
      <c r="M395" s="139">
        <f>Assumptions!$C$6*Assumptions!$C$7*(1+$G395-0.05*(1-$H395))^2+Assumptions!$C$6*Assumptions!$C$8*(1+Assumptions!$C$11)^2+Assumptions!$C$16*$H395+Assumptions!$C$6*Assumptions!$C$9*(1+Assumptions!$C$12)^2</f>
        <v>784.9287865</v>
      </c>
      <c r="N395" s="139">
        <f>Assumptions!$C$6*Assumptions!$C$7*(1+$G395-0.05*(1-$I395))^3+Assumptions!$C$6*Assumptions!$C$8*(1+Assumptions!$C$11)^3+Assumptions!$C$16*$I395+Assumptions!$C$6*Assumptions!$C$9*(1+Assumptions!$C$12)^3</f>
        <v>820.5136586</v>
      </c>
      <c r="O395" s="139">
        <f>Assumptions!$C$6*Assumptions!$C$7*(1+$G395-0.05*(1-$J395))^4+Assumptions!$C$6*Assumptions!$C$8*(1+Assumptions!$C$11)^4+Assumptions!$C$16*$J395+Assumptions!$C$6*Assumptions!$C$9*(1+Assumptions!$C$12)^4</f>
        <v>858.3765454</v>
      </c>
      <c r="P395" s="139">
        <f>Assumptions!$C$6*Assumptions!$C$7*(1+$G395-0.05*(1-$K395))^5+Assumptions!$C$6*Assumptions!$C$8*(1+Assumptions!$C$11)^5+Assumptions!$C$16*$K395+Assumptions!$C$6*Assumptions!$C$9*(1+Assumptions!$C$12)^5</f>
        <v>736.5584496</v>
      </c>
      <c r="Q395" s="139">
        <f>($L395*(1-(Assumptions!$C$25+0.06*(1-1))-Assumptions!$C$27)-Assumptions!$C$28)-MAX(0,($L395*(1-(Assumptions!$C$25+0.06*(1-1))-Assumptions!$C$27)-Assumptions!$C$28)*Assumptions!$C$31)+Assumptions!$C$28-Assumptions!$C$29-$L395*Assumptions!$C$30</f>
        <v>94.06628276</v>
      </c>
      <c r="R395" s="139">
        <f>($M395*(1-(Assumptions!$C$25+0.06*(1-$H395))-Assumptions!$C$27)-Assumptions!$C$28)-MAX(0,($M395*(1-(Assumptions!$C$25+0.06*(1-$H395))-Assumptions!$C$27)-Assumptions!$C$28)*Assumptions!$C$31)+Assumptions!$C$28-Assumptions!$C$29-$M395*Assumptions!$C$30</f>
        <v>101.2596891</v>
      </c>
      <c r="S395" s="139">
        <f>($N395*(1-(Assumptions!$C$25+0.06*(1-$I395))-Assumptions!$C$27)-Assumptions!$C$28)-MAX(0,($N395*(1-(Assumptions!$C$25+0.06*(1-$I395))-Assumptions!$C$27)-Assumptions!$C$28)*Assumptions!$C$31)+Assumptions!$C$28-Assumptions!$C$29-$N395*Assumptions!$C$30</f>
        <v>108.9104366</v>
      </c>
      <c r="T395" s="139">
        <f>($O395*(1-(Assumptions!$C$25+0.06*(1-$J395))-Assumptions!$C$27)-Assumptions!$C$28)-MAX(0,($O395*(1-(Assumptions!$C$25+0.06*(1-$J395))-Assumptions!$C$27)-Assumptions!$C$28)*Assumptions!$C$31)+Assumptions!$C$28-Assumptions!$C$29-$O395*Assumptions!$C$30</f>
        <v>117.0509573</v>
      </c>
      <c r="U395" s="139">
        <f>($P395*(1-(Assumptions!$C$25+0.06*(1-$K395))-Assumptions!$C$27)-Assumptions!$C$28)-MAX(0,($P395*(1-(Assumptions!$C$25+0.06*(1-$K395))-Assumptions!$C$27)-Assumptions!$C$28)*Assumptions!$C$31)+Assumptions!$C$28-Assumptions!$C$29-$P395*Assumptions!$C$30</f>
        <v>49.40844341</v>
      </c>
      <c r="V395" s="143">
        <f>(($Q395/(1+$D395)^1+$R395/(1+$D395)^2+$S395/(1+$D395)^3+$T395/(1+$D395)^4+$U395/(1+$D395)^5+$U395*(1+$E395)/($D395-$E395)/(1+$D395)^5)-Assumptions!$C$37)/Assumptions!$C$40/Assumptions!$C$38</f>
        <v>0.9657362423</v>
      </c>
    </row>
    <row r="396" ht="12.0" customHeight="1">
      <c r="B396" s="139">
        <v>344.0</v>
      </c>
      <c r="C396" s="140">
        <f t="shared" si="6"/>
        <v>0.5615258139</v>
      </c>
      <c r="D396" s="141">
        <f t="shared" si="7"/>
        <v>0.09931612234</v>
      </c>
      <c r="E396" s="141">
        <f t="shared" si="8"/>
        <v>0.01811567587</v>
      </c>
      <c r="F396" s="140">
        <f t="shared" si="9"/>
        <v>0.9518072936</v>
      </c>
      <c r="G396" s="141">
        <f t="shared" si="10"/>
        <v>0.08068619994</v>
      </c>
      <c r="H396" s="142">
        <f t="shared" si="11"/>
        <v>0</v>
      </c>
      <c r="I396" s="142">
        <f t="shared" si="12"/>
        <v>0</v>
      </c>
      <c r="J396" s="142">
        <f t="shared" si="13"/>
        <v>1</v>
      </c>
      <c r="K396" s="142">
        <f t="shared" si="14"/>
        <v>1</v>
      </c>
      <c r="L396" s="139">
        <f>Assumptions!$C$6*Assumptions!$C$7*(1+$G396-0.05*(1-1))^1+Assumptions!$C$6*Assumptions!$C$8*(1+Assumptions!$C$11)^1+Assumptions!$C$16*1+Assumptions!$C$6*Assumptions!$C$9*(1+Assumptions!$C$12)^1</f>
        <v>753.6269749</v>
      </c>
      <c r="M396" s="139">
        <f>Assumptions!$C$6*Assumptions!$C$7*(1+$G396-0.05*(1-$H396))^2+Assumptions!$C$6*Assumptions!$C$8*(1+Assumptions!$C$11)^2+Assumptions!$C$16*$H396+Assumptions!$C$6*Assumptions!$C$9*(1+Assumptions!$C$12)^2</f>
        <v>694.0402668</v>
      </c>
      <c r="N396" s="139">
        <f>Assumptions!$C$6*Assumptions!$C$7*(1+$G396-0.05*(1-$I396))^3+Assumptions!$C$6*Assumptions!$C$8*(1+Assumptions!$C$11)^3+Assumptions!$C$16*$I396+Assumptions!$C$6*Assumptions!$C$9*(1+Assumptions!$C$12)^3</f>
        <v>711.7421891</v>
      </c>
      <c r="O396" s="139">
        <f>Assumptions!$C$6*Assumptions!$C$7*(1+$G396-0.05*(1-$J396))^4+Assumptions!$C$6*Assumptions!$C$8*(1+Assumptions!$C$11)^4+Assumptions!$C$16*$J396+Assumptions!$C$6*Assumptions!$C$9*(1+Assumptions!$C$12)^4</f>
        <v>869.1641016</v>
      </c>
      <c r="P396" s="139">
        <f>Assumptions!$C$6*Assumptions!$C$7*(1+$G396-0.05*(1-$K396))^5+Assumptions!$C$6*Assumptions!$C$8*(1+Assumptions!$C$11)^5+Assumptions!$C$16*$K396+Assumptions!$C$6*Assumptions!$C$9*(1+Assumptions!$C$12)^5</f>
        <v>913.2087543</v>
      </c>
      <c r="Q396" s="139">
        <f>($L396*(1-(Assumptions!$C$25+0.06*(1-1))-Assumptions!$C$27)-Assumptions!$C$28)-MAX(0,($L396*(1-(Assumptions!$C$25+0.06*(1-1))-Assumptions!$C$27)-Assumptions!$C$28)*Assumptions!$C$31)+Assumptions!$C$28-Assumptions!$C$29-$L396*Assumptions!$C$30</f>
        <v>94.5297996</v>
      </c>
      <c r="R396" s="139">
        <f>($M396*(1-(Assumptions!$C$25+0.06*(1-$H396))-Assumptions!$C$27)-Assumptions!$C$28)-MAX(0,($M396*(1-(Assumptions!$C$25+0.06*(1-$H396))-Assumptions!$C$27)-Assumptions!$C$28)*Assumptions!$C$31)+Assumptions!$C$28-Assumptions!$C$29-$M396*Assumptions!$C$30</f>
        <v>39.62926136</v>
      </c>
      <c r="S396" s="139">
        <f>($N396*(1-(Assumptions!$C$25+0.06*(1-$I396))-Assumptions!$C$27)-Assumptions!$C$28)-MAX(0,($N396*(1-(Assumptions!$C$25+0.06*(1-$I396))-Assumptions!$C$27)-Assumptions!$C$28)*Assumptions!$C$31)+Assumptions!$C$28-Assumptions!$C$29-$N396*Assumptions!$C$30</f>
        <v>43.70070349</v>
      </c>
      <c r="T396" s="139">
        <f>($O396*(1-(Assumptions!$C$25+0.06*(1-$J396))-Assumptions!$C$27)-Assumptions!$C$28)-MAX(0,($O396*(1-(Assumptions!$C$25+0.06*(1-$J396))-Assumptions!$C$27)-Assumptions!$C$28)*Assumptions!$C$31)+Assumptions!$C$28-Assumptions!$C$29-$O396*Assumptions!$C$30</f>
        <v>119.3702818</v>
      </c>
      <c r="U396" s="139">
        <f>($P396*(1-(Assumptions!$C$25+0.06*(1-$K396))-Assumptions!$C$27)-Assumptions!$C$28)-MAX(0,($P396*(1-(Assumptions!$C$25+0.06*(1-$K396))-Assumptions!$C$27)-Assumptions!$C$28)*Assumptions!$C$31)+Assumptions!$C$28-Assumptions!$C$29-$P396*Assumptions!$C$30</f>
        <v>128.8398822</v>
      </c>
      <c r="V396" s="143">
        <f>(($Q396/(1+$D396)^1+$R396/(1+$D396)^2+$S396/(1+$D396)^3+$T396/(1+$D396)^4+$U396/(1+$D396)^5+$U396*(1+$E396)/($D396-$E396)/(1+$D396)^5)-Assumptions!$C$37)/Assumptions!$C$40/Assumptions!$C$38</f>
        <v>4.901983337</v>
      </c>
    </row>
    <row r="397" ht="12.0" customHeight="1">
      <c r="B397" s="139">
        <v>345.0</v>
      </c>
      <c r="C397" s="140">
        <f t="shared" si="6"/>
        <v>0.7069241456</v>
      </c>
      <c r="D397" s="141">
        <f t="shared" si="7"/>
        <v>0.1021775371</v>
      </c>
      <c r="E397" s="141">
        <f t="shared" si="8"/>
        <v>0.02043580727</v>
      </c>
      <c r="F397" s="140">
        <f t="shared" si="9"/>
        <v>0.6177186978</v>
      </c>
      <c r="G397" s="141">
        <f t="shared" si="10"/>
        <v>0.06376821882</v>
      </c>
      <c r="H397" s="142">
        <f t="shared" si="11"/>
        <v>1</v>
      </c>
      <c r="I397" s="142">
        <f t="shared" si="12"/>
        <v>0</v>
      </c>
      <c r="J397" s="142">
        <f t="shared" si="13"/>
        <v>0</v>
      </c>
      <c r="K397" s="142">
        <f t="shared" si="14"/>
        <v>1</v>
      </c>
      <c r="L397" s="139">
        <f>Assumptions!$C$6*Assumptions!$C$7*(1+$G397-0.05*(1-1))^1+Assumptions!$C$6*Assumptions!$C$8*(1+Assumptions!$C$11)^1+Assumptions!$C$16*1+Assumptions!$C$6*Assumptions!$C$9*(1+Assumptions!$C$12)^1</f>
        <v>747.9323825</v>
      </c>
      <c r="M397" s="139">
        <f>Assumptions!$C$6*Assumptions!$C$7*(1+$G397-0.05*(1-$H397))^2+Assumptions!$C$6*Assumptions!$C$8*(1+Assumptions!$C$11)^2+Assumptions!$C$16*$H397+Assumptions!$C$6*Assumptions!$C$9*(1+Assumptions!$C$12)^2</f>
        <v>777.3628703</v>
      </c>
      <c r="N397" s="139">
        <f>Assumptions!$C$6*Assumptions!$C$7*(1+$G397-0.05*(1-$I397))^3+Assumptions!$C$6*Assumptions!$C$8*(1+Assumptions!$C$11)^3+Assumptions!$C$16*$I397+Assumptions!$C$6*Assumptions!$C$9*(1+Assumptions!$C$12)^3</f>
        <v>693.8901146</v>
      </c>
      <c r="O397" s="139">
        <f>Assumptions!$C$6*Assumptions!$C$7*(1+$G397-0.05*(1-$J397))^4+Assumptions!$C$6*Assumptions!$C$8*(1+Assumptions!$C$11)^4+Assumptions!$C$16*$J397+Assumptions!$C$6*Assumptions!$C$9*(1+Assumptions!$C$12)^4</f>
        <v>705.5824597</v>
      </c>
      <c r="P397" s="139">
        <f>Assumptions!$C$6*Assumptions!$C$7*(1+$G397-0.05*(1-$K397))^5+Assumptions!$C$6*Assumptions!$C$8*(1+Assumptions!$C$11)^5+Assumptions!$C$16*$K397+Assumptions!$C$6*Assumptions!$C$9*(1+Assumptions!$C$12)^5</f>
        <v>875.5701071</v>
      </c>
      <c r="Q397" s="139">
        <f>($L397*(1-(Assumptions!$C$25+0.06*(1-1))-Assumptions!$C$27)-Assumptions!$C$28)-MAX(0,($L397*(1-(Assumptions!$C$25+0.06*(1-1))-Assumptions!$C$27)-Assumptions!$C$28)*Assumptions!$C$31)+Assumptions!$C$28-Assumptions!$C$29-$L397*Assumptions!$C$30</f>
        <v>93.30546223</v>
      </c>
      <c r="R397" s="139">
        <f>($M397*(1-(Assumptions!$C$25+0.06*(1-$H397))-Assumptions!$C$27)-Assumptions!$C$28)-MAX(0,($M397*(1-(Assumptions!$C$25+0.06*(1-$H397))-Assumptions!$C$27)-Assumptions!$C$28)*Assumptions!$C$31)+Assumptions!$C$28-Assumptions!$C$29-$M397*Assumptions!$C$30</f>
        <v>99.63301712</v>
      </c>
      <c r="S397" s="139">
        <f>($N397*(1-(Assumptions!$C$25+0.06*(1-$I397))-Assumptions!$C$27)-Assumptions!$C$28)-MAX(0,($N397*(1-(Assumptions!$C$25+0.06*(1-$I397))-Assumptions!$C$27)-Assumptions!$C$28)*Assumptions!$C$31)+Assumptions!$C$28-Assumptions!$C$29-$N397*Assumptions!$C$30</f>
        <v>39.59472637</v>
      </c>
      <c r="T397" s="139">
        <f>($O397*(1-(Assumptions!$C$25+0.06*(1-$J397))-Assumptions!$C$27)-Assumptions!$C$28)-MAX(0,($O397*(1-(Assumptions!$C$25+0.06*(1-$J397))-Assumptions!$C$27)-Assumptions!$C$28)*Assumptions!$C$31)+Assumptions!$C$28-Assumptions!$C$29-$O397*Assumptions!$C$30</f>
        <v>42.28396572</v>
      </c>
      <c r="U397" s="139">
        <f>($P397*(1-(Assumptions!$C$25+0.06*(1-$K397))-Assumptions!$C$27)-Assumptions!$C$28)-MAX(0,($P397*(1-(Assumptions!$C$25+0.06*(1-$K397))-Assumptions!$C$27)-Assumptions!$C$28)*Assumptions!$C$31)+Assumptions!$C$28-Assumptions!$C$29-$P397*Assumptions!$C$30</f>
        <v>120.747573</v>
      </c>
      <c r="V397" s="143">
        <f>(($Q397/(1+$D397)^1+$R397/(1+$D397)^2+$S397/(1+$D397)^3+$T397/(1+$D397)^4+$U397/(1+$D397)^5+$U397*(1+$E397)/($D397-$E397)/(1+$D397)^5)-Assumptions!$C$37)/Assumptions!$C$40/Assumptions!$C$38</f>
        <v>4.168751284</v>
      </c>
    </row>
    <row r="398" ht="12.0" customHeight="1">
      <c r="B398" s="139">
        <v>346.0</v>
      </c>
      <c r="C398" s="140">
        <f t="shared" si="6"/>
        <v>0.7861119872</v>
      </c>
      <c r="D398" s="141">
        <f t="shared" si="7"/>
        <v>0.1040459517</v>
      </c>
      <c r="E398" s="141">
        <f t="shared" si="8"/>
        <v>0.01256532217</v>
      </c>
      <c r="F398" s="140">
        <f t="shared" si="9"/>
        <v>0.9094307092</v>
      </c>
      <c r="G398" s="141">
        <f t="shared" si="10"/>
        <v>0.07723188646</v>
      </c>
      <c r="H398" s="142">
        <f t="shared" si="11"/>
        <v>1</v>
      </c>
      <c r="I398" s="142">
        <f t="shared" si="12"/>
        <v>0</v>
      </c>
      <c r="J398" s="142">
        <f t="shared" si="13"/>
        <v>0</v>
      </c>
      <c r="K398" s="142">
        <f t="shared" si="14"/>
        <v>1</v>
      </c>
      <c r="L398" s="139">
        <f>Assumptions!$C$6*Assumptions!$C$7*(1+$G398-0.05*(1-1))^1+Assumptions!$C$6*Assumptions!$C$8*(1+Assumptions!$C$11)^1+Assumptions!$C$16*1+Assumptions!$C$6*Assumptions!$C$9*(1+Assumptions!$C$12)^1</f>
        <v>752.464253</v>
      </c>
      <c r="M398" s="139">
        <f>Assumptions!$C$6*Assumptions!$C$7*(1+$G398-0.05*(1-$H398))^2+Assumptions!$C$6*Assumptions!$C$8*(1+Assumptions!$C$11)^2+Assumptions!$C$16*$H398+Assumptions!$C$6*Assumptions!$C$9*(1+Assumptions!$C$12)^2</f>
        <v>787.0656056</v>
      </c>
      <c r="N398" s="139">
        <f>Assumptions!$C$6*Assumptions!$C$7*(1+$G398-0.05*(1-$I398))^3+Assumptions!$C$6*Assumptions!$C$8*(1+Assumptions!$C$11)^3+Assumptions!$C$16*$I398+Assumptions!$C$6*Assumptions!$C$9*(1+Assumptions!$C$12)^3</f>
        <v>708.0490667</v>
      </c>
      <c r="O398" s="139">
        <f>Assumptions!$C$6*Assumptions!$C$7*(1+$G398-0.05*(1-$J398))^4+Assumptions!$C$6*Assumptions!$C$8*(1+Assumptions!$C$11)^4+Assumptions!$C$16*$J398+Assumptions!$C$6*Assumptions!$C$9*(1+Assumptions!$C$12)^4</f>
        <v>724.8486336</v>
      </c>
      <c r="P398" s="139">
        <f>Assumptions!$C$6*Assumptions!$C$7*(1+$G398-0.05*(1-$K398))^5+Assumptions!$C$6*Assumptions!$C$8*(1+Assumptions!$C$11)^5+Assumptions!$C$16*$K398+Assumptions!$C$6*Assumptions!$C$9*(1+Assumptions!$C$12)^5</f>
        <v>905.3298118</v>
      </c>
      <c r="Q398" s="139">
        <f>($L398*(1-(Assumptions!$C$25+0.06*(1-1))-Assumptions!$C$27)-Assumptions!$C$28)-MAX(0,($L398*(1-(Assumptions!$C$25+0.06*(1-1))-Assumptions!$C$27)-Assumptions!$C$28)*Assumptions!$C$31)+Assumptions!$C$28-Assumptions!$C$29-$L398*Assumptions!$C$30</f>
        <v>94.27981439</v>
      </c>
      <c r="R398" s="139">
        <f>($M398*(1-(Assumptions!$C$25+0.06*(1-$H398))-Assumptions!$C$27)-Assumptions!$C$28)-MAX(0,($M398*(1-(Assumptions!$C$25+0.06*(1-$H398))-Assumptions!$C$27)-Assumptions!$C$28)*Assumptions!$C$31)+Assumptions!$C$28-Assumptions!$C$29-$M398*Assumptions!$C$30</f>
        <v>101.7191052</v>
      </c>
      <c r="S398" s="139">
        <f>($N398*(1-(Assumptions!$C$25+0.06*(1-$I398))-Assumptions!$C$27)-Assumptions!$C$28)-MAX(0,($N398*(1-(Assumptions!$C$25+0.06*(1-$I398))-Assumptions!$C$27)-Assumptions!$C$28)*Assumptions!$C$31)+Assumptions!$C$28-Assumptions!$C$29-$N398*Assumptions!$C$30</f>
        <v>42.85128534</v>
      </c>
      <c r="T398" s="139">
        <f>($O398*(1-(Assumptions!$C$25+0.06*(1-$J398))-Assumptions!$C$27)-Assumptions!$C$28)-MAX(0,($O398*(1-(Assumptions!$C$25+0.06*(1-$J398))-Assumptions!$C$27)-Assumptions!$C$28)*Assumptions!$C$31)+Assumptions!$C$28-Assumptions!$C$29-$O398*Assumptions!$C$30</f>
        <v>46.71518573</v>
      </c>
      <c r="U398" s="139">
        <f>($P398*(1-(Assumptions!$C$25+0.06*(1-$K398))-Assumptions!$C$27)-Assumptions!$C$28)-MAX(0,($P398*(1-(Assumptions!$C$25+0.06*(1-$K398))-Assumptions!$C$27)-Assumptions!$C$28)*Assumptions!$C$31)+Assumptions!$C$28-Assumptions!$C$29-$P398*Assumptions!$C$30</f>
        <v>127.1459095</v>
      </c>
      <c r="V398" s="143">
        <f>(($Q398/(1+$D398)^1+$R398/(1+$D398)^2+$S398/(1+$D398)^3+$T398/(1+$D398)^4+$U398/(1+$D398)^5+$U398*(1+$E398)/($D398-$E398)/(1+$D398)^5)-Assumptions!$C$37)/Assumptions!$C$40/Assumptions!$C$38</f>
        <v>3.713813502</v>
      </c>
    </row>
    <row r="399" ht="12.0" customHeight="1">
      <c r="B399" s="139">
        <v>347.0</v>
      </c>
      <c r="C399" s="140">
        <f t="shared" si="6"/>
        <v>0.9925836861</v>
      </c>
      <c r="D399" s="141">
        <f t="shared" si="7"/>
        <v>0.1129602568</v>
      </c>
      <c r="E399" s="141">
        <f t="shared" si="8"/>
        <v>0.02616827795</v>
      </c>
      <c r="F399" s="140">
        <f t="shared" si="9"/>
        <v>0.9974726894</v>
      </c>
      <c r="G399" s="141">
        <f t="shared" si="10"/>
        <v>0.08786712421</v>
      </c>
      <c r="H399" s="142">
        <f t="shared" si="11"/>
        <v>1</v>
      </c>
      <c r="I399" s="142">
        <f t="shared" si="12"/>
        <v>0</v>
      </c>
      <c r="J399" s="142">
        <f t="shared" si="13"/>
        <v>0</v>
      </c>
      <c r="K399" s="142">
        <f t="shared" si="14"/>
        <v>1</v>
      </c>
      <c r="L399" s="139">
        <f>Assumptions!$C$6*Assumptions!$C$7*(1+$G399-0.05*(1-1))^1+Assumptions!$C$6*Assumptions!$C$8*(1+Assumptions!$C$11)^1+Assumptions!$C$16*1+Assumptions!$C$6*Assumptions!$C$9*(1+Assumptions!$C$12)^1</f>
        <v>756.044074</v>
      </c>
      <c r="M399" s="139">
        <f>Assumptions!$C$6*Assumptions!$C$7*(1+$G399-0.05*(1-$H399))^2+Assumptions!$C$6*Assumptions!$C$8*(1+Assumptions!$C$11)^2+Assumptions!$C$16*$H399+Assumptions!$C$6*Assumptions!$C$9*(1+Assumptions!$C$12)^2</f>
        <v>794.8162726</v>
      </c>
      <c r="N399" s="139">
        <f>Assumptions!$C$6*Assumptions!$C$7*(1+$G399-0.05*(1-$I399))^3+Assumptions!$C$6*Assumptions!$C$8*(1+Assumptions!$C$11)^3+Assumptions!$C$16*$I399+Assumptions!$C$6*Assumptions!$C$9*(1+Assumptions!$C$12)^3</f>
        <v>719.4991376</v>
      </c>
      <c r="O399" s="139">
        <f>Assumptions!$C$6*Assumptions!$C$7*(1+$G399-0.05*(1-$J399))^4+Assumptions!$C$6*Assumptions!$C$8*(1+Assumptions!$C$11)^4+Assumptions!$C$16*$J399+Assumptions!$C$6*Assumptions!$C$9*(1+Assumptions!$C$12)^4</f>
        <v>740.612599</v>
      </c>
      <c r="P399" s="139">
        <f>Assumptions!$C$6*Assumptions!$C$7*(1+$G399-0.05*(1-$K399))^5+Assumptions!$C$6*Assumptions!$C$8*(1+Assumptions!$C$11)^5+Assumptions!$C$16*$K399+Assumptions!$C$6*Assumptions!$C$9*(1+Assumptions!$C$12)^5</f>
        <v>929.9132907</v>
      </c>
      <c r="Q399" s="139">
        <f>($L399*(1-(Assumptions!$C$25+0.06*(1-1))-Assumptions!$C$27)-Assumptions!$C$28)-MAX(0,($L399*(1-(Assumptions!$C$25+0.06*(1-1))-Assumptions!$C$27)-Assumptions!$C$28)*Assumptions!$C$31)+Assumptions!$C$28-Assumptions!$C$29-$L399*Assumptions!$C$30</f>
        <v>95.04947591</v>
      </c>
      <c r="R399" s="139">
        <f>($M399*(1-(Assumptions!$C$25+0.06*(1-$H399))-Assumptions!$C$27)-Assumptions!$C$28)-MAX(0,($M399*(1-(Assumptions!$C$25+0.06*(1-$H399))-Assumptions!$C$27)-Assumptions!$C$28)*Assumptions!$C$31)+Assumptions!$C$28-Assumptions!$C$29-$M399*Assumptions!$C$30</f>
        <v>103.3854986</v>
      </c>
      <c r="S399" s="139">
        <f>($N399*(1-(Assumptions!$C$25+0.06*(1-$I399))-Assumptions!$C$27)-Assumptions!$C$28)-MAX(0,($N399*(1-(Assumptions!$C$25+0.06*(1-$I399))-Assumptions!$C$27)-Assumptions!$C$28)*Assumptions!$C$31)+Assumptions!$C$28-Assumptions!$C$29-$N399*Assumptions!$C$30</f>
        <v>45.48480164</v>
      </c>
      <c r="T399" s="139">
        <f>($O399*(1-(Assumptions!$C$25+0.06*(1-$J399))-Assumptions!$C$27)-Assumptions!$C$28)-MAX(0,($O399*(1-(Assumptions!$C$25+0.06*(1-$J399))-Assumptions!$C$27)-Assumptions!$C$28)*Assumptions!$C$31)+Assumptions!$C$28-Assumptions!$C$29-$O399*Assumptions!$C$30</f>
        <v>50.34089778</v>
      </c>
      <c r="U399" s="139">
        <f>($P399*(1-(Assumptions!$C$25+0.06*(1-$K399))-Assumptions!$C$27)-Assumptions!$C$28)-MAX(0,($P399*(1-(Assumptions!$C$25+0.06*(1-$K399))-Assumptions!$C$27)-Assumptions!$C$28)*Assumptions!$C$31)+Assumptions!$C$28-Assumptions!$C$29-$P399*Assumptions!$C$30</f>
        <v>132.4313575</v>
      </c>
      <c r="V399" s="143">
        <f>(($Q399/(1+$D399)^1+$R399/(1+$D399)^2+$S399/(1+$D399)^3+$T399/(1+$D399)^4+$U399/(1+$D399)^5+$U399*(1+$E399)/($D399-$E399)/(1+$D399)^5)-Assumptions!$C$37)/Assumptions!$C$40/Assumptions!$C$38</f>
        <v>4.194177204</v>
      </c>
    </row>
    <row r="400" ht="12.0" customHeight="1">
      <c r="B400" s="139">
        <v>348.0</v>
      </c>
      <c r="C400" s="140">
        <f t="shared" si="6"/>
        <v>0.796646553</v>
      </c>
      <c r="D400" s="141">
        <f t="shared" si="7"/>
        <v>0.104319116</v>
      </c>
      <c r="E400" s="141">
        <f t="shared" si="8"/>
        <v>0.02834799787</v>
      </c>
      <c r="F400" s="140">
        <f t="shared" si="9"/>
        <v>0.145058105</v>
      </c>
      <c r="G400" s="141">
        <f t="shared" si="10"/>
        <v>0.04615873105</v>
      </c>
      <c r="H400" s="142">
        <f t="shared" si="11"/>
        <v>1</v>
      </c>
      <c r="I400" s="142">
        <f t="shared" si="12"/>
        <v>1</v>
      </c>
      <c r="J400" s="142">
        <f t="shared" si="13"/>
        <v>1</v>
      </c>
      <c r="K400" s="142">
        <f t="shared" si="14"/>
        <v>1</v>
      </c>
      <c r="L400" s="139">
        <f>Assumptions!$C$6*Assumptions!$C$7*(1+$G400-0.05*(1-1))^1+Assumptions!$C$6*Assumptions!$C$8*(1+Assumptions!$C$11)^1+Assumptions!$C$16*1+Assumptions!$C$6*Assumptions!$C$9*(1+Assumptions!$C$12)^1</f>
        <v>742.0050289</v>
      </c>
      <c r="M400" s="139">
        <f>Assumptions!$C$6*Assumptions!$C$7*(1+$G400-0.05*(1-$H400))^2+Assumptions!$C$6*Assumptions!$C$8*(1+Assumptions!$C$11)^2+Assumptions!$C$16*$H400+Assumptions!$C$6*Assumptions!$C$9*(1+Assumptions!$C$12)^2</f>
        <v>764.8565873</v>
      </c>
      <c r="N400" s="139">
        <f>Assumptions!$C$6*Assumptions!$C$7*(1+$G400-0.05*(1-$I400))^3+Assumptions!$C$6*Assumptions!$C$8*(1+Assumptions!$C$11)^3+Assumptions!$C$16*$I400+Assumptions!$C$6*Assumptions!$C$9*(1+Assumptions!$C$12)^3</f>
        <v>788.5903661</v>
      </c>
      <c r="O400" s="139">
        <f>Assumptions!$C$6*Assumptions!$C$7*(1+$G400-0.05*(1-$J400))^4+Assumptions!$C$6*Assumptions!$C$8*(1+Assumptions!$C$11)^4+Assumptions!$C$16*$J400+Assumptions!$C$6*Assumptions!$C$9*(1+Assumptions!$C$12)^4</f>
        <v>813.2436358</v>
      </c>
      <c r="P400" s="139">
        <f>Assumptions!$C$6*Assumptions!$C$7*(1+$G400-0.05*(1-$K400))^5+Assumptions!$C$6*Assumptions!$C$8*(1+Assumptions!$C$11)^5+Assumptions!$C$16*$K400+Assumptions!$C$6*Assumptions!$C$9*(1+Assumptions!$C$12)^5</f>
        <v>838.8553185</v>
      </c>
      <c r="Q400" s="139">
        <f>($L400*(1-(Assumptions!$C$25+0.06*(1-1))-Assumptions!$C$27)-Assumptions!$C$28)-MAX(0,($L400*(1-(Assumptions!$C$25+0.06*(1-1))-Assumptions!$C$27)-Assumptions!$C$28)*Assumptions!$C$31)+Assumptions!$C$28-Assumptions!$C$29-$L400*Assumptions!$C$30</f>
        <v>92.03108121</v>
      </c>
      <c r="R400" s="139">
        <f>($M400*(1-(Assumptions!$C$25+0.06*(1-$H400))-Assumptions!$C$27)-Assumptions!$C$28)-MAX(0,($M400*(1-(Assumptions!$C$25+0.06*(1-$H400))-Assumptions!$C$27)-Assumptions!$C$28)*Assumptions!$C$31)+Assumptions!$C$28-Assumptions!$C$29-$M400*Assumptions!$C$30</f>
        <v>96.94416626</v>
      </c>
      <c r="S400" s="139">
        <f>($N400*(1-(Assumptions!$C$25+0.06*(1-$I400))-Assumptions!$C$27)-Assumptions!$C$28)-MAX(0,($N400*(1-(Assumptions!$C$25+0.06*(1-$I400))-Assumptions!$C$27)-Assumptions!$C$28)*Assumptions!$C$31)+Assumptions!$C$28-Assumptions!$C$29-$N400*Assumptions!$C$30</f>
        <v>102.0469287</v>
      </c>
      <c r="T400" s="139">
        <f>($O400*(1-(Assumptions!$C$25+0.06*(1-$J400))-Assumptions!$C$27)-Assumptions!$C$28)-MAX(0,($O400*(1-(Assumptions!$C$25+0.06*(1-$J400))-Assumptions!$C$27)-Assumptions!$C$28)*Assumptions!$C$31)+Assumptions!$C$28-Assumptions!$C$29-$O400*Assumptions!$C$30</f>
        <v>107.3473817</v>
      </c>
      <c r="U400" s="139">
        <f>($P400*(1-(Assumptions!$C$25+0.06*(1-$K400))-Assumptions!$C$27)-Assumptions!$C$28)-MAX(0,($P400*(1-(Assumptions!$C$25+0.06*(1-$K400))-Assumptions!$C$27)-Assumptions!$C$28)*Assumptions!$C$31)+Assumptions!$C$28-Assumptions!$C$29-$P400*Assumptions!$C$30</f>
        <v>112.8538935</v>
      </c>
      <c r="V400" s="143">
        <f>(($Q400/(1+$D400)^1+$R400/(1+$D400)^2+$S400/(1+$D400)^3+$T400/(1+$D400)^4+$U400/(1+$D400)^5+$U400*(1+$E400)/($D400-$E400)/(1+$D400)^5)-Assumptions!$C$37)/Assumptions!$C$40/Assumptions!$C$38</f>
        <v>4.822142455</v>
      </c>
    </row>
    <row r="401" ht="12.0" customHeight="1">
      <c r="B401" s="139">
        <v>349.0</v>
      </c>
      <c r="C401" s="140">
        <f t="shared" si="6"/>
        <v>0.4949377369</v>
      </c>
      <c r="D401" s="141">
        <f t="shared" si="7"/>
        <v>0.09816729583</v>
      </c>
      <c r="E401" s="141">
        <f t="shared" si="8"/>
        <v>0.02197143834</v>
      </c>
      <c r="F401" s="140">
        <f t="shared" si="9"/>
        <v>0.1041927765</v>
      </c>
      <c r="G401" s="141">
        <f t="shared" si="10"/>
        <v>0.04369477994</v>
      </c>
      <c r="H401" s="142">
        <f t="shared" si="11"/>
        <v>1</v>
      </c>
      <c r="I401" s="142">
        <f t="shared" si="12"/>
        <v>1</v>
      </c>
      <c r="J401" s="142">
        <f t="shared" si="13"/>
        <v>1</v>
      </c>
      <c r="K401" s="142">
        <f t="shared" si="14"/>
        <v>0</v>
      </c>
      <c r="L401" s="139">
        <f>Assumptions!$C$6*Assumptions!$C$7*(1+$G401-0.05*(1-1))^1+Assumptions!$C$6*Assumptions!$C$8*(1+Assumptions!$C$11)^1+Assumptions!$C$16*1+Assumptions!$C$6*Assumptions!$C$9*(1+Assumptions!$C$12)^1</f>
        <v>741.1756629</v>
      </c>
      <c r="M401" s="139">
        <f>Assumptions!$C$6*Assumptions!$C$7*(1+$G401-0.05*(1-$H401))^2+Assumptions!$C$6*Assumptions!$C$8*(1+Assumptions!$C$11)^2+Assumptions!$C$16*$H401+Assumptions!$C$6*Assumptions!$C$9*(1+Assumptions!$C$12)^2</f>
        <v>763.123334</v>
      </c>
      <c r="N401" s="139">
        <f>Assumptions!$C$6*Assumptions!$C$7*(1+$G401-0.05*(1-$I401))^3+Assumptions!$C$6*Assumptions!$C$8*(1+Assumptions!$C$11)^3+Assumptions!$C$16*$I401+Assumptions!$C$6*Assumptions!$C$9*(1+Assumptions!$C$12)^3</f>
        <v>785.8736806</v>
      </c>
      <c r="O401" s="139">
        <f>Assumptions!$C$6*Assumptions!$C$7*(1+$G401-0.05*(1-$J401))^4+Assumptions!$C$6*Assumptions!$C$8*(1+Assumptions!$C$11)^4+Assumptions!$C$16*$J401+Assumptions!$C$6*Assumptions!$C$9*(1+Assumptions!$C$12)^4</f>
        <v>809.4586493</v>
      </c>
      <c r="P401" s="139">
        <f>Assumptions!$C$6*Assumptions!$C$7*(1+$G401-0.05*(1-$K401))^5+Assumptions!$C$6*Assumptions!$C$8*(1+Assumptions!$C$11)^5+Assumptions!$C$16*$K401+Assumptions!$C$6*Assumptions!$C$9*(1+Assumptions!$C$12)^5</f>
        <v>683.1810233</v>
      </c>
      <c r="Q401" s="139">
        <f>($L401*(1-(Assumptions!$C$25+0.06*(1-1))-Assumptions!$C$27)-Assumptions!$C$28)-MAX(0,($L401*(1-(Assumptions!$C$25+0.06*(1-1))-Assumptions!$C$27)-Assumptions!$C$28)*Assumptions!$C$31)+Assumptions!$C$28-Assumptions!$C$29-$L401*Assumptions!$C$30</f>
        <v>91.85276753</v>
      </c>
      <c r="R401" s="139">
        <f>($M401*(1-(Assumptions!$C$25+0.06*(1-$H401))-Assumptions!$C$27)-Assumptions!$C$28)-MAX(0,($M401*(1-(Assumptions!$C$25+0.06*(1-$H401))-Assumptions!$C$27)-Assumptions!$C$28)*Assumptions!$C$31)+Assumptions!$C$28-Assumptions!$C$29-$M401*Assumptions!$C$30</f>
        <v>96.5715168</v>
      </c>
      <c r="S401" s="139">
        <f>($N401*(1-(Assumptions!$C$25+0.06*(1-$I401))-Assumptions!$C$27)-Assumptions!$C$28)-MAX(0,($N401*(1-(Assumptions!$C$25+0.06*(1-$I401))-Assumptions!$C$27)-Assumptions!$C$28)*Assumptions!$C$31)+Assumptions!$C$28-Assumptions!$C$29-$N401*Assumptions!$C$30</f>
        <v>101.4628413</v>
      </c>
      <c r="T401" s="139">
        <f>($O401*(1-(Assumptions!$C$25+0.06*(1-$J401))-Assumptions!$C$27)-Assumptions!$C$28)-MAX(0,($O401*(1-(Assumptions!$C$25+0.06*(1-$J401))-Assumptions!$C$27)-Assumptions!$C$28)*Assumptions!$C$31)+Assumptions!$C$28-Assumptions!$C$29-$O401*Assumptions!$C$30</f>
        <v>106.5336096</v>
      </c>
      <c r="U401" s="139">
        <f>($P401*(1-(Assumptions!$C$25+0.06*(1-$K401))-Assumptions!$C$27)-Assumptions!$C$28)-MAX(0,($P401*(1-(Assumptions!$C$25+0.06*(1-$K401))-Assumptions!$C$27)-Assumptions!$C$28)*Assumptions!$C$31)+Assumptions!$C$28-Assumptions!$C$29-$P401*Assumptions!$C$30</f>
        <v>37.13163536</v>
      </c>
      <c r="V401" s="143">
        <f>(($Q401/(1+$D401)^1+$R401/(1+$D401)^2+$S401/(1+$D401)^3+$T401/(1+$D401)^4+$U401/(1+$D401)^5+$U401*(1+$E401)/($D401-$E401)/(1+$D401)^5)-Assumptions!$C$37)/Assumptions!$C$40/Assumptions!$C$38</f>
        <v>-0.3359157732</v>
      </c>
    </row>
    <row r="402" ht="12.0" customHeight="1">
      <c r="B402" s="139">
        <v>350.0</v>
      </c>
      <c r="C402" s="140">
        <f t="shared" si="6"/>
        <v>0.5876294701</v>
      </c>
      <c r="D402" s="141">
        <f t="shared" si="7"/>
        <v>0.09979013914</v>
      </c>
      <c r="E402" s="141">
        <f t="shared" si="8"/>
        <v>0.02676550705</v>
      </c>
      <c r="F402" s="140">
        <f t="shared" si="9"/>
        <v>0.245658377</v>
      </c>
      <c r="G402" s="141">
        <f t="shared" si="10"/>
        <v>0.05102819723</v>
      </c>
      <c r="H402" s="142">
        <f t="shared" si="11"/>
        <v>1</v>
      </c>
      <c r="I402" s="142">
        <f t="shared" si="12"/>
        <v>0</v>
      </c>
      <c r="J402" s="142">
        <f t="shared" si="13"/>
        <v>0</v>
      </c>
      <c r="K402" s="142">
        <f t="shared" si="14"/>
        <v>1</v>
      </c>
      <c r="L402" s="139">
        <f>Assumptions!$C$6*Assumptions!$C$7*(1+$G402-0.05*(1-1))^1+Assumptions!$C$6*Assumptions!$C$8*(1+Assumptions!$C$11)^1+Assumptions!$C$16*1+Assumptions!$C$6*Assumptions!$C$9*(1+Assumptions!$C$12)^1</f>
        <v>743.6440912</v>
      </c>
      <c r="M402" s="139">
        <f>Assumptions!$C$6*Assumptions!$C$7*(1+$G402-0.05*(1-$H402))^2+Assumptions!$C$6*Assumptions!$C$8*(1+Assumptions!$C$11)^2+Assumptions!$C$16*$H402+Assumptions!$C$6*Assumptions!$C$9*(1+Assumptions!$C$12)^2</f>
        <v>768.2940073</v>
      </c>
      <c r="N402" s="139">
        <f>Assumptions!$C$6*Assumptions!$C$7*(1+$G402-0.05*(1-$I402))^3+Assumptions!$C$6*Assumptions!$C$8*(1+Assumptions!$C$11)^3+Assumptions!$C$16*$I402+Assumptions!$C$6*Assumptions!$C$9*(1+Assumptions!$C$12)^3</f>
        <v>680.8340087</v>
      </c>
      <c r="O402" s="139">
        <f>Assumptions!$C$6*Assumptions!$C$7*(1+$G402-0.05*(1-$J402))^4+Assumptions!$C$6*Assumptions!$C$8*(1+Assumptions!$C$11)^4+Assumptions!$C$16*$J402+Assumptions!$C$6*Assumptions!$C$9*(1+Assumptions!$C$12)^4</f>
        <v>688.0450619</v>
      </c>
      <c r="P402" s="139">
        <f>Assumptions!$C$6*Assumptions!$C$7*(1+$G402-0.05*(1-$K402))^5+Assumptions!$C$6*Assumptions!$C$8*(1+Assumptions!$C$11)^5+Assumptions!$C$16*$K402+Assumptions!$C$6*Assumptions!$C$9*(1+Assumptions!$C$12)^5</f>
        <v>848.7636091</v>
      </c>
      <c r="Q402" s="139">
        <f>($L402*(1-(Assumptions!$C$25+0.06*(1-1))-Assumptions!$C$27)-Assumptions!$C$28)-MAX(0,($L402*(1-(Assumptions!$C$25+0.06*(1-1))-Assumptions!$C$27)-Assumptions!$C$28)*Assumptions!$C$31)+Assumptions!$C$28-Assumptions!$C$29-$L402*Assumptions!$C$30</f>
        <v>92.3834796</v>
      </c>
      <c r="R402" s="139">
        <f>($M402*(1-(Assumptions!$C$25+0.06*(1-$H402))-Assumptions!$C$27)-Assumptions!$C$28)-MAX(0,($M402*(1-(Assumptions!$C$25+0.06*(1-$H402))-Assumptions!$C$27)-Assumptions!$C$28)*Assumptions!$C$31)+Assumptions!$C$28-Assumptions!$C$29-$M402*Assumptions!$C$30</f>
        <v>97.68321158</v>
      </c>
      <c r="S402" s="139">
        <f>($N402*(1-(Assumptions!$C$25+0.06*(1-$I402))-Assumptions!$C$27)-Assumptions!$C$28)-MAX(0,($N402*(1-(Assumptions!$C$25+0.06*(1-$I402))-Assumptions!$C$27)-Assumptions!$C$28)*Assumptions!$C$31)+Assumptions!$C$28-Assumptions!$C$29-$N402*Assumptions!$C$30</f>
        <v>36.591822</v>
      </c>
      <c r="T402" s="139">
        <f>($O402*(1-(Assumptions!$C$25+0.06*(1-$J402))-Assumptions!$C$27)-Assumptions!$C$28)-MAX(0,($O402*(1-(Assumptions!$C$25+0.06*(1-$J402))-Assumptions!$C$27)-Assumptions!$C$28)*Assumptions!$C$31)+Assumptions!$C$28-Assumptions!$C$29-$O402*Assumptions!$C$30</f>
        <v>38.25036423</v>
      </c>
      <c r="U402" s="139">
        <f>($P402*(1-(Assumptions!$C$25+0.06*(1-$K402))-Assumptions!$C$27)-Assumptions!$C$28)-MAX(0,($P402*(1-(Assumptions!$C$25+0.06*(1-$K402))-Assumptions!$C$27)-Assumptions!$C$28)*Assumptions!$C$31)+Assumptions!$C$28-Assumptions!$C$29-$P402*Assumptions!$C$30</f>
        <v>114.984176</v>
      </c>
      <c r="V402" s="143">
        <f>(($Q402/(1+$D402)^1+$R402/(1+$D402)^2+$S402/(1+$D402)^3+$T402/(1+$D402)^4+$U402/(1+$D402)^5+$U402*(1+$E402)/($D402-$E402)/(1+$D402)^5)-Assumptions!$C$37)/Assumptions!$C$40/Assumptions!$C$38</f>
        <v>4.705831081</v>
      </c>
    </row>
    <row r="403" ht="12.0" customHeight="1">
      <c r="B403" s="139">
        <v>351.0</v>
      </c>
      <c r="C403" s="140">
        <f t="shared" si="6"/>
        <v>0.4471716767</v>
      </c>
      <c r="D403" s="141">
        <f t="shared" si="7"/>
        <v>0.09738930185</v>
      </c>
      <c r="E403" s="141">
        <f t="shared" si="8"/>
        <v>0.01706691755</v>
      </c>
      <c r="F403" s="140">
        <f t="shared" si="9"/>
        <v>0.9043965647</v>
      </c>
      <c r="G403" s="141">
        <f t="shared" si="10"/>
        <v>0.07688183765</v>
      </c>
      <c r="H403" s="142">
        <f t="shared" si="11"/>
        <v>1</v>
      </c>
      <c r="I403" s="142">
        <f t="shared" si="12"/>
        <v>1</v>
      </c>
      <c r="J403" s="142">
        <f t="shared" si="13"/>
        <v>0</v>
      </c>
      <c r="K403" s="142">
        <f t="shared" si="14"/>
        <v>1</v>
      </c>
      <c r="L403" s="139">
        <f>Assumptions!$C$6*Assumptions!$C$7*(1+$G403-0.05*(1-1))^1+Assumptions!$C$6*Assumptions!$C$8*(1+Assumptions!$C$11)^1+Assumptions!$C$16*1+Assumptions!$C$6*Assumptions!$C$9*(1+Assumptions!$C$12)^1</f>
        <v>752.3464266</v>
      </c>
      <c r="M403" s="139">
        <f>Assumptions!$C$6*Assumptions!$C$7*(1+$G403-0.05*(1-$H403))^2+Assumptions!$C$6*Assumptions!$C$8*(1+Assumptions!$C$11)^2+Assumptions!$C$16*$H403+Assumptions!$C$6*Assumptions!$C$9*(1+Assumptions!$C$12)^2</f>
        <v>786.8117941</v>
      </c>
      <c r="N403" s="139">
        <f>Assumptions!$C$6*Assumptions!$C$7*(1+$G403-0.05*(1-$I403))^3+Assumptions!$C$6*Assumptions!$C$8*(1+Assumptions!$C$11)^3+Assumptions!$C$16*$I403+Assumptions!$C$6*Assumptions!$C$9*(1+Assumptions!$C$12)^3</f>
        <v>823.5516525</v>
      </c>
      <c r="O403" s="139">
        <f>Assumptions!$C$6*Assumptions!$C$7*(1+$G403-0.05*(1-$J403))^4+Assumptions!$C$6*Assumptions!$C$8*(1+Assumptions!$C$11)^4+Assumptions!$C$16*$J403+Assumptions!$C$6*Assumptions!$C$9*(1+Assumptions!$C$12)^4</f>
        <v>724.3380273</v>
      </c>
      <c r="P403" s="139">
        <f>Assumptions!$C$6*Assumptions!$C$7*(1+$G403-0.05*(1-$K403))^5+Assumptions!$C$6*Assumptions!$C$8*(1+Assumptions!$C$11)^5+Assumptions!$C$16*$K403+Assumptions!$C$6*Assumptions!$C$9*(1+Assumptions!$C$12)^5</f>
        <v>904.5370052</v>
      </c>
      <c r="Q403" s="139">
        <f>($L403*(1-(Assumptions!$C$25+0.06*(1-1))-Assumptions!$C$27)-Assumptions!$C$28)-MAX(0,($L403*(1-(Assumptions!$C$25+0.06*(1-1))-Assumptions!$C$27)-Assumptions!$C$28)*Assumptions!$C$31)+Assumptions!$C$28-Assumptions!$C$29-$L403*Assumptions!$C$30</f>
        <v>94.25448171</v>
      </c>
      <c r="R403" s="139">
        <f>($M403*(1-(Assumptions!$C$25+0.06*(1-$H403))-Assumptions!$C$27)-Assumptions!$C$28)-MAX(0,($M403*(1-(Assumptions!$C$25+0.06*(1-$H403))-Assumptions!$C$27)-Assumptions!$C$28)*Assumptions!$C$31)+Assumptions!$C$28-Assumptions!$C$29-$M403*Assumptions!$C$30</f>
        <v>101.6645357</v>
      </c>
      <c r="S403" s="139">
        <f>($N403*(1-(Assumptions!$C$25+0.06*(1-$I403))-Assumptions!$C$27)-Assumptions!$C$28)-MAX(0,($N403*(1-(Assumptions!$C$25+0.06*(1-$I403))-Assumptions!$C$27)-Assumptions!$C$28)*Assumptions!$C$31)+Assumptions!$C$28-Assumptions!$C$29-$N403*Assumptions!$C$30</f>
        <v>109.5636053</v>
      </c>
      <c r="T403" s="139">
        <f>($O403*(1-(Assumptions!$C$25+0.06*(1-$J403))-Assumptions!$C$27)-Assumptions!$C$28)-MAX(0,($O403*(1-(Assumptions!$C$25+0.06*(1-$J403))-Assumptions!$C$27)-Assumptions!$C$28)*Assumptions!$C$31)+Assumptions!$C$28-Assumptions!$C$29-$O403*Assumptions!$C$30</f>
        <v>46.59774628</v>
      </c>
      <c r="U403" s="139">
        <f>($P403*(1-(Assumptions!$C$25+0.06*(1-$K403))-Assumptions!$C$27)-Assumptions!$C$28)-MAX(0,($P403*(1-(Assumptions!$C$25+0.06*(1-$K403))-Assumptions!$C$27)-Assumptions!$C$28)*Assumptions!$C$31)+Assumptions!$C$28-Assumptions!$C$29-$P403*Assumptions!$C$30</f>
        <v>126.9754561</v>
      </c>
      <c r="V403" s="143">
        <f>(($Q403/(1+$D403)^1+$R403/(1+$D403)^2+$S403/(1+$D403)^3+$T403/(1+$D403)^4+$U403/(1+$D403)^5+$U403*(1+$E403)/($D403-$E403)/(1+$D403)^5)-Assumptions!$C$37)/Assumptions!$C$40/Assumptions!$C$38</f>
        <v>5.335425299</v>
      </c>
    </row>
    <row r="404" ht="12.0" customHeight="1">
      <c r="B404" s="139">
        <v>352.0</v>
      </c>
      <c r="C404" s="140">
        <f t="shared" si="6"/>
        <v>0.3373155792</v>
      </c>
      <c r="D404" s="141">
        <f t="shared" si="7"/>
        <v>0.09569345507</v>
      </c>
      <c r="E404" s="141">
        <f t="shared" si="8"/>
        <v>0.01370381931</v>
      </c>
      <c r="F404" s="140">
        <f t="shared" si="9"/>
        <v>0.6096971371</v>
      </c>
      <c r="G404" s="141">
        <f t="shared" si="10"/>
        <v>0.06349443166</v>
      </c>
      <c r="H404" s="142">
        <f t="shared" si="11"/>
        <v>1</v>
      </c>
      <c r="I404" s="142">
        <f t="shared" si="12"/>
        <v>1</v>
      </c>
      <c r="J404" s="142">
        <f t="shared" si="13"/>
        <v>0</v>
      </c>
      <c r="K404" s="142">
        <f t="shared" si="14"/>
        <v>0</v>
      </c>
      <c r="L404" s="139">
        <f>Assumptions!$C$6*Assumptions!$C$7*(1+$G404-0.05*(1-1))^1+Assumptions!$C$6*Assumptions!$C$8*(1+Assumptions!$C$11)^1+Assumptions!$C$16*1+Assumptions!$C$6*Assumptions!$C$9*(1+Assumptions!$C$12)^1</f>
        <v>747.8402257</v>
      </c>
      <c r="M404" s="139">
        <f>Assumptions!$C$6*Assumptions!$C$7*(1+$G404-0.05*(1-$H404))^2+Assumptions!$C$6*Assumptions!$C$8*(1+Assumptions!$C$11)^2+Assumptions!$C$16*$H404+Assumptions!$C$6*Assumptions!$C$9*(1+Assumptions!$C$12)^2</f>
        <v>777.1668287</v>
      </c>
      <c r="N404" s="139">
        <f>Assumptions!$C$6*Assumptions!$C$7*(1+$G404-0.05*(1-$I404))^3+Assumptions!$C$6*Assumptions!$C$8*(1+Assumptions!$C$11)^3+Assumptions!$C$16*$I404+Assumptions!$C$6*Assumptions!$C$9*(1+Assumptions!$C$12)^3</f>
        <v>808.0685593</v>
      </c>
      <c r="O404" s="139">
        <f>Assumptions!$C$6*Assumptions!$C$7*(1+$G404-0.05*(1-$J404))^4+Assumptions!$C$6*Assumptions!$C$8*(1+Assumptions!$C$11)^4+Assumptions!$C$16*$J404+Assumptions!$C$6*Assumptions!$C$9*(1+Assumptions!$C$12)^4</f>
        <v>705.1985516</v>
      </c>
      <c r="P404" s="139">
        <f>Assumptions!$C$6*Assumptions!$C$7*(1+$G404-0.05*(1-$K404))^5+Assumptions!$C$6*Assumptions!$C$8*(1+Assumptions!$C$11)^5+Assumptions!$C$16*$K404+Assumptions!$C$6*Assumptions!$C$9*(1+Assumptions!$C$12)^5</f>
        <v>716.9921351</v>
      </c>
      <c r="Q404" s="139">
        <f>($L404*(1-(Assumptions!$C$25+0.06*(1-1))-Assumptions!$C$27)-Assumptions!$C$28)-MAX(0,($L404*(1-(Assumptions!$C$25+0.06*(1-1))-Assumptions!$C$27)-Assumptions!$C$28)*Assumptions!$C$31)+Assumptions!$C$28-Assumptions!$C$29-$L404*Assumptions!$C$30</f>
        <v>93.28564852</v>
      </c>
      <c r="R404" s="139">
        <f>($M404*(1-(Assumptions!$C$25+0.06*(1-$H404))-Assumptions!$C$27)-Assumptions!$C$28)-MAX(0,($M404*(1-(Assumptions!$C$25+0.06*(1-$H404))-Assumptions!$C$27)-Assumptions!$C$28)*Assumptions!$C$31)+Assumptions!$C$28-Assumptions!$C$29-$M404*Assumptions!$C$30</f>
        <v>99.59086817</v>
      </c>
      <c r="S404" s="139">
        <f>($N404*(1-(Assumptions!$C$25+0.06*(1-$I404))-Assumptions!$C$27)-Assumptions!$C$28)-MAX(0,($N404*(1-(Assumptions!$C$25+0.06*(1-$I404))-Assumptions!$C$27)-Assumptions!$C$28)*Assumptions!$C$31)+Assumptions!$C$28-Assumptions!$C$29-$N404*Assumptions!$C$30</f>
        <v>106.2347403</v>
      </c>
      <c r="T404" s="139">
        <f>($O404*(1-(Assumptions!$C$25+0.06*(1-$J404))-Assumptions!$C$27)-Assumptions!$C$28)-MAX(0,($O404*(1-(Assumptions!$C$25+0.06*(1-$J404))-Assumptions!$C$27)-Assumptions!$C$28)*Assumptions!$C$31)+Assumptions!$C$28-Assumptions!$C$29-$O404*Assumptions!$C$30</f>
        <v>42.19566686</v>
      </c>
      <c r="U404" s="139">
        <f>($P404*(1-(Assumptions!$C$25+0.06*(1-$K404))-Assumptions!$C$27)-Assumptions!$C$28)-MAX(0,($P404*(1-(Assumptions!$C$25+0.06*(1-$K404))-Assumptions!$C$27)-Assumptions!$C$28)*Assumptions!$C$31)+Assumptions!$C$28-Assumptions!$C$29-$P404*Assumptions!$C$30</f>
        <v>44.90819108</v>
      </c>
      <c r="V404" s="143">
        <f>(($Q404/(1+$D404)^1+$R404/(1+$D404)^2+$S404/(1+$D404)^3+$T404/(1+$D404)^4+$U404/(1+$D404)^5+$U404*(1+$E404)/($D404-$E404)/(1+$D404)^5)-Assumptions!$C$37)/Assumptions!$C$40/Assumptions!$C$38</f>
        <v>-0.2617981744</v>
      </c>
    </row>
    <row r="405" ht="12.0" customHeight="1">
      <c r="B405" s="139">
        <v>353.0</v>
      </c>
      <c r="C405" s="140">
        <f t="shared" si="6"/>
        <v>0.08141208031</v>
      </c>
      <c r="D405" s="141">
        <f t="shared" si="7"/>
        <v>0.09025344603</v>
      </c>
      <c r="E405" s="141">
        <f t="shared" si="8"/>
        <v>0.01941927784</v>
      </c>
      <c r="F405" s="140">
        <f t="shared" si="9"/>
        <v>0.4051094557</v>
      </c>
      <c r="G405" s="141">
        <f t="shared" si="10"/>
        <v>0.05700364828</v>
      </c>
      <c r="H405" s="142">
        <f t="shared" si="11"/>
        <v>1</v>
      </c>
      <c r="I405" s="142">
        <f t="shared" si="12"/>
        <v>1</v>
      </c>
      <c r="J405" s="142">
        <f t="shared" si="13"/>
        <v>1</v>
      </c>
      <c r="K405" s="142">
        <f t="shared" si="14"/>
        <v>0</v>
      </c>
      <c r="L405" s="139">
        <f>Assumptions!$C$6*Assumptions!$C$7*(1+$G405-0.05*(1-1))^1+Assumptions!$C$6*Assumptions!$C$8*(1+Assumptions!$C$11)^1+Assumptions!$C$16*1+Assumptions!$C$6*Assumptions!$C$9*(1+Assumptions!$C$12)^1</f>
        <v>745.655428</v>
      </c>
      <c r="M405" s="139">
        <f>Assumptions!$C$6*Assumptions!$C$7*(1+$G405-0.05*(1-$H405))^2+Assumptions!$C$6*Assumptions!$C$8*(1+Assumptions!$C$11)^2+Assumptions!$C$16*$H405+Assumptions!$C$6*Assumptions!$C$9*(1+Assumptions!$C$12)^2</f>
        <v>772.5339694</v>
      </c>
      <c r="N405" s="139">
        <f>Assumptions!$C$6*Assumptions!$C$7*(1+$G405-0.05*(1-$I405))^3+Assumptions!$C$6*Assumptions!$C$8*(1+Assumptions!$C$11)^3+Assumptions!$C$16*$I405+Assumptions!$C$6*Assumptions!$C$9*(1+Assumptions!$C$12)^3</f>
        <v>800.7005594</v>
      </c>
      <c r="O405" s="139">
        <f>Assumptions!$C$6*Assumptions!$C$7*(1+$G405-0.05*(1-$J405))^4+Assumptions!$C$6*Assumptions!$C$8*(1+Assumptions!$C$11)^4+Assumptions!$C$16*$J405+Assumptions!$C$6*Assumptions!$C$9*(1+Assumptions!$C$12)^4</f>
        <v>830.2237388</v>
      </c>
      <c r="P405" s="139">
        <f>Assumptions!$C$6*Assumptions!$C$7*(1+$G405-0.05*(1-$K405))^5+Assumptions!$C$6*Assumptions!$C$8*(1+Assumptions!$C$11)^5+Assumptions!$C$16*$K405+Assumptions!$C$6*Assumptions!$C$9*(1+Assumptions!$C$12)^5</f>
        <v>705.6131382</v>
      </c>
      <c r="Q405" s="139">
        <f>($L405*(1-(Assumptions!$C$25+0.06*(1-1))-Assumptions!$C$27)-Assumptions!$C$28)-MAX(0,($L405*(1-(Assumptions!$C$25+0.06*(1-1))-Assumptions!$C$27)-Assumptions!$C$28)*Assumptions!$C$31)+Assumptions!$C$28-Assumptions!$C$29-$L405*Assumptions!$C$30</f>
        <v>92.81591702</v>
      </c>
      <c r="R405" s="139">
        <f>($M405*(1-(Assumptions!$C$25+0.06*(1-$H405))-Assumptions!$C$27)-Assumptions!$C$28)-MAX(0,($M405*(1-(Assumptions!$C$25+0.06*(1-$H405))-Assumptions!$C$27)-Assumptions!$C$28)*Assumptions!$C$31)+Assumptions!$C$28-Assumptions!$C$29-$M405*Assumptions!$C$30</f>
        <v>98.59480342</v>
      </c>
      <c r="S405" s="139">
        <f>($N405*(1-(Assumptions!$C$25+0.06*(1-$I405))-Assumptions!$C$27)-Assumptions!$C$28)-MAX(0,($N405*(1-(Assumptions!$C$25+0.06*(1-$I405))-Assumptions!$C$27)-Assumptions!$C$28)*Assumptions!$C$31)+Assumptions!$C$28-Assumptions!$C$29-$N405*Assumptions!$C$30</f>
        <v>104.6506203</v>
      </c>
      <c r="T405" s="139">
        <f>($O405*(1-(Assumptions!$C$25+0.06*(1-$J405))-Assumptions!$C$27)-Assumptions!$C$28)-MAX(0,($O405*(1-(Assumptions!$C$25+0.06*(1-$J405))-Assumptions!$C$27)-Assumptions!$C$28)*Assumptions!$C$31)+Assumptions!$C$28-Assumptions!$C$29-$O405*Assumptions!$C$30</f>
        <v>110.9981038</v>
      </c>
      <c r="U405" s="139">
        <f>($P405*(1-(Assumptions!$C$25+0.06*(1-$K405))-Assumptions!$C$27)-Assumptions!$C$28)-MAX(0,($P405*(1-(Assumptions!$C$25+0.06*(1-$K405))-Assumptions!$C$27)-Assumptions!$C$28)*Assumptions!$C$31)+Assumptions!$C$28-Assumptions!$C$29-$P405*Assumptions!$C$30</f>
        <v>42.29102178</v>
      </c>
      <c r="V405" s="143">
        <f>(($Q405/(1+$D405)^1+$R405/(1+$D405)^2+$S405/(1+$D405)^3+$T405/(1+$D405)^4+$U405/(1+$D405)^5+$U405*(1+$E405)/($D405-$E405)/(1+$D405)^5)-Assumptions!$C$37)/Assumptions!$C$40/Assumptions!$C$38</f>
        <v>0.4546585649</v>
      </c>
    </row>
    <row r="406" ht="12.0" customHeight="1">
      <c r="B406" s="139">
        <v>354.0</v>
      </c>
      <c r="C406" s="140">
        <f t="shared" si="6"/>
        <v>0.5374066275</v>
      </c>
      <c r="D406" s="141">
        <f t="shared" si="7"/>
        <v>0.0988905344</v>
      </c>
      <c r="E406" s="141">
        <f t="shared" si="8"/>
        <v>0.01751152513</v>
      </c>
      <c r="F406" s="140">
        <f t="shared" si="9"/>
        <v>0.2082601381</v>
      </c>
      <c r="G406" s="141">
        <f t="shared" si="10"/>
        <v>0.04936151462</v>
      </c>
      <c r="H406" s="142">
        <f t="shared" si="11"/>
        <v>1</v>
      </c>
      <c r="I406" s="142">
        <f t="shared" si="12"/>
        <v>1</v>
      </c>
      <c r="J406" s="142">
        <f t="shared" si="13"/>
        <v>0</v>
      </c>
      <c r="K406" s="142">
        <f t="shared" si="14"/>
        <v>0</v>
      </c>
      <c r="L406" s="139">
        <f>Assumptions!$C$6*Assumptions!$C$7*(1+$G406-0.05*(1-1))^1+Assumptions!$C$6*Assumptions!$C$8*(1+Assumptions!$C$11)^1+Assumptions!$C$16*1+Assumptions!$C$6*Assumptions!$C$9*(1+Assumptions!$C$12)^1</f>
        <v>743.0830858</v>
      </c>
      <c r="M406" s="139">
        <f>Assumptions!$C$6*Assumptions!$C$7*(1+$G406-0.05*(1-$H406))^2+Assumptions!$C$6*Assumptions!$C$8*(1+Assumptions!$C$11)^2+Assumptions!$C$16*$H406+Assumptions!$C$6*Assumptions!$C$9*(1+Assumptions!$C$12)^2</f>
        <v>767.1156774</v>
      </c>
      <c r="N406" s="139">
        <f>Assumptions!$C$6*Assumptions!$C$7*(1+$G406-0.05*(1-$I406))^3+Assumptions!$C$6*Assumptions!$C$8*(1+Assumptions!$C$11)^3+Assumptions!$C$16*$I406+Assumptions!$C$6*Assumptions!$C$9*(1+Assumptions!$C$12)^3</f>
        <v>792.1408457</v>
      </c>
      <c r="O406" s="139">
        <f>Assumptions!$C$6*Assumptions!$C$7*(1+$G406-0.05*(1-$J406))^4+Assumptions!$C$6*Assumptions!$C$8*(1+Assumptions!$C$11)^4+Assumptions!$C$16*$J406+Assumptions!$C$6*Assumptions!$C$9*(1+Assumptions!$C$12)^4</f>
        <v>685.7997268</v>
      </c>
      <c r="P406" s="139">
        <f>Assumptions!$C$6*Assumptions!$C$7*(1+$G406-0.05*(1-$K406))^5+Assumptions!$C$6*Assumptions!$C$8*(1+Assumptions!$C$11)^5+Assumptions!$C$16*$K406+Assumptions!$C$6*Assumptions!$C$9*(1+Assumptions!$C$12)^5</f>
        <v>692.5865322</v>
      </c>
      <c r="Q406" s="139">
        <f>($L406*(1-(Assumptions!$C$25+0.06*(1-1))-Assumptions!$C$27)-Assumptions!$C$28)-MAX(0,($L406*(1-(Assumptions!$C$25+0.06*(1-1))-Assumptions!$C$27)-Assumptions!$C$28)*Assumptions!$C$31)+Assumptions!$C$28-Assumptions!$C$29-$L406*Assumptions!$C$30</f>
        <v>92.26286345</v>
      </c>
      <c r="R406" s="139">
        <f>($M406*(1-(Assumptions!$C$25+0.06*(1-$H406))-Assumptions!$C$27)-Assumptions!$C$28)-MAX(0,($M406*(1-(Assumptions!$C$25+0.06*(1-$H406))-Assumptions!$C$27)-Assumptions!$C$28)*Assumptions!$C$31)+Assumptions!$C$28-Assumptions!$C$29-$M406*Assumptions!$C$30</f>
        <v>97.42987065</v>
      </c>
      <c r="S406" s="139">
        <f>($N406*(1-(Assumptions!$C$25+0.06*(1-$I406))-Assumptions!$C$27)-Assumptions!$C$28)-MAX(0,($N406*(1-(Assumptions!$C$25+0.06*(1-$I406))-Assumptions!$C$27)-Assumptions!$C$28)*Assumptions!$C$31)+Assumptions!$C$28-Assumptions!$C$29-$N406*Assumptions!$C$30</f>
        <v>102.8102818</v>
      </c>
      <c r="T406" s="139">
        <f>($O406*(1-(Assumptions!$C$25+0.06*(1-$J406))-Assumptions!$C$27)-Assumptions!$C$28)-MAX(0,($O406*(1-(Assumptions!$C$25+0.06*(1-$J406))-Assumptions!$C$27)-Assumptions!$C$28)*Assumptions!$C$31)+Assumptions!$C$28-Assumptions!$C$29-$O406*Assumptions!$C$30</f>
        <v>37.73393716</v>
      </c>
      <c r="U406" s="139">
        <f>($P406*(1-(Assumptions!$C$25+0.06*(1-$K406))-Assumptions!$C$27)-Assumptions!$C$28)-MAX(0,($P406*(1-(Assumptions!$C$25+0.06*(1-$K406))-Assumptions!$C$27)-Assumptions!$C$28)*Assumptions!$C$31)+Assumptions!$C$28-Assumptions!$C$29-$P406*Assumptions!$C$30</f>
        <v>39.2949024</v>
      </c>
      <c r="V406" s="143">
        <f>(($Q406/(1+$D406)^1+$R406/(1+$D406)^2+$S406/(1+$D406)^3+$T406/(1+$D406)^4+$U406/(1+$D406)^5+$U406*(1+$E406)/($D406-$E406)/(1+$D406)^5)-Assumptions!$C$37)/Assumptions!$C$40/Assumptions!$C$38</f>
        <v>-0.7223887056</v>
      </c>
    </row>
    <row r="407" ht="12.0" customHeight="1">
      <c r="B407" s="139">
        <v>355.0</v>
      </c>
      <c r="C407" s="140">
        <f t="shared" si="6"/>
        <v>0.09231888795</v>
      </c>
      <c r="D407" s="141">
        <f t="shared" si="7"/>
        <v>0.090594292</v>
      </c>
      <c r="E407" s="141">
        <f t="shared" si="8"/>
        <v>0.01599613631</v>
      </c>
      <c r="F407" s="140">
        <f t="shared" si="9"/>
        <v>0.6316632804</v>
      </c>
      <c r="G407" s="141">
        <f t="shared" si="10"/>
        <v>0.06425109526</v>
      </c>
      <c r="H407" s="142">
        <f t="shared" si="11"/>
        <v>1</v>
      </c>
      <c r="I407" s="142">
        <f t="shared" si="12"/>
        <v>0</v>
      </c>
      <c r="J407" s="142">
        <f t="shared" si="13"/>
        <v>0</v>
      </c>
      <c r="K407" s="142">
        <f t="shared" si="14"/>
        <v>1</v>
      </c>
      <c r="L407" s="139">
        <f>Assumptions!$C$6*Assumptions!$C$7*(1+$G407-0.05*(1-1))^1+Assumptions!$C$6*Assumptions!$C$8*(1+Assumptions!$C$11)^1+Assumptions!$C$16*1+Assumptions!$C$6*Assumptions!$C$9*(1+Assumptions!$C$12)^1</f>
        <v>748.0949187</v>
      </c>
      <c r="M407" s="139">
        <f>Assumptions!$C$6*Assumptions!$C$7*(1+$G407-0.05*(1-$H407))^2+Assumptions!$C$6*Assumptions!$C$8*(1+Assumptions!$C$11)^2+Assumptions!$C$16*$H407+Assumptions!$C$6*Assumptions!$C$9*(1+Assumptions!$C$12)^2</f>
        <v>777.7087505</v>
      </c>
      <c r="N407" s="139">
        <f>Assumptions!$C$6*Assumptions!$C$7*(1+$G407-0.05*(1-$I407))^3+Assumptions!$C$6*Assumptions!$C$8*(1+Assumptions!$C$11)^3+Assumptions!$C$16*$I407+Assumptions!$C$6*Assumptions!$C$9*(1+Assumptions!$C$12)^3</f>
        <v>694.3914815</v>
      </c>
      <c r="O407" s="139">
        <f>Assumptions!$C$6*Assumptions!$C$7*(1+$G407-0.05*(1-$J407))^4+Assumptions!$C$6*Assumptions!$C$8*(1+Assumptions!$C$11)^4+Assumptions!$C$16*$J407+Assumptions!$C$6*Assumptions!$C$9*(1+Assumptions!$C$12)^4</f>
        <v>706.2603141</v>
      </c>
      <c r="P407" s="139">
        <f>Assumptions!$C$6*Assumptions!$C$7*(1+$G407-0.05*(1-$K407))^5+Assumptions!$C$6*Assumptions!$C$8*(1+Assumptions!$C$11)^5+Assumptions!$C$16*$K407+Assumptions!$C$6*Assumptions!$C$9*(1+Assumptions!$C$12)^5</f>
        <v>876.6117107</v>
      </c>
      <c r="Q407" s="139">
        <f>($L407*(1-(Assumptions!$C$25+0.06*(1-1))-Assumptions!$C$27)-Assumptions!$C$28)-MAX(0,($L407*(1-(Assumptions!$C$25+0.06*(1-1))-Assumptions!$C$27)-Assumptions!$C$28)*Assumptions!$C$31)+Assumptions!$C$28-Assumptions!$C$29-$L407*Assumptions!$C$30</f>
        <v>93.34040751</v>
      </c>
      <c r="R407" s="139">
        <f>($M407*(1-(Assumptions!$C$25+0.06*(1-$H407))-Assumptions!$C$27)-Assumptions!$C$28)-MAX(0,($M407*(1-(Assumptions!$C$25+0.06*(1-$H407))-Assumptions!$C$27)-Assumptions!$C$28)*Assumptions!$C$31)+Assumptions!$C$28-Assumptions!$C$29-$M407*Assumptions!$C$30</f>
        <v>99.70738137</v>
      </c>
      <c r="S407" s="139">
        <f>($N407*(1-(Assumptions!$C$25+0.06*(1-$I407))-Assumptions!$C$27)-Assumptions!$C$28)-MAX(0,($N407*(1-(Assumptions!$C$25+0.06*(1-$I407))-Assumptions!$C$27)-Assumptions!$C$28)*Assumptions!$C$31)+Assumptions!$C$28-Assumptions!$C$29-$N407*Assumptions!$C$30</f>
        <v>39.71004073</v>
      </c>
      <c r="T407" s="139">
        <f>($O407*(1-(Assumptions!$C$25+0.06*(1-$J407))-Assumptions!$C$27)-Assumptions!$C$28)-MAX(0,($O407*(1-(Assumptions!$C$25+0.06*(1-$J407))-Assumptions!$C$27)-Assumptions!$C$28)*Assumptions!$C$31)+Assumptions!$C$28-Assumptions!$C$29-$O407*Assumptions!$C$30</f>
        <v>42.43987223</v>
      </c>
      <c r="U407" s="139">
        <f>($P407*(1-(Assumptions!$C$25+0.06*(1-$K407))-Assumptions!$C$27)-Assumptions!$C$28)-MAX(0,($P407*(1-(Assumptions!$C$25+0.06*(1-$K407))-Assumptions!$C$27)-Assumptions!$C$28)*Assumptions!$C$31)+Assumptions!$C$28-Assumptions!$C$29-$P407*Assumptions!$C$30</f>
        <v>120.9715178</v>
      </c>
      <c r="V407" s="143">
        <f>(($Q407/(1+$D407)^1+$R407/(1+$D407)^2+$S407/(1+$D407)^3+$T407/(1+$D407)^4+$U407/(1+$D407)^5+$U407*(1+$E407)/($D407-$E407)/(1+$D407)^5)-Assumptions!$C$37)/Assumptions!$C$40/Assumptions!$C$38</f>
        <v>5.342910439</v>
      </c>
    </row>
    <row r="408" ht="12.0" customHeight="1">
      <c r="B408" s="139">
        <v>356.0</v>
      </c>
      <c r="C408" s="140">
        <f t="shared" si="6"/>
        <v>0.03455076114</v>
      </c>
      <c r="D408" s="141">
        <f t="shared" si="7"/>
        <v>0.08842238338</v>
      </c>
      <c r="E408" s="141">
        <f t="shared" si="8"/>
        <v>0.0110949047</v>
      </c>
      <c r="F408" s="140">
        <f t="shared" si="9"/>
        <v>0.7369514352</v>
      </c>
      <c r="G408" s="141">
        <f t="shared" si="10"/>
        <v>0.06824023399</v>
      </c>
      <c r="H408" s="142">
        <f t="shared" si="11"/>
        <v>1</v>
      </c>
      <c r="I408" s="142">
        <f t="shared" si="12"/>
        <v>1</v>
      </c>
      <c r="J408" s="142">
        <f t="shared" si="13"/>
        <v>1</v>
      </c>
      <c r="K408" s="142">
        <f t="shared" si="14"/>
        <v>1</v>
      </c>
      <c r="L408" s="139">
        <f>Assumptions!$C$6*Assumptions!$C$7*(1+$G408-0.05*(1-1))^1+Assumptions!$C$6*Assumptions!$C$8*(1+Assumptions!$C$11)^1+Assumptions!$C$16*1+Assumptions!$C$6*Assumptions!$C$9*(1+Assumptions!$C$12)^1</f>
        <v>749.4376628</v>
      </c>
      <c r="M408" s="139">
        <f>Assumptions!$C$6*Assumptions!$C$7*(1+$G408-0.05*(1-$H408))^2+Assumptions!$C$6*Assumptions!$C$8*(1+Assumptions!$C$11)^2+Assumptions!$C$16*$H408+Assumptions!$C$6*Assumptions!$C$9*(1+Assumptions!$C$12)^2</f>
        <v>780.5721407</v>
      </c>
      <c r="N408" s="139">
        <f>Assumptions!$C$6*Assumptions!$C$7*(1+$G408-0.05*(1-$I408))^3+Assumptions!$C$6*Assumptions!$C$8*(1+Assumptions!$C$11)^3+Assumptions!$C$16*$I408+Assumptions!$C$6*Assumptions!$C$9*(1+Assumptions!$C$12)^3</f>
        <v>813.5129845</v>
      </c>
      <c r="O408" s="139">
        <f>Assumptions!$C$6*Assumptions!$C$7*(1+$G408-0.05*(1-$J408))^4+Assumptions!$C$6*Assumptions!$C$8*(1+Assumptions!$C$11)^4+Assumptions!$C$16*$J408+Assumptions!$C$6*Assumptions!$C$9*(1+Assumptions!$C$12)^4</f>
        <v>848.3770958</v>
      </c>
      <c r="P408" s="139">
        <f>Assumptions!$C$6*Assumptions!$C$7*(1+$G408-0.05*(1-$K408))^5+Assumptions!$C$6*Assumptions!$C$8*(1+Assumptions!$C$11)^5+Assumptions!$C$16*$K408+Assumptions!$C$6*Assumptions!$C$9*(1+Assumptions!$C$12)^5</f>
        <v>885.2892264</v>
      </c>
      <c r="Q408" s="139">
        <f>($L408*(1-(Assumptions!$C$25+0.06*(1-1))-Assumptions!$C$27)-Assumptions!$C$28)-MAX(0,($L408*(1-(Assumptions!$C$25+0.06*(1-1))-Assumptions!$C$27)-Assumptions!$C$28)*Assumptions!$C$31)+Assumptions!$C$28-Assumptions!$C$29-$L408*Assumptions!$C$30</f>
        <v>93.62909749</v>
      </c>
      <c r="R408" s="139">
        <f>($M408*(1-(Assumptions!$C$25+0.06*(1-$H408))-Assumptions!$C$27)-Assumptions!$C$28)-MAX(0,($M408*(1-(Assumptions!$C$25+0.06*(1-$H408))-Assumptions!$C$27)-Assumptions!$C$28)*Assumptions!$C$31)+Assumptions!$C$28-Assumptions!$C$29-$M408*Assumptions!$C$30</f>
        <v>100.3230102</v>
      </c>
      <c r="S408" s="139">
        <f>($N408*(1-(Assumptions!$C$25+0.06*(1-$I408))-Assumptions!$C$27)-Assumptions!$C$28)-MAX(0,($N408*(1-(Assumptions!$C$25+0.06*(1-$I408))-Assumptions!$C$27)-Assumptions!$C$28)*Assumptions!$C$31)+Assumptions!$C$28-Assumptions!$C$29-$N408*Assumptions!$C$30</f>
        <v>107.4052917</v>
      </c>
      <c r="T408" s="139">
        <f>($O408*(1-(Assumptions!$C$25+0.06*(1-$J408))-Assumptions!$C$27)-Assumptions!$C$28)-MAX(0,($O408*(1-(Assumptions!$C$25+0.06*(1-$J408))-Assumptions!$C$27)-Assumptions!$C$28)*Assumptions!$C$31)+Assumptions!$C$28-Assumptions!$C$29-$O408*Assumptions!$C$30</f>
        <v>114.9010756</v>
      </c>
      <c r="U408" s="139">
        <f>($P408*(1-(Assumptions!$C$25+0.06*(1-$K408))-Assumptions!$C$27)-Assumptions!$C$28)-MAX(0,($P408*(1-(Assumptions!$C$25+0.06*(1-$K408))-Assumptions!$C$27)-Assumptions!$C$28)*Assumptions!$C$31)+Assumptions!$C$28-Assumptions!$C$29-$P408*Assumptions!$C$30</f>
        <v>122.8371837</v>
      </c>
      <c r="V408" s="143">
        <f>(($Q408/(1+$D408)^1+$R408/(1+$D408)^2+$S408/(1+$D408)^3+$T408/(1+$D408)^4+$U408/(1+$D408)^5+$U408*(1+$E408)/($D408-$E408)/(1+$D408)^5)-Assumptions!$C$37)/Assumptions!$C$40/Assumptions!$C$38</f>
        <v>6.056439274</v>
      </c>
    </row>
    <row r="409" ht="12.0" customHeight="1">
      <c r="B409" s="139">
        <v>357.0</v>
      </c>
      <c r="C409" s="140">
        <f t="shared" si="6"/>
        <v>0.9106005231</v>
      </c>
      <c r="D409" s="141">
        <f t="shared" si="7"/>
        <v>0.1079181142</v>
      </c>
      <c r="E409" s="141">
        <f t="shared" si="8"/>
        <v>0.02718613428</v>
      </c>
      <c r="F409" s="140">
        <f t="shared" si="9"/>
        <v>0.8642495107</v>
      </c>
      <c r="G409" s="141">
        <f t="shared" si="10"/>
        <v>0.07436827327</v>
      </c>
      <c r="H409" s="142">
        <f t="shared" si="11"/>
        <v>1</v>
      </c>
      <c r="I409" s="142">
        <f t="shared" si="12"/>
        <v>0</v>
      </c>
      <c r="J409" s="142">
        <f t="shared" si="13"/>
        <v>1</v>
      </c>
      <c r="K409" s="142">
        <f t="shared" si="14"/>
        <v>0</v>
      </c>
      <c r="L409" s="139">
        <f>Assumptions!$C$6*Assumptions!$C$7*(1+$G409-0.05*(1-1))^1+Assumptions!$C$6*Assumptions!$C$8*(1+Assumptions!$C$11)^1+Assumptions!$C$16*1+Assumptions!$C$6*Assumptions!$C$9*(1+Assumptions!$C$12)^1</f>
        <v>751.5003608</v>
      </c>
      <c r="M409" s="139">
        <f>Assumptions!$C$6*Assumptions!$C$7*(1+$G409-0.05*(1-$H409))^2+Assumptions!$C$6*Assumptions!$C$8*(1+Assumptions!$C$11)^2+Assumptions!$C$16*$H409+Assumptions!$C$6*Assumptions!$C$9*(1+Assumptions!$C$12)^2</f>
        <v>784.991695</v>
      </c>
      <c r="N409" s="139">
        <f>Assumptions!$C$6*Assumptions!$C$7*(1+$G409-0.05*(1-$I409))^3+Assumptions!$C$6*Assumptions!$C$8*(1+Assumptions!$C$11)^3+Assumptions!$C$16*$I409+Assumptions!$C$6*Assumptions!$C$9*(1+Assumptions!$C$12)^3</f>
        <v>705.0062523</v>
      </c>
      <c r="O409" s="139">
        <f>Assumptions!$C$6*Assumptions!$C$7*(1+$G409-0.05*(1-$J409))^4+Assumptions!$C$6*Assumptions!$C$8*(1+Assumptions!$C$11)^4+Assumptions!$C$16*$J409+Assumptions!$C$6*Assumptions!$C$9*(1+Assumptions!$C$12)^4</f>
        <v>858.5217602</v>
      </c>
      <c r="P409" s="139">
        <f>Assumptions!$C$6*Assumptions!$C$7*(1+$G409-0.05*(1-$K409))^5+Assumptions!$C$6*Assumptions!$C$8*(1+Assumptions!$C$11)^5+Assumptions!$C$16*$K409+Assumptions!$C$6*Assumptions!$C$9*(1+Assumptions!$C$12)^5</f>
        <v>736.7196124</v>
      </c>
      <c r="Q409" s="139">
        <f>($L409*(1-(Assumptions!$C$25+0.06*(1-1))-Assumptions!$C$27)-Assumptions!$C$28)-MAX(0,($L409*(1-(Assumptions!$C$25+0.06*(1-1))-Assumptions!$C$27)-Assumptions!$C$28)*Assumptions!$C$31)+Assumptions!$C$28-Assumptions!$C$29-$L409*Assumptions!$C$30</f>
        <v>94.07257757</v>
      </c>
      <c r="R409" s="139">
        <f>($M409*(1-(Assumptions!$C$25+0.06*(1-$H409))-Assumptions!$C$27)-Assumptions!$C$28)-MAX(0,($M409*(1-(Assumptions!$C$25+0.06*(1-$H409))-Assumptions!$C$27)-Assumptions!$C$28)*Assumptions!$C$31)+Assumptions!$C$28-Assumptions!$C$29-$M409*Assumptions!$C$30</f>
        <v>101.2732144</v>
      </c>
      <c r="S409" s="139">
        <f>($N409*(1-(Assumptions!$C$25+0.06*(1-$I409))-Assumptions!$C$27)-Assumptions!$C$28)-MAX(0,($N409*(1-(Assumptions!$C$25+0.06*(1-$I409))-Assumptions!$C$27)-Assumptions!$C$28)*Assumptions!$C$31)+Assumptions!$C$28-Assumptions!$C$29-$N409*Assumptions!$C$30</f>
        <v>42.15143803</v>
      </c>
      <c r="T409" s="139">
        <f>($O409*(1-(Assumptions!$C$25+0.06*(1-$J409))-Assumptions!$C$27)-Assumptions!$C$28)-MAX(0,($O409*(1-(Assumptions!$C$25+0.06*(1-$J409))-Assumptions!$C$27)-Assumptions!$C$28)*Assumptions!$C$31)+Assumptions!$C$28-Assumptions!$C$29-$O409*Assumptions!$C$30</f>
        <v>117.0821784</v>
      </c>
      <c r="U409" s="139">
        <f>($P409*(1-(Assumptions!$C$25+0.06*(1-$K409))-Assumptions!$C$27)-Assumptions!$C$28)-MAX(0,($P409*(1-(Assumptions!$C$25+0.06*(1-$K409))-Assumptions!$C$27)-Assumptions!$C$28)*Assumptions!$C$31)+Assumptions!$C$28-Assumptions!$C$29-$P409*Assumptions!$C$30</f>
        <v>49.44551084</v>
      </c>
      <c r="V409" s="143">
        <f>(($Q409/(1+$D409)^1+$R409/(1+$D409)^2+$S409/(1+$D409)^3+$T409/(1+$D409)^4+$U409/(1+$D409)^5+$U409*(1+$E409)/($D409-$E409)/(1+$D409)^5)-Assumptions!$C$37)/Assumptions!$C$40/Assumptions!$C$38</f>
        <v>-0.07096400325</v>
      </c>
    </row>
    <row r="410" ht="12.0" customHeight="1">
      <c r="B410" s="139">
        <v>358.0</v>
      </c>
      <c r="C410" s="140">
        <f t="shared" si="6"/>
        <v>0.1102494584</v>
      </c>
      <c r="D410" s="141">
        <f t="shared" si="7"/>
        <v>0.09111347417</v>
      </c>
      <c r="E410" s="141">
        <f t="shared" si="8"/>
        <v>0.01654196133</v>
      </c>
      <c r="F410" s="140">
        <f t="shared" si="9"/>
        <v>0.9423020834</v>
      </c>
      <c r="G410" s="141">
        <f t="shared" si="10"/>
        <v>0.07980901134</v>
      </c>
      <c r="H410" s="142">
        <f t="shared" si="11"/>
        <v>0</v>
      </c>
      <c r="I410" s="142">
        <f t="shared" si="12"/>
        <v>1</v>
      </c>
      <c r="J410" s="142">
        <f t="shared" si="13"/>
        <v>1</v>
      </c>
      <c r="K410" s="142">
        <f t="shared" si="14"/>
        <v>1</v>
      </c>
      <c r="L410" s="139">
        <f>Assumptions!$C$6*Assumptions!$C$7*(1+$G410-0.05*(1-1))^1+Assumptions!$C$6*Assumptions!$C$8*(1+Assumptions!$C$11)^1+Assumptions!$C$16*1+Assumptions!$C$6*Assumptions!$C$9*(1+Assumptions!$C$12)^1</f>
        <v>753.3317132</v>
      </c>
      <c r="M410" s="139">
        <f>Assumptions!$C$6*Assumptions!$C$7*(1+$G410-0.05*(1-$H410))^2+Assumptions!$C$6*Assumptions!$C$8*(1+Assumptions!$C$11)^2+Assumptions!$C$16*$H410+Assumptions!$C$6*Assumptions!$C$9*(1+Assumptions!$C$12)^2</f>
        <v>693.4318815</v>
      </c>
      <c r="N410" s="139">
        <f>Assumptions!$C$6*Assumptions!$C$7*(1+$G410-0.05*(1-$I410))^3+Assumptions!$C$6*Assumptions!$C$8*(1+Assumptions!$C$11)^3+Assumptions!$C$16*$I410+Assumptions!$C$6*Assumptions!$C$9*(1+Assumptions!$C$12)^3</f>
        <v>826.9888139</v>
      </c>
      <c r="O410" s="139">
        <f>Assumptions!$C$6*Assumptions!$C$7*(1+$G410-0.05*(1-$J410))^4+Assumptions!$C$6*Assumptions!$C$8*(1+Assumptions!$C$11)^4+Assumptions!$C$16*$J410+Assumptions!$C$6*Assumptions!$C$9*(1+Assumptions!$C$12)^4</f>
        <v>867.6752991</v>
      </c>
      <c r="P410" s="139">
        <f>Assumptions!$C$6*Assumptions!$C$7*(1+$G410-0.05*(1-$K410))^5+Assumptions!$C$6*Assumptions!$C$8*(1+Assumptions!$C$11)^5+Assumptions!$C$16*$K410+Assumptions!$C$6*Assumptions!$C$9*(1+Assumptions!$C$12)^5</f>
        <v>911.1984098</v>
      </c>
      <c r="Q410" s="139">
        <f>($L410*(1-(Assumptions!$C$25+0.06*(1-1))-Assumptions!$C$27)-Assumptions!$C$28)-MAX(0,($L410*(1-(Assumptions!$C$25+0.06*(1-1))-Assumptions!$C$27)-Assumptions!$C$28)*Assumptions!$C$31)+Assumptions!$C$28-Assumptions!$C$29-$L410*Assumptions!$C$30</f>
        <v>94.46631834</v>
      </c>
      <c r="R410" s="139">
        <f>($M410*(1-(Assumptions!$C$25+0.06*(1-$H410))-Assumptions!$C$27)-Assumptions!$C$28)-MAX(0,($M410*(1-(Assumptions!$C$25+0.06*(1-$H410))-Assumptions!$C$27)-Assumptions!$C$28)*Assumptions!$C$31)+Assumptions!$C$28-Assumptions!$C$29-$M410*Assumptions!$C$30</f>
        <v>39.48933275</v>
      </c>
      <c r="S410" s="139">
        <f>($N410*(1-(Assumptions!$C$25+0.06*(1-$I410))-Assumptions!$C$27)-Assumptions!$C$28)-MAX(0,($N410*(1-(Assumptions!$C$25+0.06*(1-$I410))-Assumptions!$C$27)-Assumptions!$C$28)*Assumptions!$C$31)+Assumptions!$C$28-Assumptions!$C$29-$N410*Assumptions!$C$30</f>
        <v>110.302595</v>
      </c>
      <c r="T410" s="139">
        <f>($O410*(1-(Assumptions!$C$25+0.06*(1-$J410))-Assumptions!$C$27)-Assumptions!$C$28)-MAX(0,($O410*(1-(Assumptions!$C$25+0.06*(1-$J410))-Assumptions!$C$27)-Assumptions!$C$28)*Assumptions!$C$31)+Assumptions!$C$28-Assumptions!$C$29-$O410*Assumptions!$C$30</f>
        <v>119.0501893</v>
      </c>
      <c r="U410" s="139">
        <f>($P410*(1-(Assumptions!$C$25+0.06*(1-$K410))-Assumptions!$C$27)-Assumptions!$C$28)-MAX(0,($P410*(1-(Assumptions!$C$25+0.06*(1-$K410))-Assumptions!$C$27)-Assumptions!$C$28)*Assumptions!$C$31)+Assumptions!$C$28-Assumptions!$C$29-$P410*Assumptions!$C$30</f>
        <v>128.4076581</v>
      </c>
      <c r="V410" s="143">
        <f>(($Q410/(1+$D410)^1+$R410/(1+$D410)^2+$S410/(1+$D410)^3+$T410/(1+$D410)^4+$U410/(1+$D410)^5+$U410*(1+$E410)/($D410-$E410)/(1+$D410)^5)-Assumptions!$C$37)/Assumptions!$C$40/Assumptions!$C$38</f>
        <v>6.335640658</v>
      </c>
    </row>
    <row r="411" ht="12.0" customHeight="1">
      <c r="B411" s="139">
        <v>359.0</v>
      </c>
      <c r="C411" s="140">
        <f t="shared" si="6"/>
        <v>0.6767949583</v>
      </c>
      <c r="D411" s="141">
        <f t="shared" si="7"/>
        <v>0.1015345617</v>
      </c>
      <c r="E411" s="141">
        <f t="shared" si="8"/>
        <v>0.02777297469</v>
      </c>
      <c r="F411" s="140">
        <f t="shared" si="9"/>
        <v>0.2883709107</v>
      </c>
      <c r="G411" s="141">
        <f t="shared" si="10"/>
        <v>0.05278305597</v>
      </c>
      <c r="H411" s="142">
        <f t="shared" si="11"/>
        <v>1</v>
      </c>
      <c r="I411" s="142">
        <f t="shared" si="12"/>
        <v>1</v>
      </c>
      <c r="J411" s="142">
        <f t="shared" si="13"/>
        <v>1</v>
      </c>
      <c r="K411" s="142">
        <f t="shared" si="14"/>
        <v>0</v>
      </c>
      <c r="L411" s="139">
        <f>Assumptions!$C$6*Assumptions!$C$7*(1+$G411-0.05*(1-1))^1+Assumptions!$C$6*Assumptions!$C$8*(1+Assumptions!$C$11)^1+Assumptions!$C$16*1+Assumptions!$C$6*Assumptions!$C$9*(1+Assumptions!$C$12)^1</f>
        <v>744.2347766</v>
      </c>
      <c r="M411" s="139">
        <f>Assumptions!$C$6*Assumptions!$C$7*(1+$G411-0.05*(1-$H411))^2+Assumptions!$C$6*Assumptions!$C$8*(1+Assumptions!$C$11)^2+Assumptions!$C$16*$H411+Assumptions!$C$6*Assumptions!$C$9*(1+Assumptions!$C$12)^2</f>
        <v>769.536698</v>
      </c>
      <c r="N411" s="139">
        <f>Assumptions!$C$6*Assumptions!$C$7*(1+$G411-0.05*(1-$I411))^3+Assumptions!$C$6*Assumptions!$C$8*(1+Assumptions!$C$11)^3+Assumptions!$C$16*$I411+Assumptions!$C$6*Assumptions!$C$9*(1+Assumptions!$C$12)^3</f>
        <v>795.9578506</v>
      </c>
      <c r="O411" s="139">
        <f>Assumptions!$C$6*Assumptions!$C$7*(1+$G411-0.05*(1-$J411))^4+Assumptions!$C$6*Assumptions!$C$8*(1+Assumptions!$C$11)^4+Assumptions!$C$16*$J411+Assumptions!$C$6*Assumptions!$C$9*(1+Assumptions!$C$12)^4</f>
        <v>823.552985</v>
      </c>
      <c r="P411" s="139">
        <f>Assumptions!$C$6*Assumptions!$C$7*(1+$G411-0.05*(1-$K411))^5+Assumptions!$C$6*Assumptions!$C$8*(1+Assumptions!$C$11)^5+Assumptions!$C$16*$K411+Assumptions!$C$6*Assumptions!$C$9*(1+Assumptions!$C$12)^5</f>
        <v>698.3697586</v>
      </c>
      <c r="Q411" s="139">
        <f>($L411*(1-(Assumptions!$C$25+0.06*(1-1))-Assumptions!$C$27)-Assumptions!$C$28)-MAX(0,($L411*(1-(Assumptions!$C$25+0.06*(1-1))-Assumptions!$C$27)-Assumptions!$C$28)*Assumptions!$C$31)+Assumptions!$C$28-Assumptions!$C$29-$L411*Assumptions!$C$30</f>
        <v>92.51047698</v>
      </c>
      <c r="R411" s="139">
        <f>($M411*(1-(Assumptions!$C$25+0.06*(1-$H411))-Assumptions!$C$27)-Assumptions!$C$28)-MAX(0,($M411*(1-(Assumptions!$C$25+0.06*(1-$H411))-Assumptions!$C$27)-Assumptions!$C$28)*Assumptions!$C$31)+Assumptions!$C$28-Assumptions!$C$29-$M411*Assumptions!$C$30</f>
        <v>97.95039008</v>
      </c>
      <c r="S411" s="139">
        <f>($N411*(1-(Assumptions!$C$25+0.06*(1-$I411))-Assumptions!$C$27)-Assumptions!$C$28)-MAX(0,($N411*(1-(Assumptions!$C$25+0.06*(1-$I411))-Assumptions!$C$27)-Assumptions!$C$28)*Assumptions!$C$31)+Assumptions!$C$28-Assumptions!$C$29-$N411*Assumptions!$C$30</f>
        <v>103.6309379</v>
      </c>
      <c r="T411" s="139">
        <f>($O411*(1-(Assumptions!$C$25+0.06*(1-$J411))-Assumptions!$C$27)-Assumptions!$C$28)-MAX(0,($O411*(1-(Assumptions!$C$25+0.06*(1-$J411))-Assumptions!$C$27)-Assumptions!$C$28)*Assumptions!$C$31)+Assumptions!$C$28-Assumptions!$C$29-$O411*Assumptions!$C$30</f>
        <v>109.5638918</v>
      </c>
      <c r="U411" s="139">
        <f>($P411*(1-(Assumptions!$C$25+0.06*(1-$K411))-Assumptions!$C$27)-Assumptions!$C$28)-MAX(0,($P411*(1-(Assumptions!$C$25+0.06*(1-$K411))-Assumptions!$C$27)-Assumptions!$C$28)*Assumptions!$C$31)+Assumptions!$C$28-Assumptions!$C$29-$P411*Assumptions!$C$30</f>
        <v>40.62504448</v>
      </c>
      <c r="V411" s="143">
        <f>(($Q411/(1+$D411)^1+$R411/(1+$D411)^2+$S411/(1+$D411)^3+$T411/(1+$D411)^4+$U411/(1+$D411)^5+$U411*(1+$E411)/($D411-$E411)/(1+$D411)^5)-Assumptions!$C$37)/Assumptions!$C$40/Assumptions!$C$38</f>
        <v>-0.007442758955</v>
      </c>
    </row>
    <row r="412" ht="12.0" customHeight="1">
      <c r="B412" s="139">
        <v>360.0</v>
      </c>
      <c r="C412" s="140">
        <f t="shared" si="6"/>
        <v>0.8631362737</v>
      </c>
      <c r="D412" s="141">
        <f t="shared" si="7"/>
        <v>0.1062375488</v>
      </c>
      <c r="E412" s="141">
        <f t="shared" si="8"/>
        <v>0.02355475295</v>
      </c>
      <c r="F412" s="140">
        <f t="shared" si="9"/>
        <v>0.08138569946</v>
      </c>
      <c r="G412" s="141">
        <f t="shared" si="10"/>
        <v>0.04210348128</v>
      </c>
      <c r="H412" s="142">
        <f t="shared" si="11"/>
        <v>0</v>
      </c>
      <c r="I412" s="142">
        <f t="shared" si="12"/>
        <v>0</v>
      </c>
      <c r="J412" s="142">
        <f t="shared" si="13"/>
        <v>0</v>
      </c>
      <c r="K412" s="142">
        <f t="shared" si="14"/>
        <v>0</v>
      </c>
      <c r="L412" s="139">
        <f>Assumptions!$C$6*Assumptions!$C$7*(1+$G412-0.05*(1-1))^1+Assumptions!$C$6*Assumptions!$C$8*(1+Assumptions!$C$11)^1+Assumptions!$C$16*1+Assumptions!$C$6*Assumptions!$C$9*(1+Assumptions!$C$12)^1</f>
        <v>740.6400318</v>
      </c>
      <c r="M412" s="139">
        <f>Assumptions!$C$6*Assumptions!$C$7*(1+$G412-0.05*(1-$H412))^2+Assumptions!$C$6*Assumptions!$C$8*(1+Assumptions!$C$11)^2+Assumptions!$C$16*$H412+Assumptions!$C$6*Assumptions!$C$9*(1+Assumptions!$C$12)^2</f>
        <v>667.7704123</v>
      </c>
      <c r="N412" s="139">
        <f>Assumptions!$C$6*Assumptions!$C$7*(1+$G412-0.05*(1-$I412))^3+Assumptions!$C$6*Assumptions!$C$8*(1+Assumptions!$C$11)^3+Assumptions!$C$16*$I412+Assumptions!$C$6*Assumptions!$C$9*(1+Assumptions!$C$12)^3</f>
        <v>671.8835629</v>
      </c>
      <c r="O412" s="139">
        <f>Assumptions!$C$6*Assumptions!$C$7*(1+$G412-0.05*(1-$J412))^4+Assumptions!$C$6*Assumptions!$C$8*(1+Assumptions!$C$11)^4+Assumptions!$C$16*$J412+Assumptions!$C$6*Assumptions!$C$9*(1+Assumptions!$C$12)^4</f>
        <v>676.1519583</v>
      </c>
      <c r="P412" s="139">
        <f>Assumptions!$C$6*Assumptions!$C$7*(1+$G412-0.05*(1-$K412))^5+Assumptions!$C$6*Assumptions!$C$8*(1+Assumptions!$C$11)^5+Assumptions!$C$16*$K412+Assumptions!$C$6*Assumptions!$C$9*(1+Assumptions!$C$12)^5</f>
        <v>680.5781269</v>
      </c>
      <c r="Q412" s="139">
        <f>($L412*(1-(Assumptions!$C$25+0.06*(1-1))-Assumptions!$C$27)-Assumptions!$C$28)-MAX(0,($L412*(1-(Assumptions!$C$25+0.06*(1-1))-Assumptions!$C$27)-Assumptions!$C$28)*Assumptions!$C$31)+Assumptions!$C$28-Assumptions!$C$29-$L412*Assumptions!$C$30</f>
        <v>91.73760684</v>
      </c>
      <c r="R412" s="139">
        <f>($M412*(1-(Assumptions!$C$25+0.06*(1-$H412))-Assumptions!$C$27)-Assumptions!$C$28)-MAX(0,($M412*(1-(Assumptions!$C$25+0.06*(1-$H412))-Assumptions!$C$27)-Assumptions!$C$28)*Assumptions!$C$31)+Assumptions!$C$28-Assumptions!$C$29-$M412*Assumptions!$C$30</f>
        <v>33.58719483</v>
      </c>
      <c r="S412" s="139">
        <f>($N412*(1-(Assumptions!$C$25+0.06*(1-$I412))-Assumptions!$C$27)-Assumptions!$C$28)-MAX(0,($N412*(1-(Assumptions!$C$25+0.06*(1-$I412))-Assumptions!$C$27)-Assumptions!$C$28)*Assumptions!$C$31)+Assumptions!$C$28-Assumptions!$C$29-$N412*Assumptions!$C$30</f>
        <v>34.53321948</v>
      </c>
      <c r="T412" s="139">
        <f>($O412*(1-(Assumptions!$C$25+0.06*(1-$J412))-Assumptions!$C$27)-Assumptions!$C$28)-MAX(0,($O412*(1-(Assumptions!$C$25+0.06*(1-$J412))-Assumptions!$C$27)-Assumptions!$C$28)*Assumptions!$C$31)+Assumptions!$C$28-Assumptions!$C$29-$O412*Assumptions!$C$30</f>
        <v>35.5149504</v>
      </c>
      <c r="U412" s="139">
        <f>($P412*(1-(Assumptions!$C$25+0.06*(1-$K412))-Assumptions!$C$27)-Assumptions!$C$28)-MAX(0,($P412*(1-(Assumptions!$C$25+0.06*(1-$K412))-Assumptions!$C$27)-Assumptions!$C$28)*Assumptions!$C$31)+Assumptions!$C$28-Assumptions!$C$29-$P412*Assumptions!$C$30</f>
        <v>36.53296918</v>
      </c>
      <c r="V412" s="143">
        <f>(($Q412/(1+$D412)^1+$R412/(1+$D412)^2+$S412/(1+$D412)^3+$T412/(1+$D412)^4+$U412/(1+$D412)^5+$U412*(1+$E412)/($D412-$E412)/(1+$D412)^5)-Assumptions!$C$37)/Assumptions!$C$40/Assumptions!$C$38</f>
        <v>-1.850055491</v>
      </c>
    </row>
    <row r="413" ht="12.0" customHeight="1">
      <c r="B413" s="139">
        <v>361.0</v>
      </c>
      <c r="C413" s="140">
        <f t="shared" si="6"/>
        <v>0.879210705</v>
      </c>
      <c r="D413" s="141">
        <f t="shared" si="7"/>
        <v>0.106768184</v>
      </c>
      <c r="E413" s="141">
        <f t="shared" si="8"/>
        <v>0.0239060763</v>
      </c>
      <c r="F413" s="140">
        <f t="shared" si="9"/>
        <v>0.4856408908</v>
      </c>
      <c r="G413" s="141">
        <f t="shared" si="10"/>
        <v>0.05956608874</v>
      </c>
      <c r="H413" s="142">
        <f t="shared" si="11"/>
        <v>0</v>
      </c>
      <c r="I413" s="142">
        <f t="shared" si="12"/>
        <v>1</v>
      </c>
      <c r="J413" s="142">
        <f t="shared" si="13"/>
        <v>1</v>
      </c>
      <c r="K413" s="142">
        <f t="shared" si="14"/>
        <v>1</v>
      </c>
      <c r="L413" s="139">
        <f>Assumptions!$C$6*Assumptions!$C$7*(1+$G413-0.05*(1-1))^1+Assumptions!$C$6*Assumptions!$C$8*(1+Assumptions!$C$11)^1+Assumptions!$C$16*1+Assumptions!$C$6*Assumptions!$C$9*(1+Assumptions!$C$12)^1</f>
        <v>746.5179455</v>
      </c>
      <c r="M413" s="139">
        <f>Assumptions!$C$6*Assumptions!$C$7*(1+$G413-0.05*(1-$H413))^2+Assumptions!$C$6*Assumptions!$C$8*(1+Assumptions!$C$11)^2+Assumptions!$C$16*$H413+Assumptions!$C$6*Assumptions!$C$9*(1+Assumptions!$C$12)^2</f>
        <v>679.5360532</v>
      </c>
      <c r="N413" s="139">
        <f>Assumptions!$C$6*Assumptions!$C$7*(1+$G413-0.05*(1-$I413))^3+Assumptions!$C$6*Assumptions!$C$8*(1+Assumptions!$C$11)^3+Assumptions!$C$16*$I413+Assumptions!$C$6*Assumptions!$C$9*(1+Assumptions!$C$12)^3</f>
        <v>803.5985337</v>
      </c>
      <c r="O413" s="139">
        <f>Assumptions!$C$6*Assumptions!$C$7*(1+$G413-0.05*(1-$J413))^4+Assumptions!$C$6*Assumptions!$C$8*(1+Assumptions!$C$11)^4+Assumptions!$C$16*$J413+Assumptions!$C$6*Assumptions!$C$9*(1+Assumptions!$C$12)^4</f>
        <v>834.3129193</v>
      </c>
      <c r="P413" s="139">
        <f>Assumptions!$C$6*Assumptions!$C$7*(1+$G413-0.05*(1-$K413))^5+Assumptions!$C$6*Assumptions!$C$8*(1+Assumptions!$C$11)^5+Assumptions!$C$16*$K413+Assumptions!$C$6*Assumptions!$C$9*(1+Assumptions!$C$12)^5</f>
        <v>866.5852633</v>
      </c>
      <c r="Q413" s="139">
        <f>($L413*(1-(Assumptions!$C$25+0.06*(1-1))-Assumptions!$C$27)-Assumptions!$C$28)-MAX(0,($L413*(1-(Assumptions!$C$25+0.06*(1-1))-Assumptions!$C$27)-Assumptions!$C$28)*Assumptions!$C$31)+Assumptions!$C$28-Assumptions!$C$29-$L413*Assumptions!$C$30</f>
        <v>93.00135828</v>
      </c>
      <c r="R413" s="139">
        <f>($M413*(1-(Assumptions!$C$25+0.06*(1-$H413))-Assumptions!$C$27)-Assumptions!$C$28)-MAX(0,($M413*(1-(Assumptions!$C$25+0.06*(1-$H413))-Assumptions!$C$27)-Assumptions!$C$28)*Assumptions!$C$31)+Assumptions!$C$28-Assumptions!$C$29-$M413*Assumptions!$C$30</f>
        <v>36.29329224</v>
      </c>
      <c r="S413" s="139">
        <f>($N413*(1-(Assumptions!$C$25+0.06*(1-$I413))-Assumptions!$C$27)-Assumptions!$C$28)-MAX(0,($N413*(1-(Assumptions!$C$25+0.06*(1-$I413))-Assumptions!$C$27)-Assumptions!$C$28)*Assumptions!$C$31)+Assumptions!$C$28-Assumptions!$C$29-$N413*Assumptions!$C$30</f>
        <v>105.2736847</v>
      </c>
      <c r="T413" s="139">
        <f>($O413*(1-(Assumptions!$C$25+0.06*(1-$J413))-Assumptions!$C$27)-Assumptions!$C$28)-MAX(0,($O413*(1-(Assumptions!$C$25+0.06*(1-$J413))-Assumptions!$C$27)-Assumptions!$C$28)*Assumptions!$C$31)+Assumptions!$C$28-Assumptions!$C$29-$O413*Assumptions!$C$30</f>
        <v>111.8772776</v>
      </c>
      <c r="U413" s="139">
        <f>($P413*(1-(Assumptions!$C$25+0.06*(1-$K413))-Assumptions!$C$27)-Assumptions!$C$28)-MAX(0,($P413*(1-(Assumptions!$C$25+0.06*(1-$K413))-Assumptions!$C$27)-Assumptions!$C$28)*Assumptions!$C$31)+Assumptions!$C$28-Assumptions!$C$29-$P413*Assumptions!$C$30</f>
        <v>118.8158316</v>
      </c>
      <c r="V413" s="143">
        <f>(($Q413/(1+$D413)^1+$R413/(1+$D413)^2+$S413/(1+$D413)^3+$T413/(1+$D413)^4+$U413/(1+$D413)^5+$U413*(1+$E413)/($D413-$E413)/(1+$D413)^5)-Assumptions!$C$37)/Assumptions!$C$40/Assumptions!$C$38</f>
        <v>4.134584547</v>
      </c>
    </row>
    <row r="414" ht="12.0" customHeight="1">
      <c r="B414" s="139">
        <v>362.0</v>
      </c>
      <c r="C414" s="140">
        <f t="shared" si="6"/>
        <v>0.1714804583</v>
      </c>
      <c r="D414" s="141">
        <f t="shared" si="7"/>
        <v>0.09262442623</v>
      </c>
      <c r="E414" s="141">
        <f t="shared" si="8"/>
        <v>0.0107325029</v>
      </c>
      <c r="F414" s="140">
        <f t="shared" si="9"/>
        <v>0.5013871021</v>
      </c>
      <c r="G414" s="141">
        <f t="shared" si="10"/>
        <v>0.06004164196</v>
      </c>
      <c r="H414" s="142">
        <f t="shared" si="11"/>
        <v>1</v>
      </c>
      <c r="I414" s="142">
        <f t="shared" si="12"/>
        <v>1</v>
      </c>
      <c r="J414" s="142">
        <f t="shared" si="13"/>
        <v>0</v>
      </c>
      <c r="K414" s="142">
        <f t="shared" si="14"/>
        <v>0</v>
      </c>
      <c r="L414" s="139">
        <f>Assumptions!$C$6*Assumptions!$C$7*(1+$G414-0.05*(1-1))^1+Assumptions!$C$6*Assumptions!$C$8*(1+Assumptions!$C$11)^1+Assumptions!$C$16*1+Assumptions!$C$6*Assumptions!$C$9*(1+Assumptions!$C$12)^1</f>
        <v>746.6780167</v>
      </c>
      <c r="M414" s="139">
        <f>Assumptions!$C$6*Assumptions!$C$7*(1+$G414-0.05*(1-$H414))^2+Assumptions!$C$6*Assumptions!$C$8*(1+Assumptions!$C$11)^2+Assumptions!$C$16*$H414+Assumptions!$C$6*Assumptions!$C$9*(1+Assumptions!$C$12)^2</f>
        <v>774.698836</v>
      </c>
      <c r="N414" s="139">
        <f>Assumptions!$C$6*Assumptions!$C$7*(1+$G414-0.05*(1-$I414))^3+Assumptions!$C$6*Assumptions!$C$8*(1+Assumptions!$C$11)^3+Assumptions!$C$16*$I414+Assumptions!$C$6*Assumptions!$C$9*(1+Assumptions!$C$12)^3</f>
        <v>804.1379021</v>
      </c>
      <c r="O414" s="139">
        <f>Assumptions!$C$6*Assumptions!$C$7*(1+$G414-0.05*(1-$J414))^4+Assumptions!$C$6*Assumptions!$C$8*(1+Assumptions!$C$11)^4+Assumptions!$C$16*$J414+Assumptions!$C$6*Assumptions!$C$9*(1+Assumptions!$C$12)^4</f>
        <v>700.3836395</v>
      </c>
      <c r="P414" s="139">
        <f>Assumptions!$C$6*Assumptions!$C$7*(1+$G414-0.05*(1-$K414))^5+Assumptions!$C$6*Assumptions!$C$8*(1+Assumptions!$C$11)^5+Assumptions!$C$16*$K414+Assumptions!$C$6*Assumptions!$C$9*(1+Assumptions!$C$12)^5</f>
        <v>710.9026497</v>
      </c>
      <c r="Q414" s="139">
        <f>($L414*(1-(Assumptions!$C$25+0.06*(1-1))-Assumptions!$C$27)-Assumptions!$C$28)-MAX(0,($L414*(1-(Assumptions!$C$25+0.06*(1-1))-Assumptions!$C$27)-Assumptions!$C$28)*Assumptions!$C$31)+Assumptions!$C$28-Assumptions!$C$29-$L414*Assumptions!$C$30</f>
        <v>93.03577359</v>
      </c>
      <c r="R414" s="139">
        <f>($M414*(1-(Assumptions!$C$25+0.06*(1-$H414))-Assumptions!$C$27)-Assumptions!$C$28)-MAX(0,($M414*(1-(Assumptions!$C$25+0.06*(1-$H414))-Assumptions!$C$27)-Assumptions!$C$28)*Assumptions!$C$31)+Assumptions!$C$28-Assumptions!$C$29-$M414*Assumptions!$C$30</f>
        <v>99.06024973</v>
      </c>
      <c r="S414" s="139">
        <f>($N414*(1-(Assumptions!$C$25+0.06*(1-$I414))-Assumptions!$C$27)-Assumptions!$C$28)-MAX(0,($N414*(1-(Assumptions!$C$25+0.06*(1-$I414))-Assumptions!$C$27)-Assumptions!$C$28)*Assumptions!$C$31)+Assumptions!$C$28-Assumptions!$C$29-$N414*Assumptions!$C$30</f>
        <v>105.389649</v>
      </c>
      <c r="T414" s="139">
        <f>($O414*(1-(Assumptions!$C$25+0.06*(1-$J414))-Assumptions!$C$27)-Assumptions!$C$28)-MAX(0,($O414*(1-(Assumptions!$C$25+0.06*(1-$J414))-Assumptions!$C$27)-Assumptions!$C$28)*Assumptions!$C$31)+Assumptions!$C$28-Assumptions!$C$29-$O414*Assumptions!$C$30</f>
        <v>41.08823709</v>
      </c>
      <c r="U414" s="139">
        <f>($P414*(1-(Assumptions!$C$25+0.06*(1-$K414))-Assumptions!$C$27)-Assumptions!$C$28)-MAX(0,($P414*(1-(Assumptions!$C$25+0.06*(1-$K414))-Assumptions!$C$27)-Assumptions!$C$28)*Assumptions!$C$31)+Assumptions!$C$28-Assumptions!$C$29-$P414*Assumptions!$C$30</f>
        <v>43.50760944</v>
      </c>
      <c r="V414" s="143">
        <f>(($Q414/(1+$D414)^1+$R414/(1+$D414)^2+$S414/(1+$D414)^3+$T414/(1+$D414)^4+$U414/(1+$D414)^5+$U414*(1+$E414)/($D414-$E414)/(1+$D414)^5)-Assumptions!$C$37)/Assumptions!$C$40/Assumptions!$C$38</f>
        <v>-0.3213676861</v>
      </c>
    </row>
    <row r="415" ht="12.0" customHeight="1">
      <c r="B415" s="139">
        <v>363.0</v>
      </c>
      <c r="C415" s="140">
        <f t="shared" si="6"/>
        <v>0.6349405705</v>
      </c>
      <c r="D415" s="141">
        <f t="shared" si="7"/>
        <v>0.1006892229</v>
      </c>
      <c r="E415" s="141">
        <f t="shared" si="8"/>
        <v>0.01427066512</v>
      </c>
      <c r="F415" s="140">
        <f t="shared" si="9"/>
        <v>0.9432140699</v>
      </c>
      <c r="G415" s="141">
        <f t="shared" si="10"/>
        <v>0.07988987269</v>
      </c>
      <c r="H415" s="142">
        <f t="shared" si="11"/>
        <v>0</v>
      </c>
      <c r="I415" s="142">
        <f t="shared" si="12"/>
        <v>1</v>
      </c>
      <c r="J415" s="142">
        <f t="shared" si="13"/>
        <v>1</v>
      </c>
      <c r="K415" s="142">
        <f t="shared" si="14"/>
        <v>0</v>
      </c>
      <c r="L415" s="139">
        <f>Assumptions!$C$6*Assumptions!$C$7*(1+$G415-0.05*(1-1))^1+Assumptions!$C$6*Assumptions!$C$8*(1+Assumptions!$C$11)^1+Assumptions!$C$16*1+Assumptions!$C$6*Assumptions!$C$9*(1+Assumptions!$C$12)^1</f>
        <v>753.3589311</v>
      </c>
      <c r="M415" s="139">
        <f>Assumptions!$C$6*Assumptions!$C$7*(1+$G415-0.05*(1-$H415))^2+Assumptions!$C$6*Assumptions!$C$8*(1+Assumptions!$C$11)^2+Assumptions!$C$16*$H415+Assumptions!$C$6*Assumptions!$C$9*(1+Assumptions!$C$12)^2</f>
        <v>693.4879422</v>
      </c>
      <c r="N415" s="139">
        <f>Assumptions!$C$6*Assumptions!$C$7*(1+$G415-0.05*(1-$I415))^3+Assumptions!$C$6*Assumptions!$C$8*(1+Assumptions!$C$11)^3+Assumptions!$C$16*$I415+Assumptions!$C$6*Assumptions!$C$9*(1+Assumptions!$C$12)^3</f>
        <v>827.0840283</v>
      </c>
      <c r="O415" s="139">
        <f>Assumptions!$C$6*Assumptions!$C$7*(1+$G415-0.05*(1-$J415))^4+Assumptions!$C$6*Assumptions!$C$8*(1+Assumptions!$C$11)^4+Assumptions!$C$16*$J415+Assumptions!$C$6*Assumptions!$C$9*(1+Assumptions!$C$12)^4</f>
        <v>867.8123887</v>
      </c>
      <c r="P415" s="139">
        <f>Assumptions!$C$6*Assumptions!$C$7*(1+$G415-0.05*(1-$K415))^5+Assumptions!$C$6*Assumptions!$C$8*(1+Assumptions!$C$11)^5+Assumptions!$C$16*$K415+Assumptions!$C$6*Assumptions!$C$9*(1+Assumptions!$C$12)^5</f>
        <v>747.0628232</v>
      </c>
      <c r="Q415" s="139">
        <f>($L415*(1-(Assumptions!$C$25+0.06*(1-1))-Assumptions!$C$27)-Assumptions!$C$28)-MAX(0,($L415*(1-(Assumptions!$C$25+0.06*(1-1))-Assumptions!$C$27)-Assumptions!$C$28)*Assumptions!$C$31)+Assumptions!$C$28-Assumptions!$C$29-$L415*Assumptions!$C$30</f>
        <v>94.4721702</v>
      </c>
      <c r="R415" s="139">
        <f>($M415*(1-(Assumptions!$C$25+0.06*(1-$H415))-Assumptions!$C$27)-Assumptions!$C$28)-MAX(0,($M415*(1-(Assumptions!$C$25+0.06*(1-$H415))-Assumptions!$C$27)-Assumptions!$C$28)*Assumptions!$C$31)+Assumptions!$C$28-Assumptions!$C$29-$M415*Assumptions!$C$30</f>
        <v>39.50222672</v>
      </c>
      <c r="S415" s="139">
        <f>($N415*(1-(Assumptions!$C$25+0.06*(1-$I415))-Assumptions!$C$27)-Assumptions!$C$28)-MAX(0,($N415*(1-(Assumptions!$C$25+0.06*(1-$I415))-Assumptions!$C$27)-Assumptions!$C$28)*Assumptions!$C$31)+Assumptions!$C$28-Assumptions!$C$29-$N415*Assumptions!$C$30</f>
        <v>110.3230661</v>
      </c>
      <c r="T415" s="139">
        <f>($O415*(1-(Assumptions!$C$25+0.06*(1-$J415))-Assumptions!$C$27)-Assumptions!$C$28)-MAX(0,($O415*(1-(Assumptions!$C$25+0.06*(1-$J415))-Assumptions!$C$27)-Assumptions!$C$28)*Assumptions!$C$31)+Assumptions!$C$28-Assumptions!$C$29-$O415*Assumptions!$C$30</f>
        <v>119.0796636</v>
      </c>
      <c r="U415" s="139">
        <f>($P415*(1-(Assumptions!$C$25+0.06*(1-$K415))-Assumptions!$C$27)-Assumptions!$C$28)-MAX(0,($P415*(1-(Assumptions!$C$25+0.06*(1-$K415))-Assumptions!$C$27)-Assumptions!$C$28)*Assumptions!$C$31)+Assumptions!$C$28-Assumptions!$C$29-$P415*Assumptions!$C$30</f>
        <v>51.82444933</v>
      </c>
      <c r="V415" s="143">
        <f>(($Q415/(1+$D415)^1+$R415/(1+$D415)^2+$S415/(1+$D415)^3+$T415/(1+$D415)^4+$U415/(1+$D415)^5+$U415*(1+$E415)/($D415-$E415)/(1+$D415)^5)-Assumptions!$C$37)/Assumptions!$C$40/Assumptions!$C$38</f>
        <v>-0.006484675102</v>
      </c>
    </row>
    <row r="416" ht="12.0" customHeight="1">
      <c r="B416" s="139">
        <v>364.0</v>
      </c>
      <c r="C416" s="140">
        <f t="shared" si="6"/>
        <v>0.5379728149</v>
      </c>
      <c r="D416" s="141">
        <f t="shared" si="7"/>
        <v>0.09890039594</v>
      </c>
      <c r="E416" s="141">
        <f t="shared" si="8"/>
        <v>0.02023302854</v>
      </c>
      <c r="F416" s="140">
        <f t="shared" si="9"/>
        <v>0.965797014</v>
      </c>
      <c r="G416" s="141">
        <f t="shared" si="10"/>
        <v>0.08215363939</v>
      </c>
      <c r="H416" s="142">
        <f t="shared" si="11"/>
        <v>1</v>
      </c>
      <c r="I416" s="142">
        <f t="shared" si="12"/>
        <v>0</v>
      </c>
      <c r="J416" s="142">
        <f t="shared" si="13"/>
        <v>1</v>
      </c>
      <c r="K416" s="142">
        <f t="shared" si="14"/>
        <v>0</v>
      </c>
      <c r="L416" s="139">
        <f>Assumptions!$C$6*Assumptions!$C$7*(1+$G416-0.05*(1-1))^1+Assumptions!$C$6*Assumptions!$C$8*(1+Assumptions!$C$11)^1+Assumptions!$C$16*1+Assumptions!$C$6*Assumptions!$C$9*(1+Assumptions!$C$12)^1</f>
        <v>754.120915</v>
      </c>
      <c r="M416" s="139">
        <f>Assumptions!$C$6*Assumptions!$C$7*(1+$G416-0.05*(1-$H416))^2+Assumptions!$C$6*Assumptions!$C$8*(1+Assumptions!$C$11)^2+Assumptions!$C$16*$H416+Assumptions!$C$6*Assumptions!$C$9*(1+Assumptions!$C$12)^2</f>
        <v>790.6429776</v>
      </c>
      <c r="N416" s="139">
        <f>Assumptions!$C$6*Assumptions!$C$7*(1+$G416-0.05*(1-$I416))^3+Assumptions!$C$6*Assumptions!$C$8*(1+Assumptions!$C$11)^3+Assumptions!$C$16*$I416+Assumptions!$C$6*Assumptions!$C$9*(1+Assumptions!$C$12)^3</f>
        <v>713.3185899</v>
      </c>
      <c r="O416" s="139">
        <f>Assumptions!$C$6*Assumptions!$C$7*(1+$G416-0.05*(1-$J416))^4+Assumptions!$C$6*Assumptions!$C$8*(1+Assumptions!$C$11)^4+Assumptions!$C$16*$J416+Assumptions!$C$6*Assumptions!$C$9*(1+Assumptions!$C$12)^4</f>
        <v>871.6628215</v>
      </c>
      <c r="P416" s="139">
        <f>Assumptions!$C$6*Assumptions!$C$7*(1+$G416-0.05*(1-$K416))^5+Assumptions!$C$6*Assumptions!$C$8*(1+Assumptions!$C$11)^5+Assumptions!$C$16*$K416+Assumptions!$C$6*Assumptions!$C$9*(1+Assumptions!$C$12)^5</f>
        <v>751.3679718</v>
      </c>
      <c r="Q416" s="139">
        <f>($L416*(1-(Assumptions!$C$25+0.06*(1-1))-Assumptions!$C$27)-Assumptions!$C$28)-MAX(0,($L416*(1-(Assumptions!$C$25+0.06*(1-1))-Assumptions!$C$27)-Assumptions!$C$28)*Assumptions!$C$31)+Assumptions!$C$28-Assumptions!$C$29-$L416*Assumptions!$C$30</f>
        <v>94.63599673</v>
      </c>
      <c r="R416" s="139">
        <f>($M416*(1-(Assumptions!$C$25+0.06*(1-$H416))-Assumptions!$C$27)-Assumptions!$C$28)-MAX(0,($M416*(1-(Assumptions!$C$25+0.06*(1-$H416))-Assumptions!$C$27)-Assumptions!$C$28)*Assumptions!$C$31)+Assumptions!$C$28-Assumptions!$C$29-$M416*Assumptions!$C$30</f>
        <v>102.4882402</v>
      </c>
      <c r="S416" s="139">
        <f>($N416*(1-(Assumptions!$C$25+0.06*(1-$I416))-Assumptions!$C$27)-Assumptions!$C$28)-MAX(0,($N416*(1-(Assumptions!$C$25+0.06*(1-$I416))-Assumptions!$C$27)-Assumptions!$C$28)*Assumptions!$C$31)+Assumptions!$C$28-Assumptions!$C$29-$N416*Assumptions!$C$30</f>
        <v>44.06327568</v>
      </c>
      <c r="T416" s="139">
        <f>($O416*(1-(Assumptions!$C$25+0.06*(1-$J416))-Assumptions!$C$27)-Assumptions!$C$28)-MAX(0,($O416*(1-(Assumptions!$C$25+0.06*(1-$J416))-Assumptions!$C$27)-Assumptions!$C$28)*Assumptions!$C$31)+Assumptions!$C$28-Assumptions!$C$29-$O416*Assumptions!$C$30</f>
        <v>119.9075066</v>
      </c>
      <c r="U416" s="139">
        <f>($P416*(1-(Assumptions!$C$25+0.06*(1-$K416))-Assumptions!$C$27)-Assumptions!$C$28)-MAX(0,($P416*(1-(Assumptions!$C$25+0.06*(1-$K416))-Assumptions!$C$27)-Assumptions!$C$28)*Assumptions!$C$31)+Assumptions!$C$28-Assumptions!$C$29-$P416*Assumptions!$C$30</f>
        <v>52.81463351</v>
      </c>
      <c r="V416" s="143">
        <f>(($Q416/(1+$D416)^1+$R416/(1+$D416)^2+$S416/(1+$D416)^3+$T416/(1+$D416)^4+$U416/(1+$D416)^5+$U416*(1+$E416)/($D416-$E416)/(1+$D416)^5)-Assumptions!$C$37)/Assumptions!$C$40/Assumptions!$C$38</f>
        <v>0.4300883311</v>
      </c>
    </row>
    <row r="417" ht="12.0" customHeight="1">
      <c r="B417" s="139">
        <v>365.0</v>
      </c>
      <c r="C417" s="140">
        <f t="shared" si="6"/>
        <v>0.09719771225</v>
      </c>
      <c r="D417" s="141">
        <f t="shared" si="7"/>
        <v>0.09074021119</v>
      </c>
      <c r="E417" s="141">
        <f t="shared" si="8"/>
        <v>0.02134941403</v>
      </c>
      <c r="F417" s="140">
        <f t="shared" si="9"/>
        <v>0.1653486941</v>
      </c>
      <c r="G417" s="141">
        <f t="shared" si="10"/>
        <v>0.04725188828</v>
      </c>
      <c r="H417" s="142">
        <f t="shared" si="11"/>
        <v>1</v>
      </c>
      <c r="I417" s="142">
        <f t="shared" si="12"/>
        <v>1</v>
      </c>
      <c r="J417" s="142">
        <f t="shared" si="13"/>
        <v>1</v>
      </c>
      <c r="K417" s="142">
        <f t="shared" si="14"/>
        <v>0</v>
      </c>
      <c r="L417" s="139">
        <f>Assumptions!$C$6*Assumptions!$C$7*(1+$G417-0.05*(1-1))^1+Assumptions!$C$6*Assumptions!$C$8*(1+Assumptions!$C$11)^1+Assumptions!$C$16*1+Assumptions!$C$6*Assumptions!$C$9*(1+Assumptions!$C$12)^1</f>
        <v>742.3729856</v>
      </c>
      <c r="M417" s="139">
        <f>Assumptions!$C$6*Assumptions!$C$7*(1+$G417-0.05*(1-$H417))^2+Assumptions!$C$6*Assumptions!$C$8*(1+Assumptions!$C$11)^2+Assumptions!$C$16*$H417+Assumptions!$C$6*Assumptions!$C$9*(1+Assumptions!$C$12)^2</f>
        <v>765.6268718</v>
      </c>
      <c r="N417" s="139">
        <f>Assumptions!$C$6*Assumptions!$C$7*(1+$G417-0.05*(1-$I417))^3+Assumptions!$C$6*Assumptions!$C$8*(1+Assumptions!$C$11)^3+Assumptions!$C$16*$I417+Assumptions!$C$6*Assumptions!$C$9*(1+Assumptions!$C$12)^3</f>
        <v>789.7997575</v>
      </c>
      <c r="O417" s="139">
        <f>Assumptions!$C$6*Assumptions!$C$7*(1+$G417-0.05*(1-$J417))^4+Assumptions!$C$6*Assumptions!$C$8*(1+Assumptions!$C$11)^4+Assumptions!$C$16*$J417+Assumptions!$C$6*Assumptions!$C$9*(1+Assumptions!$C$12)^4</f>
        <v>814.9314714</v>
      </c>
      <c r="P417" s="139">
        <f>Assumptions!$C$6*Assumptions!$C$7*(1+$G417-0.05*(1-$K417))^5+Assumptions!$C$6*Assumptions!$C$8*(1+Assumptions!$C$11)^5+Assumptions!$C$16*$K417+Assumptions!$C$6*Assumptions!$C$9*(1+Assumptions!$C$12)^5</f>
        <v>689.0600104</v>
      </c>
      <c r="Q417" s="139">
        <f>($L417*(1-(Assumptions!$C$25+0.06*(1-1))-Assumptions!$C$27)-Assumptions!$C$28)-MAX(0,($L417*(1-(Assumptions!$C$25+0.06*(1-1))-Assumptions!$C$27)-Assumptions!$C$28)*Assumptions!$C$31)+Assumptions!$C$28-Assumptions!$C$29-$L417*Assumptions!$C$30</f>
        <v>92.1101919</v>
      </c>
      <c r="R417" s="139">
        <f>($M417*(1-(Assumptions!$C$25+0.06*(1-$H417))-Assumptions!$C$27)-Assumptions!$C$28)-MAX(0,($M417*(1-(Assumptions!$C$25+0.06*(1-$H417))-Assumptions!$C$27)-Assumptions!$C$28)*Assumptions!$C$31)+Assumptions!$C$28-Assumptions!$C$29-$M417*Assumptions!$C$30</f>
        <v>97.10977744</v>
      </c>
      <c r="S417" s="139">
        <f>($N417*(1-(Assumptions!$C$25+0.06*(1-$I417))-Assumptions!$C$27)-Assumptions!$C$28)-MAX(0,($N417*(1-(Assumptions!$C$25+0.06*(1-$I417))-Assumptions!$C$27)-Assumptions!$C$28)*Assumptions!$C$31)+Assumptions!$C$28-Assumptions!$C$29-$N417*Assumptions!$C$30</f>
        <v>102.3069479</v>
      </c>
      <c r="T417" s="139">
        <f>($O417*(1-(Assumptions!$C$25+0.06*(1-$J417))-Assumptions!$C$27)-Assumptions!$C$28)-MAX(0,($O417*(1-(Assumptions!$C$25+0.06*(1-$J417))-Assumptions!$C$27)-Assumptions!$C$28)*Assumptions!$C$31)+Assumptions!$C$28-Assumptions!$C$29-$O417*Assumptions!$C$30</f>
        <v>107.7102663</v>
      </c>
      <c r="U417" s="139">
        <f>($P417*(1-(Assumptions!$C$25+0.06*(1-$K417))-Assumptions!$C$27)-Assumptions!$C$28)-MAX(0,($P417*(1-(Assumptions!$C$25+0.06*(1-$K417))-Assumptions!$C$27)-Assumptions!$C$28)*Assumptions!$C$31)+Assumptions!$C$28-Assumptions!$C$29-$P417*Assumptions!$C$30</f>
        <v>38.48380239</v>
      </c>
      <c r="V417" s="143">
        <f>(($Q417/(1+$D417)^1+$R417/(1+$D417)^2+$S417/(1+$D417)^3+$T417/(1+$D417)^4+$U417/(1+$D417)^5+$U417*(1+$E417)/($D417-$E417)/(1+$D417)^5)-Assumptions!$C$37)/Assumptions!$C$40/Assumptions!$C$38</f>
        <v>0.1649166683</v>
      </c>
    </row>
    <row r="418" ht="12.0" customHeight="1">
      <c r="B418" s="139">
        <v>366.0</v>
      </c>
      <c r="C418" s="140">
        <f t="shared" si="6"/>
        <v>0.1777849491</v>
      </c>
      <c r="D418" s="141">
        <f t="shared" si="7"/>
        <v>0.09276331744</v>
      </c>
      <c r="E418" s="141">
        <f t="shared" si="8"/>
        <v>0.01828529455</v>
      </c>
      <c r="F418" s="140">
        <f t="shared" si="9"/>
        <v>0.2551241914</v>
      </c>
      <c r="G418" s="141">
        <f t="shared" si="10"/>
        <v>0.05142950173</v>
      </c>
      <c r="H418" s="142">
        <f t="shared" si="11"/>
        <v>1</v>
      </c>
      <c r="I418" s="142">
        <f t="shared" si="12"/>
        <v>1</v>
      </c>
      <c r="J418" s="142">
        <f t="shared" si="13"/>
        <v>1</v>
      </c>
      <c r="K418" s="142">
        <f t="shared" si="14"/>
        <v>1</v>
      </c>
      <c r="L418" s="139">
        <f>Assumptions!$C$6*Assumptions!$C$7*(1+$G418-0.05*(1-1))^1+Assumptions!$C$6*Assumptions!$C$8*(1+Assumptions!$C$11)^1+Assumptions!$C$16*1+Assumptions!$C$6*Assumptions!$C$9*(1+Assumptions!$C$12)^1</f>
        <v>743.7791703</v>
      </c>
      <c r="M418" s="139">
        <f>Assumptions!$C$6*Assumptions!$C$7*(1+$G418-0.05*(1-$H418))^2+Assumptions!$C$6*Assumptions!$C$8*(1+Assumptions!$C$11)^2+Assumptions!$C$16*$H418+Assumptions!$C$6*Assumptions!$C$9*(1+Assumptions!$C$12)^2</f>
        <v>768.5780054</v>
      </c>
      <c r="N418" s="139">
        <f>Assumptions!$C$6*Assumptions!$C$7*(1+$G418-0.05*(1-$I418))^3+Assumptions!$C$6*Assumptions!$C$8*(1+Assumptions!$C$11)^3+Assumptions!$C$16*$I418+Assumptions!$C$6*Assumptions!$C$9*(1+Assumptions!$C$12)^3</f>
        <v>794.4448806</v>
      </c>
      <c r="O418" s="139">
        <f>Assumptions!$C$6*Assumptions!$C$7*(1+$G418-0.05*(1-$J418))^4+Assumptions!$C$6*Assumptions!$C$8*(1+Assumptions!$C$11)^4+Assumptions!$C$16*$J418+Assumptions!$C$6*Assumptions!$C$9*(1+Assumptions!$C$12)^4</f>
        <v>821.4305774</v>
      </c>
      <c r="P418" s="139">
        <f>Assumptions!$C$6*Assumptions!$C$7*(1+$G418-0.05*(1-$K418))^5+Assumptions!$C$6*Assumptions!$C$8*(1+Assumptions!$C$11)^5+Assumptions!$C$16*$K418+Assumptions!$C$6*Assumptions!$C$9*(1+Assumptions!$C$12)^5</f>
        <v>849.5884065</v>
      </c>
      <c r="Q418" s="139">
        <f>($L418*(1-(Assumptions!$C$25+0.06*(1-1))-Assumptions!$C$27)-Assumptions!$C$28)-MAX(0,($L418*(1-(Assumptions!$C$25+0.06*(1-1))-Assumptions!$C$27)-Assumptions!$C$28)*Assumptions!$C$31)+Assumptions!$C$28-Assumptions!$C$29-$L418*Assumptions!$C$30</f>
        <v>92.41252161</v>
      </c>
      <c r="R418" s="139">
        <f>($M418*(1-(Assumptions!$C$25+0.06*(1-$H418))-Assumptions!$C$27)-Assumptions!$C$28)-MAX(0,($M418*(1-(Assumptions!$C$25+0.06*(1-$H418))-Assumptions!$C$27)-Assumptions!$C$28)*Assumptions!$C$31)+Assumptions!$C$28-Assumptions!$C$29-$M418*Assumptions!$C$30</f>
        <v>97.74427117</v>
      </c>
      <c r="S418" s="139">
        <f>($N418*(1-(Assumptions!$C$25+0.06*(1-$I418))-Assumptions!$C$27)-Assumptions!$C$28)-MAX(0,($N418*(1-(Assumptions!$C$25+0.06*(1-$I418))-Assumptions!$C$27)-Assumptions!$C$28)*Assumptions!$C$31)+Assumptions!$C$28-Assumptions!$C$29-$N418*Assumptions!$C$30</f>
        <v>103.3056493</v>
      </c>
      <c r="T418" s="139">
        <f>($O418*(1-(Assumptions!$C$25+0.06*(1-$J418))-Assumptions!$C$27)-Assumptions!$C$28)-MAX(0,($O418*(1-(Assumptions!$C$25+0.06*(1-$J418))-Assumptions!$C$27)-Assumptions!$C$28)*Assumptions!$C$31)+Assumptions!$C$28-Assumptions!$C$29-$O418*Assumptions!$C$30</f>
        <v>109.1075742</v>
      </c>
      <c r="U418" s="139">
        <f>($P418*(1-(Assumptions!$C$25+0.06*(1-$K418))-Assumptions!$C$27)-Assumptions!$C$28)-MAX(0,($P418*(1-(Assumptions!$C$25+0.06*(1-$K418))-Assumptions!$C$27)-Assumptions!$C$28)*Assumptions!$C$31)+Assumptions!$C$28-Assumptions!$C$29-$P418*Assumptions!$C$30</f>
        <v>115.1615074</v>
      </c>
      <c r="V418" s="143">
        <f>(($Q418/(1+$D418)^1+$R418/(1+$D418)^2+$S418/(1+$D418)^3+$T418/(1+$D418)^4+$U418/(1+$D418)^5+$U418*(1+$E418)/($D418-$E418)/(1+$D418)^5)-Assumptions!$C$37)/Assumptions!$C$40/Assumptions!$C$38</f>
        <v>5.578022106</v>
      </c>
    </row>
    <row r="419" ht="12.0" customHeight="1">
      <c r="B419" s="139">
        <v>367.0</v>
      </c>
      <c r="C419" s="140">
        <f t="shared" si="6"/>
        <v>0.5293571407</v>
      </c>
      <c r="D419" s="141">
        <f t="shared" si="7"/>
        <v>0.09875098021</v>
      </c>
      <c r="E419" s="141">
        <f t="shared" si="8"/>
        <v>0.02280356028</v>
      </c>
      <c r="F419" s="140">
        <f t="shared" si="9"/>
        <v>0.7176748585</v>
      </c>
      <c r="G419" s="141">
        <f t="shared" si="10"/>
        <v>0.06745703536</v>
      </c>
      <c r="H419" s="142">
        <f t="shared" si="11"/>
        <v>1</v>
      </c>
      <c r="I419" s="142">
        <f t="shared" si="12"/>
        <v>0</v>
      </c>
      <c r="J419" s="142">
        <f t="shared" si="13"/>
        <v>1</v>
      </c>
      <c r="K419" s="142">
        <f t="shared" si="14"/>
        <v>1</v>
      </c>
      <c r="L419" s="139">
        <f>Assumptions!$C$6*Assumptions!$C$7*(1+$G419-0.05*(1-1))^1+Assumptions!$C$6*Assumptions!$C$8*(1+Assumptions!$C$11)^1+Assumptions!$C$16*1+Assumptions!$C$6*Assumptions!$C$9*(1+Assumptions!$C$12)^1</f>
        <v>749.1740381</v>
      </c>
      <c r="M419" s="139">
        <f>Assumptions!$C$6*Assumptions!$C$7*(1+$G419-0.05*(1-$H419))^2+Assumptions!$C$6*Assumptions!$C$8*(1+Assumptions!$C$11)^2+Assumptions!$C$16*$H419+Assumptions!$C$6*Assumptions!$C$9*(1+Assumptions!$C$12)^2</f>
        <v>780.0091182</v>
      </c>
      <c r="N419" s="139">
        <f>Assumptions!$C$6*Assumptions!$C$7*(1+$G419-0.05*(1-$I419))^3+Assumptions!$C$6*Assumptions!$C$8*(1+Assumptions!$C$11)^3+Assumptions!$C$16*$I419+Assumptions!$C$6*Assumptions!$C$9*(1+Assumptions!$C$12)^3</f>
        <v>697.7323068</v>
      </c>
      <c r="O419" s="139">
        <f>Assumptions!$C$6*Assumptions!$C$7*(1+$G419-0.05*(1-$J419))^4+Assumptions!$C$6*Assumptions!$C$8*(1+Assumptions!$C$11)^4+Assumptions!$C$16*$J419+Assumptions!$C$6*Assumptions!$C$9*(1+Assumptions!$C$12)^4</f>
        <v>847.0930658</v>
      </c>
      <c r="P419" s="139">
        <f>Assumptions!$C$6*Assumptions!$C$7*(1+$G419-0.05*(1-$K419))^5+Assumptions!$C$6*Assumptions!$C$8*(1+Assumptions!$C$11)^5+Assumptions!$C$16*$K419+Assumptions!$C$6*Assumptions!$C$9*(1+Assumptions!$C$12)^5</f>
        <v>883.5752891</v>
      </c>
      <c r="Q419" s="139">
        <f>($L419*(1-(Assumptions!$C$25+0.06*(1-1))-Assumptions!$C$27)-Assumptions!$C$28)-MAX(0,($L419*(1-(Assumptions!$C$25+0.06*(1-1))-Assumptions!$C$27)-Assumptions!$C$28)*Assumptions!$C$31)+Assumptions!$C$28-Assumptions!$C$29-$L419*Assumptions!$C$30</f>
        <v>93.57241819</v>
      </c>
      <c r="R419" s="139">
        <f>($M419*(1-(Assumptions!$C$25+0.06*(1-$H419))-Assumptions!$C$27)-Assumptions!$C$28)-MAX(0,($M419*(1-(Assumptions!$C$25+0.06*(1-$H419))-Assumptions!$C$27)-Assumptions!$C$28)*Assumptions!$C$31)+Assumptions!$C$28-Assumptions!$C$29-$M419*Assumptions!$C$30</f>
        <v>100.2019604</v>
      </c>
      <c r="S419" s="139">
        <f>($N419*(1-(Assumptions!$C$25+0.06*(1-$I419))-Assumptions!$C$27)-Assumptions!$C$28)-MAX(0,($N419*(1-(Assumptions!$C$25+0.06*(1-$I419))-Assumptions!$C$27)-Assumptions!$C$28)*Assumptions!$C$31)+Assumptions!$C$28-Assumptions!$C$29-$N419*Assumptions!$C$30</f>
        <v>40.47843057</v>
      </c>
      <c r="T419" s="139">
        <f>($O419*(1-(Assumptions!$C$25+0.06*(1-$J419))-Assumptions!$C$27)-Assumptions!$C$28)-MAX(0,($O419*(1-(Assumptions!$C$25+0.06*(1-$J419))-Assumptions!$C$27)-Assumptions!$C$28)*Assumptions!$C$31)+Assumptions!$C$28-Assumptions!$C$29-$O419*Assumptions!$C$30</f>
        <v>114.6250091</v>
      </c>
      <c r="U419" s="139">
        <f>($P419*(1-(Assumptions!$C$25+0.06*(1-$K419))-Assumptions!$C$27)-Assumptions!$C$28)-MAX(0,($P419*(1-(Assumptions!$C$25+0.06*(1-$K419))-Assumptions!$C$27)-Assumptions!$C$28)*Assumptions!$C$31)+Assumptions!$C$28-Assumptions!$C$29-$P419*Assumptions!$C$30</f>
        <v>122.4686872</v>
      </c>
      <c r="V419" s="143">
        <f>(($Q419/(1+$D419)^1+$R419/(1+$D419)^2+$S419/(1+$D419)^3+$T419/(1+$D419)^4+$U419/(1+$D419)^5+$U419*(1+$E419)/($D419-$E419)/(1+$D419)^5)-Assumptions!$C$37)/Assumptions!$C$40/Assumptions!$C$38</f>
        <v>5.400596251</v>
      </c>
    </row>
    <row r="420" ht="12.0" customHeight="1">
      <c r="B420" s="139">
        <v>368.0</v>
      </c>
      <c r="C420" s="140">
        <f t="shared" si="6"/>
        <v>0.9695934986</v>
      </c>
      <c r="D420" s="141">
        <f t="shared" si="7"/>
        <v>0.1108698611</v>
      </c>
      <c r="E420" s="141">
        <f t="shared" si="8"/>
        <v>0.01598214546</v>
      </c>
      <c r="F420" s="140">
        <f t="shared" si="9"/>
        <v>0.5225652849</v>
      </c>
      <c r="G420" s="141">
        <f t="shared" si="10"/>
        <v>0.0606847738</v>
      </c>
      <c r="H420" s="142">
        <f t="shared" si="11"/>
        <v>1</v>
      </c>
      <c r="I420" s="142">
        <f t="shared" si="12"/>
        <v>0</v>
      </c>
      <c r="J420" s="142">
        <f t="shared" si="13"/>
        <v>1</v>
      </c>
      <c r="K420" s="142">
        <f t="shared" si="14"/>
        <v>1</v>
      </c>
      <c r="L420" s="139">
        <f>Assumptions!$C$6*Assumptions!$C$7*(1+$G420-0.05*(1-1))^1+Assumptions!$C$6*Assumptions!$C$8*(1+Assumptions!$C$11)^1+Assumptions!$C$16*1+Assumptions!$C$6*Assumptions!$C$9*(1+Assumptions!$C$12)^1</f>
        <v>746.8944949</v>
      </c>
      <c r="M420" s="139">
        <f>Assumptions!$C$6*Assumptions!$C$7*(1+$G420-0.05*(1-$H420))^2+Assumptions!$C$6*Assumptions!$C$8*(1+Assumptions!$C$11)^2+Assumptions!$C$16*$H420+Assumptions!$C$6*Assumptions!$C$9*(1+Assumptions!$C$12)^2</f>
        <v>775.1579269</v>
      </c>
      <c r="N420" s="139">
        <f>Assumptions!$C$6*Assumptions!$C$7*(1+$G420-0.05*(1-$I420))^3+Assumptions!$C$6*Assumptions!$C$8*(1+Assumptions!$C$11)^3+Assumptions!$C$16*$I420+Assumptions!$C$6*Assumptions!$C$9*(1+Assumptions!$C$12)^3</f>
        <v>690.6998456</v>
      </c>
      <c r="O420" s="139">
        <f>Assumptions!$C$6*Assumptions!$C$7*(1+$G420-0.05*(1-$J420))^4+Assumptions!$C$6*Assumptions!$C$8*(1+Assumptions!$C$11)^4+Assumptions!$C$16*$J420+Assumptions!$C$6*Assumptions!$C$9*(1+Assumptions!$C$12)^4</f>
        <v>836.1074621</v>
      </c>
      <c r="P420" s="139">
        <f>Assumptions!$C$6*Assumptions!$C$7*(1+$G420-0.05*(1-$K420))^5+Assumptions!$C$6*Assumptions!$C$8*(1+Assumptions!$C$11)^5+Assumptions!$C$16*$K420+Assumptions!$C$6*Assumptions!$C$9*(1+Assumptions!$C$12)^5</f>
        <v>868.9633145</v>
      </c>
      <c r="Q420" s="139">
        <f>($L420*(1-(Assumptions!$C$25+0.06*(1-1))-Assumptions!$C$27)-Assumptions!$C$28)-MAX(0,($L420*(1-(Assumptions!$C$25+0.06*(1-1))-Assumptions!$C$27)-Assumptions!$C$28)*Assumptions!$C$31)+Assumptions!$C$28-Assumptions!$C$29-$L420*Assumptions!$C$30</f>
        <v>93.0823164</v>
      </c>
      <c r="R420" s="139">
        <f>($M420*(1-(Assumptions!$C$25+0.06*(1-$H420))-Assumptions!$C$27)-Assumptions!$C$28)-MAX(0,($M420*(1-(Assumptions!$C$25+0.06*(1-$H420))-Assumptions!$C$27)-Assumptions!$C$28)*Assumptions!$C$31)+Assumptions!$C$28-Assumptions!$C$29-$M420*Assumptions!$C$30</f>
        <v>99.15895429</v>
      </c>
      <c r="S420" s="139">
        <f>($N420*(1-(Assumptions!$C$25+0.06*(1-$I420))-Assumptions!$C$27)-Assumptions!$C$28)-MAX(0,($N420*(1-(Assumptions!$C$25+0.06*(1-$I420))-Assumptions!$C$27)-Assumptions!$C$28)*Assumptions!$C$31)+Assumptions!$C$28-Assumptions!$C$29-$N420*Assumptions!$C$30</f>
        <v>38.86096448</v>
      </c>
      <c r="T420" s="139">
        <f>($O420*(1-(Assumptions!$C$25+0.06*(1-$J420))-Assumptions!$C$27)-Assumptions!$C$28)-MAX(0,($O420*(1-(Assumptions!$C$25+0.06*(1-$J420))-Assumptions!$C$27)-Assumptions!$C$28)*Assumptions!$C$31)+Assumptions!$C$28-Assumptions!$C$29-$O420*Assumptions!$C$30</f>
        <v>112.2631043</v>
      </c>
      <c r="U420" s="139">
        <f>($P420*(1-(Assumptions!$C$25+0.06*(1-$K420))-Assumptions!$C$27)-Assumptions!$C$28)-MAX(0,($P420*(1-(Assumptions!$C$25+0.06*(1-$K420))-Assumptions!$C$27)-Assumptions!$C$28)*Assumptions!$C$31)+Assumptions!$C$28-Assumptions!$C$29-$P420*Assumptions!$C$30</f>
        <v>119.3271126</v>
      </c>
      <c r="V420" s="143">
        <f>(($Q420/(1+$D420)^1+$R420/(1+$D420)^2+$S420/(1+$D420)^3+$T420/(1+$D420)^4+$U420/(1+$D420)^5+$U420*(1+$E420)/($D420-$E420)/(1+$D420)^5)-Assumptions!$C$37)/Assumptions!$C$40/Assumptions!$C$38</f>
        <v>3.124057699</v>
      </c>
    </row>
    <row r="421" ht="12.0" customHeight="1">
      <c r="B421" s="139">
        <v>369.0</v>
      </c>
      <c r="C421" s="140">
        <f t="shared" si="6"/>
        <v>0.02511435073</v>
      </c>
      <c r="D421" s="141">
        <f t="shared" si="7"/>
        <v>0.08791783565</v>
      </c>
      <c r="E421" s="141">
        <f t="shared" si="8"/>
        <v>0.026415808</v>
      </c>
      <c r="F421" s="140">
        <f t="shared" si="9"/>
        <v>0.07777643494</v>
      </c>
      <c r="G421" s="141">
        <f t="shared" si="10"/>
        <v>0.04183205742</v>
      </c>
      <c r="H421" s="142">
        <f t="shared" si="11"/>
        <v>1</v>
      </c>
      <c r="I421" s="142">
        <f t="shared" si="12"/>
        <v>0</v>
      </c>
      <c r="J421" s="142">
        <f t="shared" si="13"/>
        <v>1</v>
      </c>
      <c r="K421" s="142">
        <f t="shared" si="14"/>
        <v>0</v>
      </c>
      <c r="L421" s="139">
        <f>Assumptions!$C$6*Assumptions!$C$7*(1+$G421-0.05*(1-1))^1+Assumptions!$C$6*Assumptions!$C$8*(1+Assumptions!$C$11)^1+Assumptions!$C$16*1+Assumptions!$C$6*Assumptions!$C$9*(1+Assumptions!$C$12)^1</f>
        <v>740.5486705</v>
      </c>
      <c r="M421" s="139">
        <f>Assumptions!$C$6*Assumptions!$C$7*(1+$G421-0.05*(1-$H421))^2+Assumptions!$C$6*Assumptions!$C$8*(1+Assumptions!$C$11)^2+Assumptions!$C$16*$H421+Assumptions!$C$6*Assumptions!$C$9*(1+Assumptions!$C$12)^2</f>
        <v>761.8157245</v>
      </c>
      <c r="N421" s="139">
        <f>Assumptions!$C$6*Assumptions!$C$7*(1+$G421-0.05*(1-$I421))^3+Assumptions!$C$6*Assumptions!$C$8*(1+Assumptions!$C$11)^3+Assumptions!$C$16*$I421+Assumptions!$C$6*Assumptions!$C$9*(1+Assumptions!$C$12)^3</f>
        <v>671.6138645</v>
      </c>
      <c r="O421" s="139">
        <f>Assumptions!$C$6*Assumptions!$C$7*(1+$G421-0.05*(1-$J421))^4+Assumptions!$C$6*Assumptions!$C$8*(1+Assumptions!$C$11)^4+Assumptions!$C$16*$J421+Assumptions!$C$6*Assumptions!$C$9*(1+Assumptions!$C$12)^4</f>
        <v>806.6149742</v>
      </c>
      <c r="P421" s="139">
        <f>Assumptions!$C$6*Assumptions!$C$7*(1+$G421-0.05*(1-$K421))^5+Assumptions!$C$6*Assumptions!$C$8*(1+Assumptions!$C$11)^5+Assumptions!$C$16*$K421+Assumptions!$C$6*Assumptions!$C$9*(1+Assumptions!$C$12)^5</f>
        <v>680.1358213</v>
      </c>
      <c r="Q421" s="139">
        <f>($L421*(1-(Assumptions!$C$25+0.06*(1-1))-Assumptions!$C$27)-Assumptions!$C$28)-MAX(0,($L421*(1-(Assumptions!$C$25+0.06*(1-1))-Assumptions!$C$27)-Assumptions!$C$28)*Assumptions!$C$31)+Assumptions!$C$28-Assumptions!$C$29-$L421*Assumptions!$C$30</f>
        <v>91.71796416</v>
      </c>
      <c r="R421" s="139">
        <f>($M421*(1-(Assumptions!$C$25+0.06*(1-$H421))-Assumptions!$C$27)-Assumptions!$C$28)-MAX(0,($M421*(1-(Assumptions!$C$25+0.06*(1-$H421))-Assumptions!$C$27)-Assumptions!$C$28)*Assumptions!$C$31)+Assumptions!$C$28-Assumptions!$C$29-$M421*Assumptions!$C$30</f>
        <v>96.29038076</v>
      </c>
      <c r="S421" s="139">
        <f>($N421*(1-(Assumptions!$C$25+0.06*(1-$I421))-Assumptions!$C$27)-Assumptions!$C$28)-MAX(0,($N421*(1-(Assumptions!$C$25+0.06*(1-$I421))-Assumptions!$C$27)-Assumptions!$C$28)*Assumptions!$C$31)+Assumptions!$C$28-Assumptions!$C$29-$N421*Assumptions!$C$30</f>
        <v>34.47118883</v>
      </c>
      <c r="T421" s="139">
        <f>($O421*(1-(Assumptions!$C$25+0.06*(1-$J421))-Assumptions!$C$27)-Assumptions!$C$28)-MAX(0,($O421*(1-(Assumptions!$C$25+0.06*(1-$J421))-Assumptions!$C$27)-Assumptions!$C$28)*Assumptions!$C$31)+Assumptions!$C$28-Assumptions!$C$29-$O421*Assumptions!$C$30</f>
        <v>105.9222194</v>
      </c>
      <c r="U421" s="139">
        <f>($P421*(1-(Assumptions!$C$25+0.06*(1-$K421))-Assumptions!$C$27)-Assumptions!$C$28)-MAX(0,($P421*(1-(Assumptions!$C$25+0.06*(1-$K421))-Assumptions!$C$27)-Assumptions!$C$28)*Assumptions!$C$31)+Assumptions!$C$28-Assumptions!$C$29-$P421*Assumptions!$C$30</f>
        <v>36.4312389</v>
      </c>
      <c r="V421" s="143">
        <f>(($Q421/(1+$D421)^1+$R421/(1+$D421)^2+$S421/(1+$D421)^3+$T421/(1+$D421)^4+$U421/(1+$D421)^5+$U421*(1+$E421)/($D421-$E421)/(1+$D421)^5)-Assumptions!$C$37)/Assumptions!$C$40/Assumptions!$C$38</f>
        <v>-0.006158202463</v>
      </c>
    </row>
    <row r="422" ht="12.0" customHeight="1">
      <c r="B422" s="139">
        <v>370.0</v>
      </c>
      <c r="C422" s="140">
        <f t="shared" si="6"/>
        <v>0.9033953877</v>
      </c>
      <c r="D422" s="141">
        <f t="shared" si="7"/>
        <v>0.1076382619</v>
      </c>
      <c r="E422" s="141">
        <f t="shared" si="8"/>
        <v>0.01411280428</v>
      </c>
      <c r="F422" s="140">
        <f t="shared" si="9"/>
        <v>0.06961663996</v>
      </c>
      <c r="G422" s="141">
        <f t="shared" si="10"/>
        <v>0.04119419278</v>
      </c>
      <c r="H422" s="142">
        <f t="shared" si="11"/>
        <v>1</v>
      </c>
      <c r="I422" s="142">
        <f t="shared" si="12"/>
        <v>0</v>
      </c>
      <c r="J422" s="142">
        <f t="shared" si="13"/>
        <v>1</v>
      </c>
      <c r="K422" s="142">
        <f t="shared" si="14"/>
        <v>0</v>
      </c>
      <c r="L422" s="139">
        <f>Assumptions!$C$6*Assumptions!$C$7*(1+$G422-0.05*(1-1))^1+Assumptions!$C$6*Assumptions!$C$8*(1+Assumptions!$C$11)^1+Assumptions!$C$16*1+Assumptions!$C$6*Assumptions!$C$9*(1+Assumptions!$C$12)^1</f>
        <v>740.3339653</v>
      </c>
      <c r="M422" s="139">
        <f>Assumptions!$C$6*Assumptions!$C$7*(1+$G422-0.05*(1-$H422))^2+Assumptions!$C$6*Assumptions!$C$8*(1+Assumptions!$C$11)^2+Assumptions!$C$16*$H422+Assumptions!$C$6*Assumptions!$C$9*(1+Assumptions!$C$12)^2</f>
        <v>761.3684878</v>
      </c>
      <c r="N422" s="139">
        <f>Assumptions!$C$6*Assumptions!$C$7*(1+$G422-0.05*(1-$I422))^3+Assumptions!$C$6*Assumptions!$C$8*(1+Assumptions!$C$11)^3+Assumptions!$C$16*$I422+Assumptions!$C$6*Assumptions!$C$9*(1+Assumptions!$C$12)^3</f>
        <v>670.9806354</v>
      </c>
      <c r="O422" s="139">
        <f>Assumptions!$C$6*Assumptions!$C$7*(1+$G422-0.05*(1-$J422))^4+Assumptions!$C$6*Assumptions!$C$8*(1+Assumptions!$C$11)^4+Assumptions!$C$16*$J422+Assumptions!$C$6*Assumptions!$C$9*(1+Assumptions!$C$12)^4</f>
        <v>805.6446945</v>
      </c>
      <c r="P422" s="139">
        <f>Assumptions!$C$6*Assumptions!$C$7*(1+$G422-0.05*(1-$K422))^5+Assumptions!$C$6*Assumptions!$C$8*(1+Assumptions!$C$11)^5+Assumptions!$C$16*$K422+Assumptions!$C$6*Assumptions!$C$9*(1+Assumptions!$C$12)^5</f>
        <v>679.0982771</v>
      </c>
      <c r="Q422" s="139">
        <f>($L422*(1-(Assumptions!$C$25+0.06*(1-1))-Assumptions!$C$27)-Assumptions!$C$28)-MAX(0,($L422*(1-(Assumptions!$C$25+0.06*(1-1))-Assumptions!$C$27)-Assumptions!$C$28)*Assumptions!$C$31)+Assumptions!$C$28-Assumptions!$C$29-$L422*Assumptions!$C$30</f>
        <v>91.67180254</v>
      </c>
      <c r="R422" s="139">
        <f>($M422*(1-(Assumptions!$C$25+0.06*(1-$H422))-Assumptions!$C$27)-Assumptions!$C$28)-MAX(0,($M422*(1-(Assumptions!$C$25+0.06*(1-$H422))-Assumptions!$C$27)-Assumptions!$C$28)*Assumptions!$C$31)+Assumptions!$C$28-Assumptions!$C$29-$M422*Assumptions!$C$30</f>
        <v>96.19422488</v>
      </c>
      <c r="S422" s="139">
        <f>($N422*(1-(Assumptions!$C$25+0.06*(1-$I422))-Assumptions!$C$27)-Assumptions!$C$28)-MAX(0,($N422*(1-(Assumptions!$C$25+0.06*(1-$I422))-Assumptions!$C$27)-Assumptions!$C$28)*Assumptions!$C$31)+Assumptions!$C$28-Assumptions!$C$29-$N422*Assumptions!$C$30</f>
        <v>34.32554614</v>
      </c>
      <c r="T422" s="139">
        <f>($O422*(1-(Assumptions!$C$25+0.06*(1-$J422))-Assumptions!$C$27)-Assumptions!$C$28)-MAX(0,($O422*(1-(Assumptions!$C$25+0.06*(1-$J422))-Assumptions!$C$27)-Assumptions!$C$28)*Assumptions!$C$31)+Assumptions!$C$28-Assumptions!$C$29-$O422*Assumptions!$C$30</f>
        <v>105.7136093</v>
      </c>
      <c r="U422" s="139">
        <f>($P422*(1-(Assumptions!$C$25+0.06*(1-$K422))-Assumptions!$C$27)-Assumptions!$C$28)-MAX(0,($P422*(1-(Assumptions!$C$25+0.06*(1-$K422))-Assumptions!$C$27)-Assumptions!$C$28)*Assumptions!$C$31)+Assumptions!$C$28-Assumptions!$C$29-$P422*Assumptions!$C$30</f>
        <v>36.19260373</v>
      </c>
      <c r="V422" s="143">
        <f>(($Q422/(1+$D422)^1+$R422/(1+$D422)^2+$S422/(1+$D422)^3+$T422/(1+$D422)^4+$U422/(1+$D422)^5+$U422*(1+$E422)/($D422-$E422)/(1+$D422)^5)-Assumptions!$C$37)/Assumptions!$C$40/Assumptions!$C$38</f>
        <v>-1.388639145</v>
      </c>
    </row>
    <row r="423" ht="12.0" customHeight="1">
      <c r="B423" s="139">
        <v>371.0</v>
      </c>
      <c r="C423" s="140">
        <f t="shared" si="6"/>
        <v>0.5198272597</v>
      </c>
      <c r="D423" s="141">
        <f t="shared" si="7"/>
        <v>0.09858729433</v>
      </c>
      <c r="E423" s="141">
        <f t="shared" si="8"/>
        <v>0.01787481248</v>
      </c>
      <c r="F423" s="140">
        <f t="shared" si="9"/>
        <v>0.9744144149</v>
      </c>
      <c r="G423" s="141">
        <f t="shared" si="10"/>
        <v>0.08321368634</v>
      </c>
      <c r="H423" s="142">
        <f t="shared" si="11"/>
        <v>0</v>
      </c>
      <c r="I423" s="142">
        <f t="shared" si="12"/>
        <v>0</v>
      </c>
      <c r="J423" s="142">
        <f t="shared" si="13"/>
        <v>1</v>
      </c>
      <c r="K423" s="142">
        <f t="shared" si="14"/>
        <v>1</v>
      </c>
      <c r="L423" s="139">
        <f>Assumptions!$C$6*Assumptions!$C$7*(1+$G423-0.05*(1-1))^1+Assumptions!$C$6*Assumptions!$C$8*(1+Assumptions!$C$11)^1+Assumptions!$C$16*1+Assumptions!$C$6*Assumptions!$C$9*(1+Assumptions!$C$12)^1</f>
        <v>754.4777268</v>
      </c>
      <c r="M423" s="139">
        <f>Assumptions!$C$6*Assumptions!$C$7*(1+$G423-0.05*(1-$H423))^2+Assumptions!$C$6*Assumptions!$C$8*(1+Assumptions!$C$11)^2+Assumptions!$C$16*$H423+Assumptions!$C$6*Assumptions!$C$9*(1+Assumptions!$C$12)^2</f>
        <v>695.7961336</v>
      </c>
      <c r="N423" s="139">
        <f>Assumptions!$C$6*Assumptions!$C$7*(1+$G423-0.05*(1-$I423))^3+Assumptions!$C$6*Assumptions!$C$8*(1+Assumptions!$C$11)^3+Assumptions!$C$16*$I423+Assumptions!$C$6*Assumptions!$C$9*(1+Assumptions!$C$12)^3</f>
        <v>714.4601404</v>
      </c>
      <c r="O423" s="139">
        <f>Assumptions!$C$6*Assumptions!$C$7*(1+$G423-0.05*(1-$J423))^4+Assumptions!$C$6*Assumptions!$C$8*(1+Assumptions!$C$11)^4+Assumptions!$C$16*$J423+Assumptions!$C$6*Assumptions!$C$9*(1+Assumptions!$C$12)^4</f>
        <v>873.4741786</v>
      </c>
      <c r="P423" s="139">
        <f>Assumptions!$C$6*Assumptions!$C$7*(1+$G423-0.05*(1-$K423))^5+Assumptions!$C$6*Assumptions!$C$8*(1+Assumptions!$C$11)^5+Assumptions!$C$16*$K423+Assumptions!$C$6*Assumptions!$C$9*(1+Assumptions!$C$12)^5</f>
        <v>919.0378717</v>
      </c>
      <c r="Q423" s="139">
        <f>($L423*(1-(Assumptions!$C$25+0.06*(1-1))-Assumptions!$C$27)-Assumptions!$C$28)-MAX(0,($L423*(1-(Assumptions!$C$25+0.06*(1-1))-Assumptions!$C$27)-Assumptions!$C$28)*Assumptions!$C$31)+Assumptions!$C$28-Assumptions!$C$29-$L423*Assumptions!$C$30</f>
        <v>94.71271127</v>
      </c>
      <c r="R423" s="139">
        <f>($M423*(1-(Assumptions!$C$25+0.06*(1-$H423))-Assumptions!$C$27)-Assumptions!$C$28)-MAX(0,($M423*(1-(Assumptions!$C$25+0.06*(1-$H423))-Assumptions!$C$27)-Assumptions!$C$28)*Assumptions!$C$31)+Assumptions!$C$28-Assumptions!$C$29-$M423*Assumptions!$C$30</f>
        <v>40.03311072</v>
      </c>
      <c r="S423" s="139">
        <f>($N423*(1-(Assumptions!$C$25+0.06*(1-$I423))-Assumptions!$C$27)-Assumptions!$C$28)-MAX(0,($N423*(1-(Assumptions!$C$25+0.06*(1-$I423))-Assumptions!$C$27)-Assumptions!$C$28)*Assumptions!$C$31)+Assumptions!$C$28-Assumptions!$C$29-$N423*Assumptions!$C$30</f>
        <v>44.32583229</v>
      </c>
      <c r="T423" s="139">
        <f>($O423*(1-(Assumptions!$C$25+0.06*(1-$J423))-Assumptions!$C$27)-Assumptions!$C$28)-MAX(0,($O423*(1-(Assumptions!$C$25+0.06*(1-$J423))-Assumptions!$C$27)-Assumptions!$C$28)*Assumptions!$C$31)+Assumptions!$C$28-Assumptions!$C$29-$O423*Assumptions!$C$30</f>
        <v>120.2969484</v>
      </c>
      <c r="U423" s="139">
        <f>($P423*(1-(Assumptions!$C$25+0.06*(1-$K423))-Assumptions!$C$27)-Assumptions!$C$28)-MAX(0,($P423*(1-(Assumptions!$C$25+0.06*(1-$K423))-Assumptions!$C$27)-Assumptions!$C$28)*Assumptions!$C$31)+Assumptions!$C$28-Assumptions!$C$29-$P423*Assumptions!$C$30</f>
        <v>130.0931424</v>
      </c>
      <c r="V423" s="143">
        <f>(($Q423/(1+$D423)^1+$R423/(1+$D423)^2+$S423/(1+$D423)^3+$T423/(1+$D423)^4+$U423/(1+$D423)^5+$U423*(1+$E423)/($D423-$E423)/(1+$D423)^5)-Assumptions!$C$37)/Assumptions!$C$40/Assumptions!$C$38</f>
        <v>5.074636041</v>
      </c>
    </row>
    <row r="424" ht="12.0" customHeight="1">
      <c r="B424" s="139">
        <v>372.0</v>
      </c>
      <c r="C424" s="140">
        <f t="shared" si="6"/>
        <v>0.6247939005</v>
      </c>
      <c r="D424" s="141">
        <f t="shared" si="7"/>
        <v>0.1004917051</v>
      </c>
      <c r="E424" s="141">
        <f t="shared" si="8"/>
        <v>0.01267528123</v>
      </c>
      <c r="F424" s="140">
        <f t="shared" si="9"/>
        <v>0.4444390317</v>
      </c>
      <c r="G424" s="141">
        <f t="shared" si="10"/>
        <v>0.05828409901</v>
      </c>
      <c r="H424" s="142">
        <f t="shared" si="11"/>
        <v>0</v>
      </c>
      <c r="I424" s="142">
        <f t="shared" si="12"/>
        <v>0</v>
      </c>
      <c r="J424" s="142">
        <f t="shared" si="13"/>
        <v>1</v>
      </c>
      <c r="K424" s="142">
        <f t="shared" si="14"/>
        <v>1</v>
      </c>
      <c r="L424" s="139">
        <f>Assumptions!$C$6*Assumptions!$C$7*(1+$G424-0.05*(1-1))^1+Assumptions!$C$6*Assumptions!$C$8*(1+Assumptions!$C$11)^1+Assumptions!$C$16*1+Assumptions!$C$6*Assumptions!$C$9*(1+Assumptions!$C$12)^1</f>
        <v>746.0864277</v>
      </c>
      <c r="M424" s="139">
        <f>Assumptions!$C$6*Assumptions!$C$7*(1+$G424-0.05*(1-$H424))^2+Assumptions!$C$6*Assumptions!$C$8*(1+Assumptions!$C$11)^2+Assumptions!$C$16*$H424+Assumptions!$C$6*Assumptions!$C$9*(1+Assumptions!$C$12)^2</f>
        <v>678.6653151</v>
      </c>
      <c r="N424" s="139">
        <f>Assumptions!$C$6*Assumptions!$C$7*(1+$G424-0.05*(1-$I424))^3+Assumptions!$C$6*Assumptions!$C$8*(1+Assumptions!$C$11)^3+Assumptions!$C$16*$I424+Assumptions!$C$6*Assumptions!$C$9*(1+Assumptions!$C$12)^3</f>
        <v>688.2294406</v>
      </c>
      <c r="O424" s="139">
        <f>Assumptions!$C$6*Assumptions!$C$7*(1+$G424-0.05*(1-$J424))^4+Assumptions!$C$6*Assumptions!$C$8*(1+Assumptions!$C$11)^4+Assumptions!$C$16*$J424+Assumptions!$C$6*Assumptions!$C$9*(1+Assumptions!$C$12)^4</f>
        <v>832.2633881</v>
      </c>
      <c r="P424" s="139">
        <f>Assumptions!$C$6*Assumptions!$C$7*(1+$G424-0.05*(1-$K424))^5+Assumptions!$C$6*Assumptions!$C$8*(1+Assumptions!$C$11)^5+Assumptions!$C$16*$K424+Assumptions!$C$6*Assumptions!$C$9*(1+Assumptions!$C$12)^5</f>
        <v>863.8723873</v>
      </c>
      <c r="Q424" s="139">
        <f>($L424*(1-(Assumptions!$C$25+0.06*(1-1))-Assumptions!$C$27)-Assumptions!$C$28)-MAX(0,($L424*(1-(Assumptions!$C$25+0.06*(1-1))-Assumptions!$C$27)-Assumptions!$C$28)*Assumptions!$C$31)+Assumptions!$C$28-Assumptions!$C$29-$L424*Assumptions!$C$30</f>
        <v>92.90858196</v>
      </c>
      <c r="R424" s="139">
        <f>($M424*(1-(Assumptions!$C$25+0.06*(1-$H424))-Assumptions!$C$27)-Assumptions!$C$28)-MAX(0,($M424*(1-(Assumptions!$C$25+0.06*(1-$H424))-Assumptions!$C$27)-Assumptions!$C$28)*Assumptions!$C$31)+Assumptions!$C$28-Assumptions!$C$29-$M424*Assumptions!$C$30</f>
        <v>36.09302247</v>
      </c>
      <c r="S424" s="139">
        <f>($N424*(1-(Assumptions!$C$25+0.06*(1-$I424))-Assumptions!$C$27)-Assumptions!$C$28)-MAX(0,($N424*(1-(Assumptions!$C$25+0.06*(1-$I424))-Assumptions!$C$27)-Assumptions!$C$28)*Assumptions!$C$31)+Assumptions!$C$28-Assumptions!$C$29-$N424*Assumptions!$C$30</f>
        <v>38.29277133</v>
      </c>
      <c r="T424" s="139">
        <f>($O424*(1-(Assumptions!$C$25+0.06*(1-$J424))-Assumptions!$C$27)-Assumptions!$C$28)-MAX(0,($O424*(1-(Assumptions!$C$25+0.06*(1-$J424))-Assumptions!$C$27)-Assumptions!$C$28)*Assumptions!$C$31)+Assumptions!$C$28-Assumptions!$C$29-$O424*Assumptions!$C$30</f>
        <v>111.4366284</v>
      </c>
      <c r="U424" s="139">
        <f>($P424*(1-(Assumptions!$C$25+0.06*(1-$K424))-Assumptions!$C$27)-Assumptions!$C$28)-MAX(0,($P424*(1-(Assumptions!$C$25+0.06*(1-$K424))-Assumptions!$C$27)-Assumptions!$C$28)*Assumptions!$C$31)+Assumptions!$C$28-Assumptions!$C$29-$P424*Assumptions!$C$30</f>
        <v>118.2325633</v>
      </c>
      <c r="V424" s="143">
        <f>(($Q424/(1+$D424)^1+$R424/(1+$D424)^2+$S424/(1+$D424)^3+$T424/(1+$D424)^4+$U424/(1+$D424)^5+$U424*(1+$E424)/($D424-$E424)/(1+$D424)^5)-Assumptions!$C$37)/Assumptions!$C$40/Assumptions!$C$38</f>
        <v>3.474129825</v>
      </c>
    </row>
    <row r="425" ht="12.0" customHeight="1">
      <c r="B425" s="139">
        <v>373.0</v>
      </c>
      <c r="C425" s="140">
        <f t="shared" si="6"/>
        <v>0.7407348558</v>
      </c>
      <c r="D425" s="141">
        <f t="shared" si="7"/>
        <v>0.1029398281</v>
      </c>
      <c r="E425" s="141">
        <f t="shared" si="8"/>
        <v>0.01739863558</v>
      </c>
      <c r="F425" s="140">
        <f t="shared" si="9"/>
        <v>0.7074761164</v>
      </c>
      <c r="G425" s="141">
        <f t="shared" si="10"/>
        <v>0.06705347542</v>
      </c>
      <c r="H425" s="142">
        <f t="shared" si="11"/>
        <v>1</v>
      </c>
      <c r="I425" s="142">
        <f t="shared" si="12"/>
        <v>0</v>
      </c>
      <c r="J425" s="142">
        <f t="shared" si="13"/>
        <v>1</v>
      </c>
      <c r="K425" s="142">
        <f t="shared" si="14"/>
        <v>0</v>
      </c>
      <c r="L425" s="139">
        <f>Assumptions!$C$6*Assumptions!$C$7*(1+$G425-0.05*(1-1))^1+Assumptions!$C$6*Assumptions!$C$8*(1+Assumptions!$C$11)^1+Assumptions!$C$16*1+Assumptions!$C$6*Assumptions!$C$9*(1+Assumptions!$C$12)^1</f>
        <v>749.0381998</v>
      </c>
      <c r="M425" s="139">
        <f>Assumptions!$C$6*Assumptions!$C$7*(1+$G425-0.05*(1-$H425))^2+Assumptions!$C$6*Assumptions!$C$8*(1+Assumptions!$C$11)^2+Assumptions!$C$16*$H425+Assumptions!$C$6*Assumptions!$C$9*(1+Assumptions!$C$12)^2</f>
        <v>779.71917</v>
      </c>
      <c r="N425" s="139">
        <f>Assumptions!$C$6*Assumptions!$C$7*(1+$G425-0.05*(1-$I425))^3+Assumptions!$C$6*Assumptions!$C$8*(1+Assumptions!$C$11)^3+Assumptions!$C$16*$I425+Assumptions!$C$6*Assumptions!$C$9*(1+Assumptions!$C$12)^3</f>
        <v>697.3106071</v>
      </c>
      <c r="O425" s="139">
        <f>Assumptions!$C$6*Assumptions!$C$7*(1+$G425-0.05*(1-$J425))^4+Assumptions!$C$6*Assumptions!$C$8*(1+Assumptions!$C$11)^4+Assumptions!$C$16*$J425+Assumptions!$C$6*Assumptions!$C$9*(1+Assumptions!$C$12)^4</f>
        <v>846.4325441</v>
      </c>
      <c r="P425" s="139">
        <f>Assumptions!$C$6*Assumptions!$C$7*(1+$G425-0.05*(1-$K425))^5+Assumptions!$C$6*Assumptions!$C$8*(1+Assumptions!$C$11)^5+Assumptions!$C$16*$K425+Assumptions!$C$6*Assumptions!$C$9*(1+Assumptions!$C$12)^5</f>
        <v>723.356471</v>
      </c>
      <c r="Q425" s="139">
        <f>($L425*(1-(Assumptions!$C$25+0.06*(1-1))-Assumptions!$C$27)-Assumptions!$C$28)-MAX(0,($L425*(1-(Assumptions!$C$25+0.06*(1-1))-Assumptions!$C$27)-Assumptions!$C$28)*Assumptions!$C$31)+Assumptions!$C$28-Assumptions!$C$29-$L425*Assumptions!$C$30</f>
        <v>93.54321296</v>
      </c>
      <c r="R425" s="139">
        <f>($M425*(1-(Assumptions!$C$25+0.06*(1-$H425))-Assumptions!$C$27)-Assumptions!$C$28)-MAX(0,($M425*(1-(Assumptions!$C$25+0.06*(1-$H425))-Assumptions!$C$27)-Assumptions!$C$28)*Assumptions!$C$31)+Assumptions!$C$28-Assumptions!$C$29-$M425*Assumptions!$C$30</f>
        <v>100.1396215</v>
      </c>
      <c r="S425" s="139">
        <f>($N425*(1-(Assumptions!$C$25+0.06*(1-$I425))-Assumptions!$C$27)-Assumptions!$C$28)-MAX(0,($N425*(1-(Assumptions!$C$25+0.06*(1-$I425))-Assumptions!$C$27)-Assumptions!$C$28)*Assumptions!$C$31)+Assumptions!$C$28-Assumptions!$C$29-$N425*Assumptions!$C$30</f>
        <v>40.38143964</v>
      </c>
      <c r="T425" s="139">
        <f>($O425*(1-(Assumptions!$C$25+0.06*(1-$J425))-Assumptions!$C$27)-Assumptions!$C$28)-MAX(0,($O425*(1-(Assumptions!$C$25+0.06*(1-$J425))-Assumptions!$C$27)-Assumptions!$C$28)*Assumptions!$C$31)+Assumptions!$C$28-Assumptions!$C$29-$O425*Assumptions!$C$30</f>
        <v>114.482997</v>
      </c>
      <c r="U425" s="139">
        <f>($P425*(1-(Assumptions!$C$25+0.06*(1-$K425))-Assumptions!$C$27)-Assumptions!$C$28)-MAX(0,($P425*(1-(Assumptions!$C$25+0.06*(1-$K425))-Assumptions!$C$27)-Assumptions!$C$28)*Assumptions!$C$31)+Assumptions!$C$28-Assumptions!$C$29-$P425*Assumptions!$C$30</f>
        <v>46.37198833</v>
      </c>
      <c r="V425" s="143">
        <f>(($Q425/(1+$D425)^1+$R425/(1+$D425)^2+$S425/(1+$D425)^3+$T425/(1+$D425)^4+$U425/(1+$D425)^5+$U425*(1+$E425)/($D425-$E425)/(1+$D425)^5)-Assumptions!$C$37)/Assumptions!$C$40/Assumptions!$C$38</f>
        <v>-0.3962628563</v>
      </c>
    </row>
    <row r="426" ht="12.0" customHeight="1">
      <c r="B426" s="139">
        <v>374.0</v>
      </c>
      <c r="C426" s="140">
        <f t="shared" si="6"/>
        <v>0.6799257697</v>
      </c>
      <c r="D426" s="141">
        <f t="shared" si="7"/>
        <v>0.1015999387</v>
      </c>
      <c r="E426" s="141">
        <f t="shared" si="8"/>
        <v>0.02812774127</v>
      </c>
      <c r="F426" s="140">
        <f t="shared" si="9"/>
        <v>0.7688119677</v>
      </c>
      <c r="G426" s="141">
        <f t="shared" si="10"/>
        <v>0.06960052799</v>
      </c>
      <c r="H426" s="142">
        <f t="shared" si="11"/>
        <v>1</v>
      </c>
      <c r="I426" s="142">
        <f t="shared" si="12"/>
        <v>0</v>
      </c>
      <c r="J426" s="142">
        <f t="shared" si="13"/>
        <v>1</v>
      </c>
      <c r="K426" s="142">
        <f t="shared" si="14"/>
        <v>1</v>
      </c>
      <c r="L426" s="139">
        <f>Assumptions!$C$6*Assumptions!$C$7*(1+$G426-0.05*(1-1))^1+Assumptions!$C$6*Assumptions!$C$8*(1+Assumptions!$C$11)^1+Assumptions!$C$16*1+Assumptions!$C$6*Assumptions!$C$9*(1+Assumptions!$C$12)^1</f>
        <v>749.8955377</v>
      </c>
      <c r="M426" s="139">
        <f>Assumptions!$C$6*Assumptions!$C$7*(1+$G426-0.05*(1-$H426))^2+Assumptions!$C$6*Assumptions!$C$8*(1+Assumptions!$C$11)^2+Assumptions!$C$16*$H426+Assumptions!$C$6*Assumptions!$C$9*(1+Assumptions!$C$12)^2</f>
        <v>781.5510044</v>
      </c>
      <c r="N426" s="139">
        <f>Assumptions!$C$6*Assumptions!$C$7*(1+$G426-0.05*(1-$I426))^3+Assumptions!$C$6*Assumptions!$C$8*(1+Assumptions!$C$11)^3+Assumptions!$C$16*$I426+Assumptions!$C$6*Assumptions!$C$9*(1+Assumptions!$C$12)^3</f>
        <v>699.9777607</v>
      </c>
      <c r="O426" s="139">
        <f>Assumptions!$C$6*Assumptions!$C$7*(1+$G426-0.05*(1-$J426))^4+Assumptions!$C$6*Assumptions!$C$8*(1+Assumptions!$C$11)^4+Assumptions!$C$16*$J426+Assumptions!$C$6*Assumptions!$C$9*(1+Assumptions!$C$12)^4</f>
        <v>850.6139781</v>
      </c>
      <c r="P426" s="139">
        <f>Assumptions!$C$6*Assumptions!$C$7*(1+$G426-0.05*(1-$K426))^5+Assumptions!$C$6*Assumptions!$C$8*(1+Assumptions!$C$11)^5+Assumptions!$C$16*$K426+Assumptions!$C$6*Assumptions!$C$9*(1+Assumptions!$C$12)^5</f>
        <v>888.278039</v>
      </c>
      <c r="Q426" s="139">
        <f>($L426*(1-(Assumptions!$C$25+0.06*(1-1))-Assumptions!$C$27)-Assumptions!$C$28)-MAX(0,($L426*(1-(Assumptions!$C$25+0.06*(1-1))-Assumptions!$C$27)-Assumptions!$C$28)*Assumptions!$C$31)+Assumptions!$C$28-Assumptions!$C$29-$L426*Assumptions!$C$30</f>
        <v>93.72754061</v>
      </c>
      <c r="R426" s="139">
        <f>($M426*(1-(Assumptions!$C$25+0.06*(1-$H426))-Assumptions!$C$27)-Assumptions!$C$28)-MAX(0,($M426*(1-(Assumptions!$C$25+0.06*(1-$H426))-Assumptions!$C$27)-Assumptions!$C$28)*Assumptions!$C$31)+Assumptions!$C$28-Assumptions!$C$29-$M426*Assumptions!$C$30</f>
        <v>100.533466</v>
      </c>
      <c r="S426" s="139">
        <f>($N426*(1-(Assumptions!$C$25+0.06*(1-$I426))-Assumptions!$C$27)-Assumptions!$C$28)-MAX(0,($N426*(1-(Assumptions!$C$25+0.06*(1-$I426))-Assumptions!$C$27)-Assumptions!$C$28)*Assumptions!$C$31)+Assumptions!$C$28-Assumptions!$C$29-$N426*Assumptions!$C$30</f>
        <v>40.99488496</v>
      </c>
      <c r="T426" s="139">
        <f>($O426*(1-(Assumptions!$C$25+0.06*(1-$J426))-Assumptions!$C$27)-Assumptions!$C$28)-MAX(0,($O426*(1-(Assumptions!$C$25+0.06*(1-$J426))-Assumptions!$C$27)-Assumptions!$C$28)*Assumptions!$C$31)+Assumptions!$C$28-Assumptions!$C$29-$O426*Assumptions!$C$30</f>
        <v>115.3820053</v>
      </c>
      <c r="U426" s="139">
        <f>($P426*(1-(Assumptions!$C$25+0.06*(1-$K426))-Assumptions!$C$27)-Assumptions!$C$28)-MAX(0,($P426*(1-(Assumptions!$C$25+0.06*(1-$K426))-Assumptions!$C$27)-Assumptions!$C$28)*Assumptions!$C$31)+Assumptions!$C$28-Assumptions!$C$29-$P426*Assumptions!$C$30</f>
        <v>123.4797784</v>
      </c>
      <c r="V426" s="143">
        <f>(($Q426/(1+$D426)^1+$R426/(1+$D426)^2+$S426/(1+$D426)^3+$T426/(1+$D426)^4+$U426/(1+$D426)^5+$U426*(1+$E426)/($D426-$E426)/(1+$D426)^5)-Assumptions!$C$37)/Assumptions!$C$40/Assumptions!$C$38</f>
        <v>5.669460694</v>
      </c>
    </row>
    <row r="427" ht="12.0" customHeight="1">
      <c r="B427" s="139">
        <v>375.0</v>
      </c>
      <c r="C427" s="140">
        <f t="shared" si="6"/>
        <v>0.7093266105</v>
      </c>
      <c r="D427" s="141">
        <f t="shared" si="7"/>
        <v>0.1022302008</v>
      </c>
      <c r="E427" s="141">
        <f t="shared" si="8"/>
        <v>0.02756183201</v>
      </c>
      <c r="F427" s="140">
        <f t="shared" si="9"/>
        <v>0.00250670288</v>
      </c>
      <c r="G427" s="141">
        <f t="shared" si="10"/>
        <v>0.03212416223</v>
      </c>
      <c r="H427" s="142">
        <f t="shared" si="11"/>
        <v>1</v>
      </c>
      <c r="I427" s="142">
        <f t="shared" si="12"/>
        <v>0</v>
      </c>
      <c r="J427" s="142">
        <f t="shared" si="13"/>
        <v>1</v>
      </c>
      <c r="K427" s="142">
        <f t="shared" si="14"/>
        <v>0</v>
      </c>
      <c r="L427" s="139">
        <f>Assumptions!$C$6*Assumptions!$C$7*(1+$G427-0.05*(1-1))^1+Assumptions!$C$6*Assumptions!$C$8*(1+Assumptions!$C$11)^1+Assumptions!$C$16*1+Assumptions!$C$6*Assumptions!$C$9*(1+Assumptions!$C$12)^1</f>
        <v>737.280993</v>
      </c>
      <c r="M427" s="139">
        <f>Assumptions!$C$6*Assumptions!$C$7*(1+$G427-0.05*(1-$H427))^2+Assumptions!$C$6*Assumptions!$C$8*(1+Assumptions!$C$11)^2+Assumptions!$C$16*$H427+Assumptions!$C$6*Assumptions!$C$9*(1+Assumptions!$C$12)^2</f>
        <v>755.0387044</v>
      </c>
      <c r="N427" s="139">
        <f>Assumptions!$C$6*Assumptions!$C$7*(1+$G427-0.05*(1-$I427))^3+Assumptions!$C$6*Assumptions!$C$8*(1+Assumptions!$C$11)^3+Assumptions!$C$16*$I427+Assumptions!$C$6*Assumptions!$C$9*(1+Assumptions!$C$12)^3</f>
        <v>662.0644006</v>
      </c>
      <c r="O427" s="139">
        <f>Assumptions!$C$6*Assumptions!$C$7*(1+$G427-0.05*(1-$J427))^4+Assumptions!$C$6*Assumptions!$C$8*(1+Assumptions!$C$11)^4+Assumptions!$C$16*$J427+Assumptions!$C$6*Assumptions!$C$9*(1+Assumptions!$C$12)^4</f>
        <v>792.0396755</v>
      </c>
      <c r="P427" s="139">
        <f>Assumptions!$C$6*Assumptions!$C$7*(1+$G427-0.05*(1-$K427))^5+Assumptions!$C$6*Assumptions!$C$8*(1+Assumptions!$C$11)^5+Assumptions!$C$16*$K427+Assumptions!$C$6*Assumptions!$C$9*(1+Assumptions!$C$12)^5</f>
        <v>664.6312314</v>
      </c>
      <c r="Q427" s="139">
        <f>($L427*(1-(Assumptions!$C$25+0.06*(1-1))-Assumptions!$C$27)-Assumptions!$C$28)-MAX(0,($L427*(1-(Assumptions!$C$25+0.06*(1-1))-Assumptions!$C$27)-Assumptions!$C$28)*Assumptions!$C$31)+Assumptions!$C$28-Assumptions!$C$29-$L427*Assumptions!$C$30</f>
        <v>91.0154135</v>
      </c>
      <c r="R427" s="139">
        <f>($M427*(1-(Assumptions!$C$25+0.06*(1-$H427))-Assumptions!$C$27)-Assumptions!$C$28)-MAX(0,($M427*(1-(Assumptions!$C$25+0.06*(1-$H427))-Assumptions!$C$27)-Assumptions!$C$28)*Assumptions!$C$31)+Assumptions!$C$28-Assumptions!$C$29-$M427*Assumptions!$C$30</f>
        <v>94.83332144</v>
      </c>
      <c r="S427" s="139">
        <f>($N427*(1-(Assumptions!$C$25+0.06*(1-$I427))-Assumptions!$C$27)-Assumptions!$C$28)-MAX(0,($N427*(1-(Assumptions!$C$25+0.06*(1-$I427))-Assumptions!$C$27)-Assumptions!$C$28)*Assumptions!$C$31)+Assumptions!$C$28-Assumptions!$C$29-$N427*Assumptions!$C$30</f>
        <v>32.27481215</v>
      </c>
      <c r="T427" s="139">
        <f>($O427*(1-(Assumptions!$C$25+0.06*(1-$J427))-Assumptions!$C$27)-Assumptions!$C$28)-MAX(0,($O427*(1-(Assumptions!$C$25+0.06*(1-$J427))-Assumptions!$C$27)-Assumptions!$C$28)*Assumptions!$C$31)+Assumptions!$C$28-Assumptions!$C$29-$O427*Assumptions!$C$30</f>
        <v>102.7885302</v>
      </c>
      <c r="U427" s="139">
        <f>($P427*(1-(Assumptions!$C$25+0.06*(1-$K427))-Assumptions!$C$27)-Assumptions!$C$28)-MAX(0,($P427*(1-(Assumptions!$C$25+0.06*(1-$K427))-Assumptions!$C$27)-Assumptions!$C$28)*Assumptions!$C$31)+Assumptions!$C$28-Assumptions!$C$29-$P427*Assumptions!$C$30</f>
        <v>32.86518321</v>
      </c>
      <c r="V427" s="143">
        <f>(($Q427/(1+$D427)^1+$R427/(1+$D427)^2+$S427/(1+$D427)^3+$T427/(1+$D427)^4+$U427/(1+$D427)^5+$U427*(1+$E427)/($D427-$E427)/(1+$D427)^5)-Assumptions!$C$37)/Assumptions!$C$40/Assumptions!$C$38</f>
        <v>-1.085730205</v>
      </c>
    </row>
    <row r="428" ht="12.0" customHeight="1">
      <c r="B428" s="139">
        <v>376.0</v>
      </c>
      <c r="C428" s="140">
        <f t="shared" si="6"/>
        <v>0.3358638303</v>
      </c>
      <c r="D428" s="141">
        <f t="shared" si="7"/>
        <v>0.09567041885</v>
      </c>
      <c r="E428" s="141">
        <f t="shared" si="8"/>
        <v>0.0101958939</v>
      </c>
      <c r="F428" s="140">
        <f t="shared" si="9"/>
        <v>0.8202755018</v>
      </c>
      <c r="G428" s="141">
        <f t="shared" si="10"/>
        <v>0.07201378037</v>
      </c>
      <c r="H428" s="142">
        <f t="shared" si="11"/>
        <v>0</v>
      </c>
      <c r="I428" s="142">
        <f t="shared" si="12"/>
        <v>1</v>
      </c>
      <c r="J428" s="142">
        <f t="shared" si="13"/>
        <v>1</v>
      </c>
      <c r="K428" s="142">
        <f t="shared" si="14"/>
        <v>1</v>
      </c>
      <c r="L428" s="139">
        <f>Assumptions!$C$6*Assumptions!$C$7*(1+$G428-0.05*(1-1))^1+Assumptions!$C$6*Assumptions!$C$8*(1+Assumptions!$C$11)^1+Assumptions!$C$16*1+Assumptions!$C$6*Assumptions!$C$9*(1+Assumptions!$C$12)^1</f>
        <v>750.7078385</v>
      </c>
      <c r="M428" s="139">
        <f>Assumptions!$C$6*Assumptions!$C$7*(1+$G428-0.05*(1-$H428))^2+Assumptions!$C$6*Assumptions!$C$8*(1+Assumptions!$C$11)^2+Assumptions!$C$16*$H428+Assumptions!$C$6*Assumptions!$C$9*(1+Assumptions!$C$12)^2</f>
        <v>688.0481555</v>
      </c>
      <c r="N428" s="139">
        <f>Assumptions!$C$6*Assumptions!$C$7*(1+$G428-0.05*(1-$I428))^3+Assumptions!$C$6*Assumptions!$C$8*(1+Assumptions!$C$11)^3+Assumptions!$C$16*$I428+Assumptions!$C$6*Assumptions!$C$9*(1+Assumptions!$C$12)^3</f>
        <v>817.8766973</v>
      </c>
      <c r="O428" s="139">
        <f>Assumptions!$C$6*Assumptions!$C$7*(1+$G428-0.05*(1-$J428))^4+Assumptions!$C$6*Assumptions!$C$8*(1+Assumptions!$C$11)^4+Assumptions!$C$16*$J428+Assumptions!$C$6*Assumptions!$C$9*(1+Assumptions!$C$12)^4</f>
        <v>854.6034112</v>
      </c>
      <c r="P428" s="139">
        <f>Assumptions!$C$6*Assumptions!$C$7*(1+$G428-0.05*(1-$K428))^5+Assumptions!$C$6*Assumptions!$C$8*(1+Assumptions!$C$11)^5+Assumptions!$C$16*$K428+Assumptions!$C$6*Assumptions!$C$9*(1+Assumptions!$C$12)^5</f>
        <v>893.6179377</v>
      </c>
      <c r="Q428" s="139">
        <f>($L428*(1-(Assumptions!$C$25+0.06*(1-1))-Assumptions!$C$27)-Assumptions!$C$28)-MAX(0,($L428*(1-(Assumptions!$C$25+0.06*(1-1))-Assumptions!$C$27)-Assumptions!$C$28)*Assumptions!$C$31)+Assumptions!$C$28-Assumptions!$C$29-$L428*Assumptions!$C$30</f>
        <v>93.90218527</v>
      </c>
      <c r="R428" s="139">
        <f>($M428*(1-(Assumptions!$C$25+0.06*(1-$H428))-Assumptions!$C$27)-Assumptions!$C$28)-MAX(0,($M428*(1-(Assumptions!$C$25+0.06*(1-$H428))-Assumptions!$C$27)-Assumptions!$C$28)*Assumptions!$C$31)+Assumptions!$C$28-Assumptions!$C$29-$M428*Assumptions!$C$30</f>
        <v>38.25107576</v>
      </c>
      <c r="S428" s="139">
        <f>($N428*(1-(Assumptions!$C$25+0.06*(1-$I428))-Assumptions!$C$27)-Assumptions!$C$28)-MAX(0,($N428*(1-(Assumptions!$C$25+0.06*(1-$I428))-Assumptions!$C$27)-Assumptions!$C$28)*Assumptions!$C$31)+Assumptions!$C$28-Assumptions!$C$29-$N428*Assumptions!$C$30</f>
        <v>108.3434899</v>
      </c>
      <c r="T428" s="139">
        <f>($O428*(1-(Assumptions!$C$25+0.06*(1-$J428))-Assumptions!$C$27)-Assumptions!$C$28)-MAX(0,($O428*(1-(Assumptions!$C$25+0.06*(1-$J428))-Assumptions!$C$27)-Assumptions!$C$28)*Assumptions!$C$31)+Assumptions!$C$28-Assumptions!$C$29-$O428*Assumptions!$C$30</f>
        <v>116.2397334</v>
      </c>
      <c r="U428" s="139">
        <f>($P428*(1-(Assumptions!$C$25+0.06*(1-$K428))-Assumptions!$C$27)-Assumptions!$C$28)-MAX(0,($P428*(1-(Assumptions!$C$25+0.06*(1-$K428))-Assumptions!$C$27)-Assumptions!$C$28)*Assumptions!$C$31)+Assumptions!$C$28-Assumptions!$C$29-$P428*Assumptions!$C$30</f>
        <v>124.6278566</v>
      </c>
      <c r="V428" s="143">
        <f>(($Q428/(1+$D428)^1+$R428/(1+$D428)^2+$S428/(1+$D428)^3+$T428/(1+$D428)^4+$U428/(1+$D428)^5+$U428*(1+$E428)/($D428-$E428)/(1+$D428)^5)-Assumptions!$C$37)/Assumptions!$C$40/Assumptions!$C$38</f>
        <v>4.68711099</v>
      </c>
    </row>
    <row r="429" ht="12.0" customHeight="1">
      <c r="B429" s="139">
        <v>377.0</v>
      </c>
      <c r="C429" s="140">
        <f t="shared" si="6"/>
        <v>0.729269805</v>
      </c>
      <c r="D429" s="141">
        <f t="shared" si="7"/>
        <v>0.1026760542</v>
      </c>
      <c r="E429" s="141">
        <f t="shared" si="8"/>
        <v>0.01478978479</v>
      </c>
      <c r="F429" s="140">
        <f t="shared" si="9"/>
        <v>0.2840659561</v>
      </c>
      <c r="G429" s="141">
        <f t="shared" si="10"/>
        <v>0.05261235771</v>
      </c>
      <c r="H429" s="142">
        <f t="shared" si="11"/>
        <v>1</v>
      </c>
      <c r="I429" s="142">
        <f t="shared" si="12"/>
        <v>1</v>
      </c>
      <c r="J429" s="142">
        <f t="shared" si="13"/>
        <v>0</v>
      </c>
      <c r="K429" s="142">
        <f t="shared" si="14"/>
        <v>0</v>
      </c>
      <c r="L429" s="139">
        <f>Assumptions!$C$6*Assumptions!$C$7*(1+$G429-0.05*(1-1))^1+Assumptions!$C$6*Assumptions!$C$8*(1+Assumptions!$C$11)^1+Assumptions!$C$16*1+Assumptions!$C$6*Assumptions!$C$9*(1+Assumptions!$C$12)^1</f>
        <v>744.1773196</v>
      </c>
      <c r="M429" s="139">
        <f>Assumptions!$C$6*Assumptions!$C$7*(1+$G429-0.05*(1-$H429))^2+Assumptions!$C$6*Assumptions!$C$8*(1+Assumptions!$C$11)^2+Assumptions!$C$16*$H429+Assumptions!$C$6*Assumptions!$C$9*(1+Assumptions!$C$12)^2</f>
        <v>769.4157283</v>
      </c>
      <c r="N429" s="139">
        <f>Assumptions!$C$6*Assumptions!$C$7*(1+$G429-0.05*(1-$I429))^3+Assumptions!$C$6*Assumptions!$C$8*(1+Assumptions!$C$11)^3+Assumptions!$C$16*$I429+Assumptions!$C$6*Assumptions!$C$9*(1+Assumptions!$C$12)^3</f>
        <v>795.7668336</v>
      </c>
      <c r="O429" s="139">
        <f>Assumptions!$C$6*Assumptions!$C$7*(1+$G429-0.05*(1-$J429))^4+Assumptions!$C$6*Assumptions!$C$8*(1+Assumptions!$C$11)^4+Assumptions!$C$16*$J429+Assumptions!$C$6*Assumptions!$C$9*(1+Assumptions!$C$12)^4</f>
        <v>690.1896456</v>
      </c>
      <c r="P429" s="139">
        <f>Assumptions!$C$6*Assumptions!$C$7*(1+$G429-0.05*(1-$K429))^5+Assumptions!$C$6*Assumptions!$C$8*(1+Assumptions!$C$11)^5+Assumptions!$C$16*$K429+Assumptions!$C$6*Assumptions!$C$9*(1+Assumptions!$C$12)^5</f>
        <v>698.0793608</v>
      </c>
      <c r="Q429" s="139">
        <f>($L429*(1-(Assumptions!$C$25+0.06*(1-1))-Assumptions!$C$27)-Assumptions!$C$28)-MAX(0,($L429*(1-(Assumptions!$C$25+0.06*(1-1))-Assumptions!$C$27)-Assumptions!$C$28)*Assumptions!$C$31)+Assumptions!$C$28-Assumptions!$C$29-$L429*Assumptions!$C$30</f>
        <v>92.49812371</v>
      </c>
      <c r="R429" s="139">
        <f>($M429*(1-(Assumptions!$C$25+0.06*(1-$H429))-Assumptions!$C$27)-Assumptions!$C$28)-MAX(0,($M429*(1-(Assumptions!$C$25+0.06*(1-$H429))-Assumptions!$C$27)-Assumptions!$C$28)*Assumptions!$C$31)+Assumptions!$C$28-Assumptions!$C$29-$M429*Assumptions!$C$30</f>
        <v>97.92438158</v>
      </c>
      <c r="S429" s="139">
        <f>($N429*(1-(Assumptions!$C$25+0.06*(1-$I429))-Assumptions!$C$27)-Assumptions!$C$28)-MAX(0,($N429*(1-(Assumptions!$C$25+0.06*(1-$I429))-Assumptions!$C$27)-Assumptions!$C$28)*Assumptions!$C$31)+Assumptions!$C$28-Assumptions!$C$29-$N429*Assumptions!$C$30</f>
        <v>103.5898692</v>
      </c>
      <c r="T429" s="139">
        <f>($O429*(1-(Assumptions!$C$25+0.06*(1-$J429))-Assumptions!$C$27)-Assumptions!$C$28)-MAX(0,($O429*(1-(Assumptions!$C$25+0.06*(1-$J429))-Assumptions!$C$27)-Assumptions!$C$28)*Assumptions!$C$31)+Assumptions!$C$28-Assumptions!$C$29-$O429*Assumptions!$C$30</f>
        <v>38.74361848</v>
      </c>
      <c r="U429" s="139">
        <f>($P429*(1-(Assumptions!$C$25+0.06*(1-$K429))-Assumptions!$C$27)-Assumptions!$C$28)-MAX(0,($P429*(1-(Assumptions!$C$25+0.06*(1-$K429))-Assumptions!$C$27)-Assumptions!$C$28)*Assumptions!$C$31)+Assumptions!$C$28-Assumptions!$C$29-$P429*Assumptions!$C$30</f>
        <v>40.55825299</v>
      </c>
      <c r="V429" s="143">
        <f>(($Q429/(1+$D429)^1+$R429/(1+$D429)^2+$S429/(1+$D429)^3+$T429/(1+$D429)^4+$U429/(1+$D429)^5+$U429*(1+$E429)/($D429-$E429)/(1+$D429)^5)-Assumptions!$C$37)/Assumptions!$C$40/Assumptions!$C$38</f>
        <v>-0.8713589715</v>
      </c>
    </row>
    <row r="430" ht="12.0" customHeight="1">
      <c r="B430" s="139">
        <v>378.0</v>
      </c>
      <c r="C430" s="140">
        <f t="shared" si="6"/>
        <v>0.006331657518</v>
      </c>
      <c r="D430" s="141">
        <f t="shared" si="7"/>
        <v>0.08646507061</v>
      </c>
      <c r="E430" s="141">
        <f t="shared" si="8"/>
        <v>0.01376386132</v>
      </c>
      <c r="F430" s="140">
        <f t="shared" si="9"/>
        <v>0.8777208596</v>
      </c>
      <c r="G430" s="141">
        <f t="shared" si="10"/>
        <v>0.07516414975</v>
      </c>
      <c r="H430" s="142">
        <f t="shared" si="11"/>
        <v>0</v>
      </c>
      <c r="I430" s="142">
        <f t="shared" si="12"/>
        <v>0</v>
      </c>
      <c r="J430" s="142">
        <f t="shared" si="13"/>
        <v>0</v>
      </c>
      <c r="K430" s="142">
        <f t="shared" si="14"/>
        <v>0</v>
      </c>
      <c r="L430" s="139">
        <f>Assumptions!$C$6*Assumptions!$C$7*(1+$G430-0.05*(1-1))^1+Assumptions!$C$6*Assumptions!$C$8*(1+Assumptions!$C$11)^1+Assumptions!$C$16*1+Assumptions!$C$6*Assumptions!$C$9*(1+Assumptions!$C$12)^1</f>
        <v>751.7682528</v>
      </c>
      <c r="M430" s="139">
        <f>Assumptions!$C$6*Assumptions!$C$7*(1+$G430-0.05*(1-$H430))^2+Assumptions!$C$6*Assumptions!$C$8*(1+Assumptions!$C$11)^2+Assumptions!$C$16*$H430+Assumptions!$C$6*Assumptions!$C$9*(1+Assumptions!$C$12)^2</f>
        <v>690.2190123</v>
      </c>
      <c r="N430" s="139">
        <f>Assumptions!$C$6*Assumptions!$C$7*(1+$G430-0.05*(1-$I430))^3+Assumptions!$C$6*Assumptions!$C$8*(1+Assumptions!$C$11)^3+Assumptions!$C$16*$I430+Assumptions!$C$6*Assumptions!$C$9*(1+Assumptions!$C$12)^3</f>
        <v>705.8502294</v>
      </c>
      <c r="O430" s="139">
        <f>Assumptions!$C$6*Assumptions!$C$7*(1+$G430-0.05*(1-$J430))^4+Assumptions!$C$6*Assumptions!$C$8*(1+Assumptions!$C$11)^4+Assumptions!$C$16*$J430+Assumptions!$C$6*Assumptions!$C$9*(1+Assumptions!$C$12)^4</f>
        <v>721.8400416</v>
      </c>
      <c r="P430" s="139">
        <f>Assumptions!$C$6*Assumptions!$C$7*(1+$G430-0.05*(1-$K430))^5+Assumptions!$C$6*Assumptions!$C$8*(1+Assumptions!$C$11)^5+Assumptions!$C$16*$K430+Assumptions!$C$6*Assumptions!$C$9*(1+Assumptions!$C$12)^5</f>
        <v>738.1967777</v>
      </c>
      <c r="Q430" s="139">
        <f>($L430*(1-(Assumptions!$C$25+0.06*(1-1))-Assumptions!$C$27)-Assumptions!$C$28)-MAX(0,($L430*(1-(Assumptions!$C$25+0.06*(1-1))-Assumptions!$C$27)-Assumptions!$C$28)*Assumptions!$C$31)+Assumptions!$C$28-Assumptions!$C$29-$L430*Assumptions!$C$30</f>
        <v>94.13017435</v>
      </c>
      <c r="R430" s="139">
        <f>($M430*(1-(Assumptions!$C$25+0.06*(1-$H430))-Assumptions!$C$27)-Assumptions!$C$28)-MAX(0,($M430*(1-(Assumptions!$C$25+0.06*(1-$H430))-Assumptions!$C$27)-Assumptions!$C$28)*Assumptions!$C$31)+Assumptions!$C$28-Assumptions!$C$29-$M430*Assumptions!$C$30</f>
        <v>38.75037283</v>
      </c>
      <c r="S430" s="139">
        <f>($N430*(1-(Assumptions!$C$25+0.06*(1-$I430))-Assumptions!$C$27)-Assumptions!$C$28)-MAX(0,($N430*(1-(Assumptions!$C$25+0.06*(1-$I430))-Assumptions!$C$27)-Assumptions!$C$28)*Assumptions!$C$31)+Assumptions!$C$28-Assumptions!$C$29-$N430*Assumptions!$C$30</f>
        <v>42.34555276</v>
      </c>
      <c r="T430" s="139">
        <f>($O430*(1-(Assumptions!$C$25+0.06*(1-$J430))-Assumptions!$C$27)-Assumptions!$C$28)-MAX(0,($O430*(1-(Assumptions!$C$25+0.06*(1-$J430))-Assumptions!$C$27)-Assumptions!$C$28)*Assumptions!$C$31)+Assumptions!$C$28-Assumptions!$C$29-$O430*Assumptions!$C$30</f>
        <v>46.02320957</v>
      </c>
      <c r="U430" s="139">
        <f>($P430*(1-(Assumptions!$C$25+0.06*(1-$K430))-Assumptions!$C$27)-Assumptions!$C$28)-MAX(0,($P430*(1-(Assumptions!$C$25+0.06*(1-$K430))-Assumptions!$C$27)-Assumptions!$C$28)*Assumptions!$C$31)+Assumptions!$C$28-Assumptions!$C$29-$P430*Assumptions!$C$30</f>
        <v>49.78525887</v>
      </c>
      <c r="V430" s="143">
        <f>(($Q430/(1+$D430)^1+$R430/(1+$D430)^2+$S430/(1+$D430)^3+$T430/(1+$D430)^4+$U430/(1+$D430)^5+$U430*(1+$E430)/($D430-$E430)/(1+$D430)^5)-Assumptions!$C$37)/Assumptions!$C$40/Assumptions!$C$38</f>
        <v>-0.1148354182</v>
      </c>
    </row>
    <row r="431" ht="12.0" customHeight="1">
      <c r="B431" s="139">
        <v>379.0</v>
      </c>
      <c r="C431" s="140">
        <f t="shared" si="6"/>
        <v>0.8752145258</v>
      </c>
      <c r="D431" s="141">
        <f t="shared" si="7"/>
        <v>0.1066331218</v>
      </c>
      <c r="E431" s="141">
        <f t="shared" si="8"/>
        <v>0.01520907044</v>
      </c>
      <c r="F431" s="140">
        <f t="shared" si="9"/>
        <v>0.8833831909</v>
      </c>
      <c r="G431" s="141">
        <f t="shared" si="10"/>
        <v>0.07551172004</v>
      </c>
      <c r="H431" s="142">
        <f t="shared" si="11"/>
        <v>1</v>
      </c>
      <c r="I431" s="142">
        <f t="shared" si="12"/>
        <v>0</v>
      </c>
      <c r="J431" s="142">
        <f t="shared" si="13"/>
        <v>1</v>
      </c>
      <c r="K431" s="142">
        <f t="shared" si="14"/>
        <v>1</v>
      </c>
      <c r="L431" s="139">
        <f>Assumptions!$C$6*Assumptions!$C$7*(1+$G431-0.05*(1-1))^1+Assumptions!$C$6*Assumptions!$C$8*(1+Assumptions!$C$11)^1+Assumptions!$C$16*1+Assumptions!$C$6*Assumptions!$C$9*(1+Assumptions!$C$12)^1</f>
        <v>751.885245</v>
      </c>
      <c r="M431" s="139">
        <f>Assumptions!$C$6*Assumptions!$C$7*(1+$G431-0.05*(1-$H431))^2+Assumptions!$C$6*Assumptions!$C$8*(1+Assumptions!$C$11)^2+Assumptions!$C$16*$H431+Assumptions!$C$6*Assumptions!$C$9*(1+Assumptions!$C$12)^2</f>
        <v>785.8191498</v>
      </c>
      <c r="N431" s="139">
        <f>Assumptions!$C$6*Assumptions!$C$7*(1+$G431-0.05*(1-$I431))^3+Assumptions!$C$6*Assumptions!$C$8*(1+Assumptions!$C$11)^3+Assumptions!$C$16*$I431+Assumptions!$C$6*Assumptions!$C$9*(1+Assumptions!$C$12)^3</f>
        <v>706.2192173</v>
      </c>
      <c r="O431" s="139">
        <f>Assumptions!$C$6*Assumptions!$C$7*(1+$G431-0.05*(1-$J431))^4+Assumptions!$C$6*Assumptions!$C$8*(1+Assumptions!$C$11)^4+Assumptions!$C$16*$J431+Assumptions!$C$6*Assumptions!$C$9*(1+Assumptions!$C$12)^4</f>
        <v>860.4340021</v>
      </c>
      <c r="P431" s="139">
        <f>Assumptions!$C$6*Assumptions!$C$7*(1+$G431-0.05*(1-$K431))^5+Assumptions!$C$6*Assumptions!$C$8*(1+Assumptions!$C$11)^5+Assumptions!$C$16*$K431+Assumptions!$C$6*Assumptions!$C$9*(1+Assumptions!$C$12)^5</f>
        <v>901.4437976</v>
      </c>
      <c r="Q431" s="139">
        <f>($L431*(1-(Assumptions!$C$25+0.06*(1-1))-Assumptions!$C$27)-Assumptions!$C$28)-MAX(0,($L431*(1-(Assumptions!$C$25+0.06*(1-1))-Assumptions!$C$27)-Assumptions!$C$28)*Assumptions!$C$31)+Assumptions!$C$28-Assumptions!$C$29-$L431*Assumptions!$C$30</f>
        <v>94.15532767</v>
      </c>
      <c r="R431" s="139">
        <f>($M431*(1-(Assumptions!$C$25+0.06*(1-$H431))-Assumptions!$C$27)-Assumptions!$C$28)-MAX(0,($M431*(1-(Assumptions!$C$25+0.06*(1-$H431))-Assumptions!$C$27)-Assumptions!$C$28)*Assumptions!$C$31)+Assumptions!$C$28-Assumptions!$C$29-$M431*Assumptions!$C$30</f>
        <v>101.4511172</v>
      </c>
      <c r="S431" s="139">
        <f>($N431*(1-(Assumptions!$C$25+0.06*(1-$I431))-Assumptions!$C$27)-Assumptions!$C$28)-MAX(0,($N431*(1-(Assumptions!$C$25+0.06*(1-$I431))-Assumptions!$C$27)-Assumptions!$C$28)*Assumptions!$C$31)+Assumptions!$C$28-Assumptions!$C$29-$N431*Assumptions!$C$30</f>
        <v>42.43041997</v>
      </c>
      <c r="T431" s="139">
        <f>($O431*(1-(Assumptions!$C$25+0.06*(1-$J431))-Assumptions!$C$27)-Assumptions!$C$28)-MAX(0,($O431*(1-(Assumptions!$C$25+0.06*(1-$J431))-Assumptions!$C$27)-Assumptions!$C$28)*Assumptions!$C$31)+Assumptions!$C$28-Assumptions!$C$29-$O431*Assumptions!$C$30</f>
        <v>117.4933105</v>
      </c>
      <c r="U431" s="139">
        <f>($P431*(1-(Assumptions!$C$25+0.06*(1-$K431))-Assumptions!$C$27)-Assumptions!$C$28)-MAX(0,($P431*(1-(Assumptions!$C$25+0.06*(1-$K431))-Assumptions!$C$27)-Assumptions!$C$28)*Assumptions!$C$31)+Assumptions!$C$28-Assumptions!$C$29-$P431*Assumptions!$C$30</f>
        <v>126.3104165</v>
      </c>
      <c r="V431" s="143">
        <f>(($Q431/(1+$D431)^1+$R431/(1+$D431)^2+$S431/(1+$D431)^3+$T431/(1+$D431)^4+$U431/(1+$D431)^5+$U431*(1+$E431)/($D431-$E431)/(1+$D431)^5)-Assumptions!$C$37)/Assumptions!$C$40/Assumptions!$C$38</f>
        <v>3.957370328</v>
      </c>
    </row>
    <row r="432" ht="12.0" customHeight="1">
      <c r="B432" s="139">
        <v>380.0</v>
      </c>
      <c r="C432" s="140">
        <f t="shared" si="6"/>
        <v>0.6106975296</v>
      </c>
      <c r="D432" s="141">
        <f t="shared" si="7"/>
        <v>0.1002216819</v>
      </c>
      <c r="E432" s="141">
        <f t="shared" si="8"/>
        <v>0.02146457543</v>
      </c>
      <c r="F432" s="140">
        <f t="shared" si="9"/>
        <v>0.5650429928</v>
      </c>
      <c r="G432" s="141">
        <f t="shared" si="10"/>
        <v>0.06201924567</v>
      </c>
      <c r="H432" s="142">
        <f t="shared" si="11"/>
        <v>0</v>
      </c>
      <c r="I432" s="142">
        <f t="shared" si="12"/>
        <v>1</v>
      </c>
      <c r="J432" s="142">
        <f t="shared" si="13"/>
        <v>0</v>
      </c>
      <c r="K432" s="142">
        <f t="shared" si="14"/>
        <v>1</v>
      </c>
      <c r="L432" s="139">
        <f>Assumptions!$C$6*Assumptions!$C$7*(1+$G432-0.05*(1-1))^1+Assumptions!$C$6*Assumptions!$C$8*(1+Assumptions!$C$11)^1+Assumptions!$C$16*1+Assumptions!$C$6*Assumptions!$C$9*(1+Assumptions!$C$12)^1</f>
        <v>747.3436781</v>
      </c>
      <c r="M432" s="139">
        <f>Assumptions!$C$6*Assumptions!$C$7*(1+$G432-0.05*(1-$H432))^2+Assumptions!$C$6*Assumptions!$C$8*(1+Assumptions!$C$11)^2+Assumptions!$C$16*$H432+Assumptions!$C$6*Assumptions!$C$9*(1+Assumptions!$C$12)^2</f>
        <v>681.2053422</v>
      </c>
      <c r="N432" s="139">
        <f>Assumptions!$C$6*Assumptions!$C$7*(1+$G432-0.05*(1-$I432))^3+Assumptions!$C$6*Assumptions!$C$8*(1+Assumptions!$C$11)^3+Assumptions!$C$16*$I432+Assumptions!$C$6*Assumptions!$C$9*(1+Assumptions!$C$12)^3</f>
        <v>806.3860788</v>
      </c>
      <c r="O432" s="139">
        <f>Assumptions!$C$6*Assumptions!$C$7*(1+$G432-0.05*(1-$J432))^4+Assumptions!$C$6*Assumptions!$C$8*(1+Assumptions!$C$11)^4+Assumptions!$C$16*$J432+Assumptions!$C$6*Assumptions!$C$9*(1+Assumptions!$C$12)^4</f>
        <v>703.1353737</v>
      </c>
      <c r="P432" s="139">
        <f>Assumptions!$C$6*Assumptions!$C$7*(1+$G432-0.05*(1-$K432))^5+Assumptions!$C$6*Assumptions!$C$8*(1+Assumptions!$C$11)^5+Assumptions!$C$16*$K432+Assumptions!$C$6*Assumptions!$C$9*(1+Assumptions!$C$12)^5</f>
        <v>871.8132279</v>
      </c>
      <c r="Q432" s="139">
        <f>($L432*(1-(Assumptions!$C$25+0.06*(1-1))-Assumptions!$C$27)-Assumptions!$C$28)-MAX(0,($L432*(1-(Assumptions!$C$25+0.06*(1-1))-Assumptions!$C$27)-Assumptions!$C$28)*Assumptions!$C$31)+Assumptions!$C$28-Assumptions!$C$29-$L432*Assumptions!$C$30</f>
        <v>93.17889079</v>
      </c>
      <c r="R432" s="139">
        <f>($M432*(1-(Assumptions!$C$25+0.06*(1-$H432))-Assumptions!$C$27)-Assumptions!$C$28)-MAX(0,($M432*(1-(Assumptions!$C$25+0.06*(1-$H432))-Assumptions!$C$27)-Assumptions!$C$28)*Assumptions!$C$31)+Assumptions!$C$28-Assumptions!$C$29-$M432*Assumptions!$C$30</f>
        <v>36.6772287</v>
      </c>
      <c r="S432" s="139">
        <f>($N432*(1-(Assumptions!$C$25+0.06*(1-$I432))-Assumptions!$C$27)-Assumptions!$C$28)-MAX(0,($N432*(1-(Assumptions!$C$25+0.06*(1-$I432))-Assumptions!$C$27)-Assumptions!$C$28)*Assumptions!$C$31)+Assumptions!$C$28-Assumptions!$C$29-$N432*Assumptions!$C$30</f>
        <v>105.8730069</v>
      </c>
      <c r="T432" s="139">
        <f>($O432*(1-(Assumptions!$C$25+0.06*(1-$J432))-Assumptions!$C$27)-Assumptions!$C$28)-MAX(0,($O432*(1-(Assumptions!$C$25+0.06*(1-$J432))-Assumptions!$C$27)-Assumptions!$C$28)*Assumptions!$C$31)+Assumptions!$C$28-Assumptions!$C$29-$O432*Assumptions!$C$30</f>
        <v>41.72113596</v>
      </c>
      <c r="U432" s="139">
        <f>($P432*(1-(Assumptions!$C$25+0.06*(1-$K432))-Assumptions!$C$27)-Assumptions!$C$28)-MAX(0,($P432*(1-(Assumptions!$C$25+0.06*(1-$K432))-Assumptions!$C$27)-Assumptions!$C$28)*Assumptions!$C$31)+Assumptions!$C$28-Assumptions!$C$29-$P432*Assumptions!$C$30</f>
        <v>119.939844</v>
      </c>
      <c r="V432" s="143">
        <f>(($Q432/(1+$D432)^1+$R432/(1+$D432)^2+$S432/(1+$D432)^3+$T432/(1+$D432)^4+$U432/(1+$D432)^5+$U432*(1+$E432)/($D432-$E432)/(1+$D432)^5)-Assumptions!$C$37)/Assumptions!$C$40/Assumptions!$C$38</f>
        <v>4.452850858</v>
      </c>
    </row>
    <row r="433" ht="12.0" customHeight="1">
      <c r="B433" s="139">
        <v>381.0</v>
      </c>
      <c r="C433" s="140">
        <f t="shared" si="6"/>
        <v>0.5143411339</v>
      </c>
      <c r="D433" s="141">
        <f t="shared" si="7"/>
        <v>0.09849380044</v>
      </c>
      <c r="E433" s="141">
        <f t="shared" si="8"/>
        <v>0.01160106634</v>
      </c>
      <c r="F433" s="140">
        <f t="shared" si="9"/>
        <v>0.9257061778</v>
      </c>
      <c r="G433" s="141">
        <f t="shared" si="10"/>
        <v>0.07843587963</v>
      </c>
      <c r="H433" s="142">
        <f t="shared" si="11"/>
        <v>0</v>
      </c>
      <c r="I433" s="142">
        <f t="shared" si="12"/>
        <v>1</v>
      </c>
      <c r="J433" s="142">
        <f t="shared" si="13"/>
        <v>1</v>
      </c>
      <c r="K433" s="142">
        <f t="shared" si="14"/>
        <v>1</v>
      </c>
      <c r="L433" s="139">
        <f>Assumptions!$C$6*Assumptions!$C$7*(1+$G433-0.05*(1-1))^1+Assumptions!$C$6*Assumptions!$C$8*(1+Assumptions!$C$11)^1+Assumptions!$C$16*1+Assumptions!$C$6*Assumptions!$C$9*(1+Assumptions!$C$12)^1</f>
        <v>752.8695171</v>
      </c>
      <c r="M433" s="139">
        <f>Assumptions!$C$6*Assumptions!$C$7*(1+$G433-0.05*(1-$H433))^2+Assumptions!$C$6*Assumptions!$C$8*(1+Assumptions!$C$11)^2+Assumptions!$C$16*$H433+Assumptions!$C$6*Assumptions!$C$9*(1+Assumptions!$C$12)^2</f>
        <v>692.4805687</v>
      </c>
      <c r="N433" s="139">
        <f>Assumptions!$C$6*Assumptions!$C$7*(1+$G433-0.05*(1-$I433))^3+Assumptions!$C$6*Assumptions!$C$8*(1+Assumptions!$C$11)^3+Assumptions!$C$16*$I433+Assumptions!$C$6*Assumptions!$C$9*(1+Assumptions!$C$12)^3</f>
        <v>825.3741242</v>
      </c>
      <c r="O433" s="139">
        <f>Assumptions!$C$6*Assumptions!$C$7*(1+$G433-0.05*(1-$J433))^4+Assumptions!$C$6*Assumptions!$C$8*(1+Assumptions!$C$11)^4+Assumptions!$C$16*$J433+Assumptions!$C$6*Assumptions!$C$9*(1+Assumptions!$C$12)^4</f>
        <v>865.3520346</v>
      </c>
      <c r="P433" s="139">
        <f>Assumptions!$C$6*Assumptions!$C$7*(1+$G433-0.05*(1-$K433))^5+Assumptions!$C$6*Assumptions!$C$8*(1+Assumptions!$C$11)^5+Assumptions!$C$16*$K433+Assumptions!$C$6*Assumptions!$C$9*(1+Assumptions!$C$12)^5</f>
        <v>908.0645499</v>
      </c>
      <c r="Q433" s="139">
        <f>($L433*(1-(Assumptions!$C$25+0.06*(1-1))-Assumptions!$C$27)-Assumptions!$C$28)-MAX(0,($L433*(1-(Assumptions!$C$25+0.06*(1-1))-Assumptions!$C$27)-Assumptions!$C$28)*Assumptions!$C$31)+Assumptions!$C$28-Assumptions!$C$29-$L433*Assumptions!$C$30</f>
        <v>94.36694617</v>
      </c>
      <c r="R433" s="139">
        <f>($M433*(1-(Assumptions!$C$25+0.06*(1-$H433))-Assumptions!$C$27)-Assumptions!$C$28)-MAX(0,($M433*(1-(Assumptions!$C$25+0.06*(1-$H433))-Assumptions!$C$27)-Assumptions!$C$28)*Assumptions!$C$31)+Assumptions!$C$28-Assumptions!$C$29-$M433*Assumptions!$C$30</f>
        <v>39.27053079</v>
      </c>
      <c r="S433" s="139">
        <f>($N433*(1-(Assumptions!$C$25+0.06*(1-$I433))-Assumptions!$C$27)-Assumptions!$C$28)-MAX(0,($N433*(1-(Assumptions!$C$25+0.06*(1-$I433))-Assumptions!$C$27)-Assumptions!$C$28)*Assumptions!$C$31)+Assumptions!$C$28-Assumptions!$C$29-$N433*Assumptions!$C$30</f>
        <v>109.9554367</v>
      </c>
      <c r="T433" s="139">
        <f>($O433*(1-(Assumptions!$C$25+0.06*(1-$J433))-Assumptions!$C$27)-Assumptions!$C$28)-MAX(0,($O433*(1-(Assumptions!$C$25+0.06*(1-$J433))-Assumptions!$C$27)-Assumptions!$C$28)*Assumptions!$C$31)+Assumptions!$C$28-Assumptions!$C$29-$O433*Assumptions!$C$30</f>
        <v>118.5506874</v>
      </c>
      <c r="U433" s="139">
        <f>($P433*(1-(Assumptions!$C$25+0.06*(1-$K433))-Assumptions!$C$27)-Assumptions!$C$28)-MAX(0,($P433*(1-(Assumptions!$C$25+0.06*(1-$K433))-Assumptions!$C$27)-Assumptions!$C$28)*Assumptions!$C$31)+Assumptions!$C$28-Assumptions!$C$29-$P433*Assumptions!$C$30</f>
        <v>127.7338782</v>
      </c>
      <c r="V433" s="143">
        <f>(($Q433/(1+$D433)^1+$R433/(1+$D433)^2+$S433/(1+$D433)^3+$T433/(1+$D433)^4+$U433/(1+$D433)^5+$U433*(1+$E433)/($D433-$E433)/(1+$D433)^5)-Assumptions!$C$37)/Assumptions!$C$40/Assumptions!$C$38</f>
        <v>4.68767054</v>
      </c>
    </row>
    <row r="434" ht="12.0" customHeight="1">
      <c r="B434" s="139">
        <v>382.0</v>
      </c>
      <c r="C434" s="140">
        <f t="shared" si="6"/>
        <v>0.784886031</v>
      </c>
      <c r="D434" s="141">
        <f t="shared" si="7"/>
        <v>0.1040146035</v>
      </c>
      <c r="E434" s="141">
        <f t="shared" si="8"/>
        <v>0.02829076384</v>
      </c>
      <c r="F434" s="140">
        <f t="shared" si="9"/>
        <v>0.6729261986</v>
      </c>
      <c r="G434" s="141">
        <f t="shared" si="10"/>
        <v>0.06573618244</v>
      </c>
      <c r="H434" s="142">
        <f t="shared" si="11"/>
        <v>1</v>
      </c>
      <c r="I434" s="142">
        <f t="shared" si="12"/>
        <v>0</v>
      </c>
      <c r="J434" s="142">
        <f t="shared" si="13"/>
        <v>0</v>
      </c>
      <c r="K434" s="142">
        <f t="shared" si="14"/>
        <v>0</v>
      </c>
      <c r="L434" s="139">
        <f>Assumptions!$C$6*Assumptions!$C$7*(1+$G434-0.05*(1-1))^1+Assumptions!$C$6*Assumptions!$C$8*(1+Assumptions!$C$11)^1+Assumptions!$C$16*1+Assumptions!$C$6*Assumptions!$C$9*(1+Assumptions!$C$12)^1</f>
        <v>748.594799</v>
      </c>
      <c r="M434" s="139">
        <f>Assumptions!$C$6*Assumptions!$C$7*(1+$G434-0.05*(1-$H434))^2+Assumptions!$C$6*Assumptions!$C$8*(1+Assumptions!$C$11)^2+Assumptions!$C$16*$H434+Assumptions!$C$6*Assumptions!$C$9*(1+Assumptions!$C$12)^2</f>
        <v>778.7734893</v>
      </c>
      <c r="N434" s="139">
        <f>Assumptions!$C$6*Assumptions!$C$7*(1+$G434-0.05*(1-$I434))^3+Assumptions!$C$6*Assumptions!$C$8*(1+Assumptions!$C$11)^3+Assumptions!$C$16*$I434+Assumptions!$C$6*Assumptions!$C$9*(1+Assumptions!$C$12)^3</f>
        <v>695.9364301</v>
      </c>
      <c r="O434" s="139">
        <f>Assumptions!$C$6*Assumptions!$C$7*(1+$G434-0.05*(1-$J434))^4+Assumptions!$C$6*Assumptions!$C$8*(1+Assumptions!$C$11)^4+Assumptions!$C$16*$J434+Assumptions!$C$6*Assumptions!$C$9*(1+Assumptions!$C$12)^4</f>
        <v>708.3511321</v>
      </c>
      <c r="P434" s="139">
        <f>Assumptions!$C$6*Assumptions!$C$7*(1+$G434-0.05*(1-$K434))^5+Assumptions!$C$6*Assumptions!$C$8*(1+Assumptions!$C$11)^5+Assumptions!$C$16*$K434+Assumptions!$C$6*Assumptions!$C$9*(1+Assumptions!$C$12)^5</f>
        <v>720.9904606</v>
      </c>
      <c r="Q434" s="139">
        <f>($L434*(1-(Assumptions!$C$25+0.06*(1-1))-Assumptions!$C$27)-Assumptions!$C$28)-MAX(0,($L434*(1-(Assumptions!$C$25+0.06*(1-1))-Assumptions!$C$27)-Assumptions!$C$28)*Assumptions!$C$31)+Assumptions!$C$28-Assumptions!$C$29-$L434*Assumptions!$C$30</f>
        <v>93.44788179</v>
      </c>
      <c r="R434" s="139">
        <f>($M434*(1-(Assumptions!$C$25+0.06*(1-$H434))-Assumptions!$C$27)-Assumptions!$C$28)-MAX(0,($M434*(1-(Assumptions!$C$25+0.06*(1-$H434))-Assumptions!$C$27)-Assumptions!$C$28)*Assumptions!$C$31)+Assumptions!$C$28-Assumptions!$C$29-$M434*Assumptions!$C$30</f>
        <v>99.9363002</v>
      </c>
      <c r="S434" s="139">
        <f>($N434*(1-(Assumptions!$C$25+0.06*(1-$I434))-Assumptions!$C$27)-Assumptions!$C$28)-MAX(0,($N434*(1-(Assumptions!$C$25+0.06*(1-$I434))-Assumptions!$C$27)-Assumptions!$C$28)*Assumptions!$C$31)+Assumptions!$C$28-Assumptions!$C$29-$N434*Assumptions!$C$30</f>
        <v>40.06537891</v>
      </c>
      <c r="T434" s="139">
        <f>($O434*(1-(Assumptions!$C$25+0.06*(1-$J434))-Assumptions!$C$27)-Assumptions!$C$28)-MAX(0,($O434*(1-(Assumptions!$C$25+0.06*(1-$J434))-Assumptions!$C$27)-Assumptions!$C$28)*Assumptions!$C$31)+Assumptions!$C$28-Assumptions!$C$29-$O434*Assumptions!$C$30</f>
        <v>42.92076039</v>
      </c>
      <c r="U434" s="139">
        <f>($P434*(1-(Assumptions!$C$25+0.06*(1-$K434))-Assumptions!$C$27)-Assumptions!$C$28)-MAX(0,($P434*(1-(Assumptions!$C$25+0.06*(1-$K434))-Assumptions!$C$27)-Assumptions!$C$28)*Assumptions!$C$31)+Assumptions!$C$28-Assumptions!$C$29-$P434*Assumptions!$C$30</f>
        <v>45.82780594</v>
      </c>
      <c r="V434" s="143">
        <f>(($Q434/(1+$D434)^1+$R434/(1+$D434)^2+$S434/(1+$D434)^3+$T434/(1+$D434)^4+$U434/(1+$D434)^5+$U434*(1+$E434)/($D434-$E434)/(1+$D434)^5)-Assumptions!$C$37)/Assumptions!$C$40/Assumptions!$C$38</f>
        <v>-0.4605929593</v>
      </c>
    </row>
    <row r="435" ht="12.0" customHeight="1">
      <c r="B435" s="139">
        <v>383.0</v>
      </c>
      <c r="C435" s="140">
        <f t="shared" si="6"/>
        <v>0.5321665934</v>
      </c>
      <c r="D435" s="141">
        <f t="shared" si="7"/>
        <v>0.09879955121</v>
      </c>
      <c r="E435" s="141">
        <f t="shared" si="8"/>
        <v>0.02211722829</v>
      </c>
      <c r="F435" s="140">
        <f t="shared" si="9"/>
        <v>0.2848333077</v>
      </c>
      <c r="G435" s="141">
        <f t="shared" si="10"/>
        <v>0.05264287866</v>
      </c>
      <c r="H435" s="142">
        <f t="shared" si="11"/>
        <v>1</v>
      </c>
      <c r="I435" s="142">
        <f t="shared" si="12"/>
        <v>1</v>
      </c>
      <c r="J435" s="142">
        <f t="shared" si="13"/>
        <v>1</v>
      </c>
      <c r="K435" s="142">
        <f t="shared" si="14"/>
        <v>1</v>
      </c>
      <c r="L435" s="139">
        <f>Assumptions!$C$6*Assumptions!$C$7*(1+$G435-0.05*(1-1))^1+Assumptions!$C$6*Assumptions!$C$8*(1+Assumptions!$C$11)^1+Assumptions!$C$16*1+Assumptions!$C$6*Assumptions!$C$9*(1+Assumptions!$C$12)^1</f>
        <v>744.187593</v>
      </c>
      <c r="M435" s="139">
        <f>Assumptions!$C$6*Assumptions!$C$7*(1+$G435-0.05*(1-$H435))^2+Assumptions!$C$6*Assumptions!$C$8*(1+Assumptions!$C$11)^2+Assumptions!$C$16*$H435+Assumptions!$C$6*Assumptions!$C$9*(1+Assumptions!$C$12)^2</f>
        <v>769.4373563</v>
      </c>
      <c r="N435" s="139">
        <f>Assumptions!$C$6*Assumptions!$C$7*(1+$G435-0.05*(1-$I435))^3+Assumptions!$C$6*Assumptions!$C$8*(1+Assumptions!$C$11)^3+Assumptions!$C$16*$I435+Assumptions!$C$6*Assumptions!$C$9*(1+Assumptions!$C$12)^3</f>
        <v>795.800983</v>
      </c>
      <c r="O435" s="139">
        <f>Assumptions!$C$6*Assumptions!$C$7*(1+$G435-0.05*(1-$J435))^4+Assumptions!$C$6*Assumptions!$C$8*(1+Assumptions!$C$11)^4+Assumptions!$C$16*$J435+Assumptions!$C$6*Assumptions!$C$9*(1+Assumptions!$C$12)^4</f>
        <v>823.332803</v>
      </c>
      <c r="P435" s="139">
        <f>Assumptions!$C$6*Assumptions!$C$7*(1+$G435-0.05*(1-$K435))^5+Assumptions!$C$6*Assumptions!$C$8*(1+Assumptions!$C$11)^5+Assumptions!$C$16*$K435+Assumptions!$C$6*Assumptions!$C$9*(1+Assumptions!$C$12)^5</f>
        <v>852.08992</v>
      </c>
      <c r="Q435" s="139">
        <f>($L435*(1-(Assumptions!$C$25+0.06*(1-1))-Assumptions!$C$27)-Assumptions!$C$28)-MAX(0,($L435*(1-(Assumptions!$C$25+0.06*(1-1))-Assumptions!$C$27)-Assumptions!$C$28)*Assumptions!$C$31)+Assumptions!$C$28-Assumptions!$C$29-$L435*Assumptions!$C$30</f>
        <v>92.50033249</v>
      </c>
      <c r="R435" s="139">
        <f>($M435*(1-(Assumptions!$C$25+0.06*(1-$H435))-Assumptions!$C$27)-Assumptions!$C$28)-MAX(0,($M435*(1-(Assumptions!$C$25+0.06*(1-$H435))-Assumptions!$C$27)-Assumptions!$C$28)*Assumptions!$C$31)+Assumptions!$C$28-Assumptions!$C$29-$M435*Assumptions!$C$30</f>
        <v>97.9290316</v>
      </c>
      <c r="S435" s="139">
        <f>($N435*(1-(Assumptions!$C$25+0.06*(1-$I435))-Assumptions!$C$27)-Assumptions!$C$28)-MAX(0,($N435*(1-(Assumptions!$C$25+0.06*(1-$I435))-Assumptions!$C$27)-Assumptions!$C$28)*Assumptions!$C$31)+Assumptions!$C$28-Assumptions!$C$29-$N435*Assumptions!$C$30</f>
        <v>103.5972114</v>
      </c>
      <c r="T435" s="139">
        <f>($O435*(1-(Assumptions!$C$25+0.06*(1-$J435))-Assumptions!$C$27)-Assumptions!$C$28)-MAX(0,($O435*(1-(Assumptions!$C$25+0.06*(1-$J435))-Assumptions!$C$27)-Assumptions!$C$28)*Assumptions!$C$31)+Assumptions!$C$28-Assumptions!$C$29-$O435*Assumptions!$C$30</f>
        <v>109.5165527</v>
      </c>
      <c r="U435" s="139">
        <f>($P435*(1-(Assumptions!$C$25+0.06*(1-$K435))-Assumptions!$C$27)-Assumptions!$C$28)-MAX(0,($P435*(1-(Assumptions!$C$25+0.06*(1-$K435))-Assumptions!$C$27)-Assumptions!$C$28)*Assumptions!$C$31)+Assumptions!$C$28-Assumptions!$C$29-$P435*Assumptions!$C$30</f>
        <v>115.6993328</v>
      </c>
      <c r="V435" s="143">
        <f>(($Q435/(1+$D435)^1+$R435/(1+$D435)^2+$S435/(1+$D435)^3+$T435/(1+$D435)^4+$U435/(1+$D435)^5+$U435*(1+$E435)/($D435-$E435)/(1+$D435)^5)-Assumptions!$C$37)/Assumptions!$C$40/Assumptions!$C$38</f>
        <v>5.165148954</v>
      </c>
    </row>
    <row r="436" ht="12.0" customHeight="1">
      <c r="B436" s="139">
        <v>384.0</v>
      </c>
      <c r="C436" s="140">
        <f t="shared" si="6"/>
        <v>0.03609772982</v>
      </c>
      <c r="D436" s="141">
        <f t="shared" si="7"/>
        <v>0.088498161</v>
      </c>
      <c r="E436" s="141">
        <f t="shared" si="8"/>
        <v>0.01291987782</v>
      </c>
      <c r="F436" s="140">
        <f t="shared" si="9"/>
        <v>0.1184320538</v>
      </c>
      <c r="G436" s="141">
        <f t="shared" si="10"/>
        <v>0.04460060604</v>
      </c>
      <c r="H436" s="142">
        <f t="shared" si="11"/>
        <v>1</v>
      </c>
      <c r="I436" s="142">
        <f t="shared" si="12"/>
        <v>0</v>
      </c>
      <c r="J436" s="142">
        <f t="shared" si="13"/>
        <v>0</v>
      </c>
      <c r="K436" s="142">
        <f t="shared" si="14"/>
        <v>1</v>
      </c>
      <c r="L436" s="139">
        <f>Assumptions!$C$6*Assumptions!$C$7*(1+$G436-0.05*(1-1))^1+Assumptions!$C$6*Assumptions!$C$8*(1+Assumptions!$C$11)^1+Assumptions!$C$16*1+Assumptions!$C$6*Assumptions!$C$9*(1+Assumptions!$C$12)^1</f>
        <v>741.480564</v>
      </c>
      <c r="M436" s="139">
        <f>Assumptions!$C$6*Assumptions!$C$7*(1+$G436-0.05*(1-$H436))^2+Assumptions!$C$6*Assumptions!$C$8*(1+Assumptions!$C$11)^2+Assumptions!$C$16*$H436+Assumptions!$C$6*Assumptions!$C$9*(1+Assumptions!$C$12)^2</f>
        <v>763.7600574</v>
      </c>
      <c r="N436" s="139">
        <f>Assumptions!$C$6*Assumptions!$C$7*(1+$G436-0.05*(1-$I436))^3+Assumptions!$C$6*Assumptions!$C$8*(1+Assumptions!$C$11)^3+Assumptions!$C$16*$I436+Assumptions!$C$6*Assumptions!$C$9*(1+Assumptions!$C$12)^3</f>
        <v>674.3717454</v>
      </c>
      <c r="O436" s="139">
        <f>Assumptions!$C$6*Assumptions!$C$7*(1+$G436-0.05*(1-$J436))^4+Assumptions!$C$6*Assumptions!$C$8*(1+Assumptions!$C$11)^4+Assumptions!$C$16*$J436+Assumptions!$C$6*Assumptions!$C$9*(1+Assumptions!$C$12)^4</f>
        <v>679.4474832</v>
      </c>
      <c r="P436" s="139">
        <f>Assumptions!$C$6*Assumptions!$C$7*(1+$G436-0.05*(1-$K436))^5+Assumptions!$C$6*Assumptions!$C$8*(1+Assumptions!$C$11)^5+Assumptions!$C$16*$K436+Assumptions!$C$6*Assumptions!$C$9*(1+Assumptions!$C$12)^5</f>
        <v>835.7235973</v>
      </c>
      <c r="Q436" s="139">
        <f>($L436*(1-(Assumptions!$C$25+0.06*(1-1))-Assumptions!$C$27)-Assumptions!$C$28)-MAX(0,($L436*(1-(Assumptions!$C$25+0.06*(1-1))-Assumptions!$C$27)-Assumptions!$C$28)*Assumptions!$C$31)+Assumptions!$C$28-Assumptions!$C$29-$L436*Assumptions!$C$30</f>
        <v>91.91832126</v>
      </c>
      <c r="R436" s="139">
        <f>($M436*(1-(Assumptions!$C$25+0.06*(1-$H436))-Assumptions!$C$27)-Assumptions!$C$28)-MAX(0,($M436*(1-(Assumptions!$C$25+0.06*(1-$H436))-Assumptions!$C$27)-Assumptions!$C$28)*Assumptions!$C$31)+Assumptions!$C$28-Assumptions!$C$29-$M436*Assumptions!$C$30</f>
        <v>96.70841235</v>
      </c>
      <c r="S436" s="139">
        <f>($N436*(1-(Assumptions!$C$25+0.06*(1-$I436))-Assumptions!$C$27)-Assumptions!$C$28)-MAX(0,($N436*(1-(Assumptions!$C$25+0.06*(1-$I436))-Assumptions!$C$27)-Assumptions!$C$28)*Assumptions!$C$31)+Assumptions!$C$28-Assumptions!$C$29-$N436*Assumptions!$C$30</f>
        <v>35.10550143</v>
      </c>
      <c r="T436" s="139">
        <f>($O436*(1-(Assumptions!$C$25+0.06*(1-$J436))-Assumptions!$C$27)-Assumptions!$C$28)-MAX(0,($O436*(1-(Assumptions!$C$25+0.06*(1-$J436))-Assumptions!$C$27)-Assumptions!$C$28)*Assumptions!$C$31)+Assumptions!$C$28-Assumptions!$C$29-$O436*Assumptions!$C$30</f>
        <v>36.27292113</v>
      </c>
      <c r="U436" s="139">
        <f>($P436*(1-(Assumptions!$C$25+0.06*(1-$K436))-Assumptions!$C$27)-Assumptions!$C$28)-MAX(0,($P436*(1-(Assumptions!$C$25+0.06*(1-$K436))-Assumptions!$C$27)-Assumptions!$C$28)*Assumptions!$C$31)+Assumptions!$C$28-Assumptions!$C$29-$P436*Assumptions!$C$30</f>
        <v>112.1805734</v>
      </c>
      <c r="V436" s="143">
        <f>(($Q436/(1+$D436)^1+$R436/(1+$D436)^2+$S436/(1+$D436)^3+$T436/(1+$D436)^4+$U436/(1+$D436)^5+$U436*(1+$E436)/($D436-$E436)/(1+$D436)^5)-Assumptions!$C$37)/Assumptions!$C$40/Assumptions!$C$38</f>
        <v>4.56340448</v>
      </c>
    </row>
    <row r="437" ht="12.0" customHeight="1">
      <c r="B437" s="139">
        <v>385.0</v>
      </c>
      <c r="C437" s="140">
        <f t="shared" si="6"/>
        <v>0.6509880827</v>
      </c>
      <c r="D437" s="141">
        <f t="shared" si="7"/>
        <v>0.1010072988</v>
      </c>
      <c r="E437" s="141">
        <f t="shared" si="8"/>
        <v>0.01851047415</v>
      </c>
      <c r="F437" s="140">
        <f t="shared" si="9"/>
        <v>0.6256848872</v>
      </c>
      <c r="G437" s="141">
        <f t="shared" si="10"/>
        <v>0.06404297392</v>
      </c>
      <c r="H437" s="142">
        <f t="shared" si="11"/>
        <v>1</v>
      </c>
      <c r="I437" s="142">
        <f t="shared" si="12"/>
        <v>1</v>
      </c>
      <c r="J437" s="142">
        <f t="shared" si="13"/>
        <v>1</v>
      </c>
      <c r="K437" s="142">
        <f t="shared" si="14"/>
        <v>1</v>
      </c>
      <c r="L437" s="139">
        <f>Assumptions!$C$6*Assumptions!$C$7*(1+$G437-0.05*(1-1))^1+Assumptions!$C$6*Assumptions!$C$8*(1+Assumptions!$C$11)^1+Assumptions!$C$16*1+Assumptions!$C$6*Assumptions!$C$9*(1+Assumptions!$C$12)^1</f>
        <v>748.024865</v>
      </c>
      <c r="M437" s="139">
        <f>Assumptions!$C$6*Assumptions!$C$7*(1+$G437-0.05*(1-$H437))^2+Assumptions!$C$6*Assumptions!$C$8*(1+Assumptions!$C$11)^2+Assumptions!$C$16*$H437+Assumptions!$C$6*Assumptions!$C$9*(1+Assumptions!$C$12)^2</f>
        <v>777.5596558</v>
      </c>
      <c r="N437" s="139">
        <f>Assumptions!$C$6*Assumptions!$C$7*(1+$G437-0.05*(1-$I437))^3+Assumptions!$C$6*Assumptions!$C$8*(1+Assumptions!$C$11)^3+Assumptions!$C$16*$I437+Assumptions!$C$6*Assumptions!$C$9*(1+Assumptions!$C$12)^3</f>
        <v>808.695375</v>
      </c>
      <c r="O437" s="139">
        <f>Assumptions!$C$6*Assumptions!$C$7*(1+$G437-0.05*(1-$J437))^4+Assumptions!$C$6*Assumptions!$C$8*(1+Assumptions!$C$11)^4+Assumptions!$C$16*$J437+Assumptions!$C$6*Assumptions!$C$9*(1+Assumptions!$C$12)^4</f>
        <v>841.5287396</v>
      </c>
      <c r="P437" s="139">
        <f>Assumptions!$C$6*Assumptions!$C$7*(1+$G437-0.05*(1-$K437))^5+Assumptions!$C$6*Assumptions!$C$8*(1+Assumptions!$C$11)^5+Assumptions!$C$16*$K437+Assumptions!$C$6*Assumptions!$C$9*(1+Assumptions!$C$12)^5</f>
        <v>876.1625443</v>
      </c>
      <c r="Q437" s="139">
        <f>($L437*(1-(Assumptions!$C$25+0.06*(1-1))-Assumptions!$C$27)-Assumptions!$C$28)-MAX(0,($L437*(1-(Assumptions!$C$25+0.06*(1-1))-Assumptions!$C$27)-Assumptions!$C$28)*Assumptions!$C$31)+Assumptions!$C$28-Assumptions!$C$29-$L437*Assumptions!$C$30</f>
        <v>93.32534598</v>
      </c>
      <c r="R437" s="139">
        <f>($M437*(1-(Assumptions!$C$25+0.06*(1-$H437))-Assumptions!$C$27)-Assumptions!$C$28)-MAX(0,($M437*(1-(Assumptions!$C$25+0.06*(1-$H437))-Assumptions!$C$27)-Assumptions!$C$28)*Assumptions!$C$31)+Assumptions!$C$28-Assumptions!$C$29-$M437*Assumptions!$C$30</f>
        <v>99.67532599</v>
      </c>
      <c r="S437" s="139">
        <f>($N437*(1-(Assumptions!$C$25+0.06*(1-$I437))-Assumptions!$C$27)-Assumptions!$C$28)-MAX(0,($N437*(1-(Assumptions!$C$25+0.06*(1-$I437))-Assumptions!$C$27)-Assumptions!$C$28)*Assumptions!$C$31)+Assumptions!$C$28-Assumptions!$C$29-$N437*Assumptions!$C$30</f>
        <v>106.3695056</v>
      </c>
      <c r="T437" s="139">
        <f>($O437*(1-(Assumptions!$C$25+0.06*(1-$J437))-Assumptions!$C$27)-Assumptions!$C$28)-MAX(0,($O437*(1-(Assumptions!$C$25+0.06*(1-$J437))-Assumptions!$C$27)-Assumptions!$C$28)*Assumptions!$C$31)+Assumptions!$C$28-Assumptions!$C$29-$O437*Assumptions!$C$30</f>
        <v>113.428679</v>
      </c>
      <c r="U437" s="139">
        <f>($P437*(1-(Assumptions!$C$25+0.06*(1-$K437))-Assumptions!$C$27)-Assumptions!$C$28)-MAX(0,($P437*(1-(Assumptions!$C$25+0.06*(1-$K437))-Assumptions!$C$27)-Assumptions!$C$28)*Assumptions!$C$31)+Assumptions!$C$28-Assumptions!$C$29-$P437*Assumptions!$C$30</f>
        <v>120.874947</v>
      </c>
      <c r="V437" s="143">
        <f>(($Q437/(1+$D437)^1+$R437/(1+$D437)^2+$S437/(1+$D437)^3+$T437/(1+$D437)^4+$U437/(1+$D437)^5+$U437*(1+$E437)/($D437-$E437)/(1+$D437)^5)-Assumptions!$C$37)/Assumptions!$C$40/Assumptions!$C$38</f>
        <v>4.910849448</v>
      </c>
    </row>
    <row r="438" ht="12.0" customHeight="1">
      <c r="B438" s="139">
        <v>386.0</v>
      </c>
      <c r="C438" s="140">
        <f t="shared" si="6"/>
        <v>0.3697246147</v>
      </c>
      <c r="D438" s="141">
        <f t="shared" si="7"/>
        <v>0.09619538496</v>
      </c>
      <c r="E438" s="141">
        <f t="shared" si="8"/>
        <v>0.02134908019</v>
      </c>
      <c r="F438" s="140">
        <f t="shared" si="9"/>
        <v>0.1214673523</v>
      </c>
      <c r="G438" s="141">
        <f t="shared" si="10"/>
        <v>0.04478652204</v>
      </c>
      <c r="H438" s="142">
        <f t="shared" si="11"/>
        <v>1</v>
      </c>
      <c r="I438" s="142">
        <f t="shared" si="12"/>
        <v>1</v>
      </c>
      <c r="J438" s="142">
        <f t="shared" si="13"/>
        <v>0</v>
      </c>
      <c r="K438" s="142">
        <f t="shared" si="14"/>
        <v>1</v>
      </c>
      <c r="L438" s="139">
        <f>Assumptions!$C$6*Assumptions!$C$7*(1+$G438-0.05*(1-1))^1+Assumptions!$C$6*Assumptions!$C$8*(1+Assumptions!$C$11)^1+Assumptions!$C$16*1+Assumptions!$C$6*Assumptions!$C$9*(1+Assumptions!$C$12)^1</f>
        <v>741.5431433</v>
      </c>
      <c r="M438" s="139">
        <f>Assumptions!$C$6*Assumptions!$C$7*(1+$G438-0.05*(1-$H438))^2+Assumptions!$C$6*Assumptions!$C$8*(1+Assumptions!$C$11)^2+Assumptions!$C$16*$H438+Assumptions!$C$6*Assumptions!$C$9*(1+Assumptions!$C$12)^2</f>
        <v>763.8908099</v>
      </c>
      <c r="N438" s="139">
        <f>Assumptions!$C$6*Assumptions!$C$7*(1+$G438-0.05*(1-$I438))^3+Assumptions!$C$6*Assumptions!$C$8*(1+Assumptions!$C$11)^3+Assumptions!$C$16*$I438+Assumptions!$C$6*Assumptions!$C$9*(1+Assumptions!$C$12)^3</f>
        <v>787.0758251</v>
      </c>
      <c r="O438" s="139">
        <f>Assumptions!$C$6*Assumptions!$C$7*(1+$G438-0.05*(1-$J438))^4+Assumptions!$C$6*Assumptions!$C$8*(1+Assumptions!$C$11)^4+Assumptions!$C$16*$J438+Assumptions!$C$6*Assumptions!$C$9*(1+Assumptions!$C$12)^4</f>
        <v>679.6938367</v>
      </c>
      <c r="P438" s="139">
        <f>Assumptions!$C$6*Assumptions!$C$7*(1+$G438-0.05*(1-$K438))^5+Assumptions!$C$6*Assumptions!$C$8*(1+Assumptions!$C$11)^5+Assumptions!$C$16*$K438+Assumptions!$C$6*Assumptions!$C$9*(1+Assumptions!$C$12)^5</f>
        <v>836.0962948</v>
      </c>
      <c r="Q438" s="139">
        <f>($L438*(1-(Assumptions!$C$25+0.06*(1-1))-Assumptions!$C$27)-Assumptions!$C$28)-MAX(0,($L438*(1-(Assumptions!$C$25+0.06*(1-1))-Assumptions!$C$27)-Assumptions!$C$28)*Assumptions!$C$31)+Assumptions!$C$28-Assumptions!$C$29-$L438*Assumptions!$C$30</f>
        <v>91.93177581</v>
      </c>
      <c r="R438" s="139">
        <f>($M438*(1-(Assumptions!$C$25+0.06*(1-$H438))-Assumptions!$C$27)-Assumptions!$C$28)-MAX(0,($M438*(1-(Assumptions!$C$25+0.06*(1-$H438))-Assumptions!$C$27)-Assumptions!$C$28)*Assumptions!$C$31)+Assumptions!$C$28-Assumptions!$C$29-$M438*Assumptions!$C$30</f>
        <v>96.73652412</v>
      </c>
      <c r="S438" s="139">
        <f>($N438*(1-(Assumptions!$C$25+0.06*(1-$I438))-Assumptions!$C$27)-Assumptions!$C$28)-MAX(0,($N438*(1-(Assumptions!$C$25+0.06*(1-$I438))-Assumptions!$C$27)-Assumptions!$C$28)*Assumptions!$C$31)+Assumptions!$C$28-Assumptions!$C$29-$N438*Assumptions!$C$30</f>
        <v>101.7213024</v>
      </c>
      <c r="T438" s="139">
        <f>($O438*(1-(Assumptions!$C$25+0.06*(1-$J438))-Assumptions!$C$27)-Assumptions!$C$28)-MAX(0,($O438*(1-(Assumptions!$C$25+0.06*(1-$J438))-Assumptions!$C$27)-Assumptions!$C$28)*Assumptions!$C$31)+Assumptions!$C$28-Assumptions!$C$29-$O438*Assumptions!$C$30</f>
        <v>36.32958245</v>
      </c>
      <c r="U438" s="139">
        <f>($P438*(1-(Assumptions!$C$25+0.06*(1-$K438))-Assumptions!$C$27)-Assumptions!$C$28)-MAX(0,($P438*(1-(Assumptions!$C$25+0.06*(1-$K438))-Assumptions!$C$27)-Assumptions!$C$28)*Assumptions!$C$31)+Assumptions!$C$28-Assumptions!$C$29-$P438*Assumptions!$C$30</f>
        <v>112.2607034</v>
      </c>
      <c r="V438" s="143">
        <f>(($Q438/(1+$D438)^1+$R438/(1+$D438)^2+$S438/(1+$D438)^3+$T438/(1+$D438)^4+$U438/(1+$D438)^5+$U438*(1+$E438)/($D438-$E438)/(1+$D438)^5)-Assumptions!$C$37)/Assumptions!$C$40/Assumptions!$C$38</f>
        <v>4.789978001</v>
      </c>
    </row>
    <row r="439" ht="12.0" customHeight="1">
      <c r="B439" s="139">
        <v>387.0</v>
      </c>
      <c r="C439" s="140">
        <f t="shared" si="6"/>
        <v>0.4931401162</v>
      </c>
      <c r="D439" s="141">
        <f t="shared" si="7"/>
        <v>0.09813736691</v>
      </c>
      <c r="E439" s="141">
        <f t="shared" si="8"/>
        <v>0.01756249501</v>
      </c>
      <c r="F439" s="140">
        <f t="shared" si="9"/>
        <v>0.7751320525</v>
      </c>
      <c r="G439" s="141">
        <f t="shared" si="10"/>
        <v>0.06988129464</v>
      </c>
      <c r="H439" s="142">
        <f t="shared" si="11"/>
        <v>1</v>
      </c>
      <c r="I439" s="142">
        <f t="shared" si="12"/>
        <v>1</v>
      </c>
      <c r="J439" s="142">
        <f t="shared" si="13"/>
        <v>1</v>
      </c>
      <c r="K439" s="142">
        <f t="shared" si="14"/>
        <v>1</v>
      </c>
      <c r="L439" s="139">
        <f>Assumptions!$C$6*Assumptions!$C$7*(1+$G439-0.05*(1-1))^1+Assumptions!$C$6*Assumptions!$C$8*(1+Assumptions!$C$11)^1+Assumptions!$C$16*1+Assumptions!$C$6*Assumptions!$C$9*(1+Assumptions!$C$12)^1</f>
        <v>749.9900438</v>
      </c>
      <c r="M439" s="139">
        <f>Assumptions!$C$6*Assumptions!$C$7*(1+$G439-0.05*(1-$H439))^2+Assumptions!$C$6*Assumptions!$C$8*(1+Assumptions!$C$11)^2+Assumptions!$C$16*$H439+Assumptions!$C$6*Assumptions!$C$9*(1+Assumptions!$C$12)^2</f>
        <v>781.7531984</v>
      </c>
      <c r="N439" s="139">
        <f>Assumptions!$C$6*Assumptions!$C$7*(1+$G439-0.05*(1-$I439))^3+Assumptions!$C$6*Assumptions!$C$8*(1+Assumptions!$C$11)^3+Assumptions!$C$16*$I439+Assumptions!$C$6*Assumptions!$C$9*(1+Assumptions!$C$12)^3</f>
        <v>815.4069186</v>
      </c>
      <c r="O439" s="139">
        <f>Assumptions!$C$6*Assumptions!$C$7*(1+$G439-0.05*(1-$J439))^4+Assumptions!$C$6*Assumptions!$C$8*(1+Assumptions!$C$11)^4+Assumptions!$C$16*$J439+Assumptions!$C$6*Assumptions!$C$9*(1+Assumptions!$C$12)^4</f>
        <v>851.0767377</v>
      </c>
      <c r="P439" s="139">
        <f>Assumptions!$C$6*Assumptions!$C$7*(1+$G439-0.05*(1-$K439))^5+Assumptions!$C$6*Assumptions!$C$8*(1+Assumptions!$C$11)^5+Assumptions!$C$16*$K439+Assumptions!$C$6*Assumptions!$C$9*(1+Assumptions!$C$12)^5</f>
        <v>888.8968301</v>
      </c>
      <c r="Q439" s="139">
        <f>($L439*(1-(Assumptions!$C$25+0.06*(1-1))-Assumptions!$C$27)-Assumptions!$C$28)-MAX(0,($L439*(1-(Assumptions!$C$25+0.06*(1-1))-Assumptions!$C$27)-Assumptions!$C$28)*Assumptions!$C$31)+Assumptions!$C$28-Assumptions!$C$29-$L439*Assumptions!$C$30</f>
        <v>93.74785941</v>
      </c>
      <c r="R439" s="139">
        <f>($M439*(1-(Assumptions!$C$25+0.06*(1-$H439))-Assumptions!$C$27)-Assumptions!$C$28)-MAX(0,($M439*(1-(Assumptions!$C$25+0.06*(1-$H439))-Assumptions!$C$27)-Assumptions!$C$28)*Assumptions!$C$31)+Assumptions!$C$28-Assumptions!$C$29-$M439*Assumptions!$C$30</f>
        <v>100.5769377</v>
      </c>
      <c r="S439" s="139">
        <f>($N439*(1-(Assumptions!$C$25+0.06*(1-$I439))-Assumptions!$C$27)-Assumptions!$C$28)-MAX(0,($N439*(1-(Assumptions!$C$25+0.06*(1-$I439))-Assumptions!$C$27)-Assumptions!$C$28)*Assumptions!$C$31)+Assumptions!$C$28-Assumptions!$C$29-$N439*Assumptions!$C$30</f>
        <v>107.8124875</v>
      </c>
      <c r="T439" s="139">
        <f>($O439*(1-(Assumptions!$C$25+0.06*(1-$J439))-Assumptions!$C$27)-Assumptions!$C$28)-MAX(0,($O439*(1-(Assumptions!$C$25+0.06*(1-$J439))-Assumptions!$C$27)-Assumptions!$C$28)*Assumptions!$C$31)+Assumptions!$C$28-Assumptions!$C$29-$O439*Assumptions!$C$30</f>
        <v>115.4814986</v>
      </c>
      <c r="U439" s="139">
        <f>($P439*(1-(Assumptions!$C$25+0.06*(1-$K439))-Assumptions!$C$27)-Assumptions!$C$28)-MAX(0,($P439*(1-(Assumptions!$C$25+0.06*(1-$K439))-Assumptions!$C$27)-Assumptions!$C$28)*Assumptions!$C$31)+Assumptions!$C$28-Assumptions!$C$29-$P439*Assumptions!$C$30</f>
        <v>123.6128185</v>
      </c>
      <c r="V439" s="143">
        <f>(($Q439/(1+$D439)^1+$R439/(1+$D439)^2+$S439/(1+$D439)^3+$T439/(1+$D439)^4+$U439/(1+$D439)^5+$U439*(1+$E439)/($D439-$E439)/(1+$D439)^5)-Assumptions!$C$37)/Assumptions!$C$40/Assumptions!$C$38</f>
        <v>5.407073529</v>
      </c>
    </row>
    <row r="440" ht="12.0" customHeight="1">
      <c r="B440" s="139">
        <v>388.0</v>
      </c>
      <c r="C440" s="140">
        <f t="shared" si="6"/>
        <v>0.9378785305</v>
      </c>
      <c r="D440" s="141">
        <f t="shared" si="7"/>
        <v>0.1090965989</v>
      </c>
      <c r="E440" s="141">
        <f t="shared" si="8"/>
        <v>0.0195455121</v>
      </c>
      <c r="F440" s="140">
        <f t="shared" si="9"/>
        <v>0.282711819</v>
      </c>
      <c r="G440" s="141">
        <f t="shared" si="10"/>
        <v>0.05255839698</v>
      </c>
      <c r="H440" s="142">
        <f t="shared" si="11"/>
        <v>0</v>
      </c>
      <c r="I440" s="142">
        <f t="shared" si="12"/>
        <v>0</v>
      </c>
      <c r="J440" s="142">
        <f t="shared" si="13"/>
        <v>1</v>
      </c>
      <c r="K440" s="142">
        <f t="shared" si="14"/>
        <v>1</v>
      </c>
      <c r="L440" s="139">
        <f>Assumptions!$C$6*Assumptions!$C$7*(1+$G440-0.05*(1-1))^1+Assumptions!$C$6*Assumptions!$C$8*(1+Assumptions!$C$11)^1+Assumptions!$C$16*1+Assumptions!$C$6*Assumptions!$C$9*(1+Assumptions!$C$12)^1</f>
        <v>744.1591564</v>
      </c>
      <c r="M440" s="139">
        <f>Assumptions!$C$6*Assumptions!$C$7*(1+$G440-0.05*(1-$H440))^2+Assumptions!$C$6*Assumptions!$C$8*(1+Assumptions!$C$11)^2+Assumptions!$C$16*$H440+Assumptions!$C$6*Assumptions!$C$9*(1+Assumptions!$C$12)^2</f>
        <v>674.789876</v>
      </c>
      <c r="N440" s="139">
        <f>Assumptions!$C$6*Assumptions!$C$7*(1+$G440-0.05*(1-$I440))^3+Assumptions!$C$6*Assumptions!$C$8*(1+Assumptions!$C$11)^3+Assumptions!$C$16*$I440+Assumptions!$C$6*Assumptions!$C$9*(1+Assumptions!$C$12)^3</f>
        <v>682.3847516</v>
      </c>
      <c r="O440" s="139">
        <f>Assumptions!$C$6*Assumptions!$C$7*(1+$G440-0.05*(1-$J440))^4+Assumptions!$C$6*Assumptions!$C$8*(1+Assumptions!$C$11)^4+Assumptions!$C$16*$J440+Assumptions!$C$6*Assumptions!$C$9*(1+Assumptions!$C$12)^4</f>
        <v>823.2001468</v>
      </c>
      <c r="P440" s="139">
        <f>Assumptions!$C$6*Assumptions!$C$7*(1+$G440-0.05*(1-$K440))^5+Assumptions!$C$6*Assumptions!$C$8*(1+Assumptions!$C$11)^5+Assumptions!$C$16*$K440+Assumptions!$C$6*Assumptions!$C$9*(1+Assumptions!$C$12)^5</f>
        <v>851.9153775</v>
      </c>
      <c r="Q440" s="139">
        <f>($L440*(1-(Assumptions!$C$25+0.06*(1-1))-Assumptions!$C$27)-Assumptions!$C$28)-MAX(0,($L440*(1-(Assumptions!$C$25+0.06*(1-1))-Assumptions!$C$27)-Assumptions!$C$28)*Assumptions!$C$31)+Assumptions!$C$28-Assumptions!$C$29-$L440*Assumptions!$C$30</f>
        <v>92.49421863</v>
      </c>
      <c r="R440" s="139">
        <f>($M440*(1-(Assumptions!$C$25+0.06*(1-$H440))-Assumptions!$C$27)-Assumptions!$C$28)-MAX(0,($M440*(1-(Assumptions!$C$25+0.06*(1-$H440))-Assumptions!$C$27)-Assumptions!$C$28)*Assumptions!$C$31)+Assumptions!$C$28-Assumptions!$C$29-$M440*Assumptions!$C$30</f>
        <v>35.20167149</v>
      </c>
      <c r="S440" s="139">
        <f>($N440*(1-(Assumptions!$C$25+0.06*(1-$I440))-Assumptions!$C$27)-Assumptions!$C$28)-MAX(0,($N440*(1-(Assumptions!$C$25+0.06*(1-$I440))-Assumptions!$C$27)-Assumptions!$C$28)*Assumptions!$C$31)+Assumptions!$C$28-Assumptions!$C$29-$N440*Assumptions!$C$30</f>
        <v>36.94849288</v>
      </c>
      <c r="T440" s="139">
        <f>($O440*(1-(Assumptions!$C$25+0.06*(1-$J440))-Assumptions!$C$27)-Assumptions!$C$28)-MAX(0,($O440*(1-(Assumptions!$C$25+0.06*(1-$J440))-Assumptions!$C$27)-Assumptions!$C$28)*Assumptions!$C$31)+Assumptions!$C$28-Assumptions!$C$29-$O440*Assumptions!$C$30</f>
        <v>109.4880316</v>
      </c>
      <c r="U440" s="139">
        <f>($P440*(1-(Assumptions!$C$25+0.06*(1-$K440))-Assumptions!$C$27)-Assumptions!$C$28)-MAX(0,($P440*(1-(Assumptions!$C$25+0.06*(1-$K440))-Assumptions!$C$27)-Assumptions!$C$28)*Assumptions!$C$31)+Assumptions!$C$28-Assumptions!$C$29-$P440*Assumptions!$C$30</f>
        <v>115.6618062</v>
      </c>
      <c r="V440" s="143">
        <f>(($Q440/(1+$D440)^1+$R440/(1+$D440)^2+$S440/(1+$D440)^3+$T440/(1+$D440)^4+$U440/(1+$D440)^5+$U440*(1+$E440)/($D440-$E440)/(1+$D440)^5)-Assumptions!$C$37)/Assumptions!$C$40/Assumptions!$C$38</f>
        <v>2.913444752</v>
      </c>
    </row>
    <row r="441" ht="12.0" customHeight="1">
      <c r="B441" s="139">
        <v>389.0</v>
      </c>
      <c r="C441" s="140">
        <f t="shared" si="6"/>
        <v>0.08732659463</v>
      </c>
      <c r="D441" s="141">
        <f t="shared" si="7"/>
        <v>0.09044092966</v>
      </c>
      <c r="E441" s="141">
        <f t="shared" si="8"/>
        <v>0.01509855313</v>
      </c>
      <c r="F441" s="140">
        <f t="shared" si="9"/>
        <v>0.3270176503</v>
      </c>
      <c r="G441" s="141">
        <f t="shared" si="10"/>
        <v>0.0542617347</v>
      </c>
      <c r="H441" s="142">
        <f t="shared" si="11"/>
        <v>1</v>
      </c>
      <c r="I441" s="142">
        <f t="shared" si="12"/>
        <v>1</v>
      </c>
      <c r="J441" s="142">
        <f t="shared" si="13"/>
        <v>1</v>
      </c>
      <c r="K441" s="142">
        <f t="shared" si="14"/>
        <v>0</v>
      </c>
      <c r="L441" s="139">
        <f>Assumptions!$C$6*Assumptions!$C$7*(1+$G441-0.05*(1-1))^1+Assumptions!$C$6*Assumptions!$C$8*(1+Assumptions!$C$11)^1+Assumptions!$C$16*1+Assumptions!$C$6*Assumptions!$C$9*(1+Assumptions!$C$12)^1</f>
        <v>744.7324999</v>
      </c>
      <c r="M441" s="139">
        <f>Assumptions!$C$6*Assumptions!$C$7*(1+$G441-0.05*(1-$H441))^2+Assumptions!$C$6*Assumptions!$C$8*(1+Assumptions!$C$11)^2+Assumptions!$C$16*$H441+Assumptions!$C$6*Assumptions!$C$9*(1+Assumptions!$C$12)^2</f>
        <v>770.5854232</v>
      </c>
      <c r="N441" s="139">
        <f>Assumptions!$C$6*Assumptions!$C$7*(1+$G441-0.05*(1-$I441))^3+Assumptions!$C$6*Assumptions!$C$8*(1+Assumptions!$C$11)^3+Assumptions!$C$16*$I441+Assumptions!$C$6*Assumptions!$C$9*(1+Assumptions!$C$12)^3</f>
        <v>797.6151341</v>
      </c>
      <c r="O441" s="139">
        <f>Assumptions!$C$6*Assumptions!$C$7*(1+$G441-0.05*(1-$J441))^4+Assumptions!$C$6*Assumptions!$C$8*(1+Assumptions!$C$11)^4+Assumptions!$C$16*$J441+Assumptions!$C$6*Assumptions!$C$9*(1+Assumptions!$C$12)^4</f>
        <v>825.8809661</v>
      </c>
      <c r="P441" s="139">
        <f>Assumptions!$C$6*Assumptions!$C$7*(1+$G441-0.05*(1-$K441))^5+Assumptions!$C$6*Assumptions!$C$8*(1+Assumptions!$C$11)^5+Assumptions!$C$16*$K441+Assumptions!$C$6*Assumptions!$C$9*(1+Assumptions!$C$12)^5</f>
        <v>700.8936269</v>
      </c>
      <c r="Q441" s="139">
        <f>($L441*(1-(Assumptions!$C$25+0.06*(1-1))-Assumptions!$C$27)-Assumptions!$C$28)-MAX(0,($L441*(1-(Assumptions!$C$25+0.06*(1-1))-Assumptions!$C$27)-Assumptions!$C$28)*Assumptions!$C$31)+Assumptions!$C$28-Assumptions!$C$29-$L441*Assumptions!$C$30</f>
        <v>92.61748748</v>
      </c>
      <c r="R441" s="139">
        <f>($M441*(1-(Assumptions!$C$25+0.06*(1-$H441))-Assumptions!$C$27)-Assumptions!$C$28)-MAX(0,($M441*(1-(Assumptions!$C$25+0.06*(1-$H441))-Assumptions!$C$27)-Assumptions!$C$28)*Assumptions!$C$31)+Assumptions!$C$28-Assumptions!$C$29-$M441*Assumptions!$C$30</f>
        <v>98.175866</v>
      </c>
      <c r="S441" s="139">
        <f>($N441*(1-(Assumptions!$C$25+0.06*(1-$I441))-Assumptions!$C$27)-Assumptions!$C$28)-MAX(0,($N441*(1-(Assumptions!$C$25+0.06*(1-$I441))-Assumptions!$C$27)-Assumptions!$C$28)*Assumptions!$C$31)+Assumptions!$C$28-Assumptions!$C$29-$N441*Assumptions!$C$30</f>
        <v>103.9872538</v>
      </c>
      <c r="T441" s="139">
        <f>($O441*(1-(Assumptions!$C$25+0.06*(1-$J441))-Assumptions!$C$27)-Assumptions!$C$28)-MAX(0,($O441*(1-(Assumptions!$C$25+0.06*(1-$J441))-Assumptions!$C$27)-Assumptions!$C$28)*Assumptions!$C$31)+Assumptions!$C$28-Assumptions!$C$29-$O441*Assumptions!$C$30</f>
        <v>110.0644077</v>
      </c>
      <c r="U441" s="139">
        <f>($P441*(1-(Assumptions!$C$25+0.06*(1-$K441))-Assumptions!$C$27)-Assumptions!$C$28)-MAX(0,($P441*(1-(Assumptions!$C$25+0.06*(1-$K441))-Assumptions!$C$27)-Assumptions!$C$28)*Assumptions!$C$31)+Assumptions!$C$28-Assumptions!$C$29-$P441*Assumptions!$C$30</f>
        <v>41.20553419</v>
      </c>
      <c r="V441" s="143">
        <f>(($Q441/(1+$D441)^1+$R441/(1+$D441)^2+$S441/(1+$D441)^3+$T441/(1+$D441)^4+$U441/(1+$D441)^5+$U441*(1+$E441)/($D441-$E441)/(1+$D441)^5)-Assumptions!$C$37)/Assumptions!$C$40/Assumptions!$C$38</f>
        <v>0.1612827466</v>
      </c>
    </row>
    <row r="442" ht="12.0" customHeight="1">
      <c r="B442" s="139">
        <v>390.0</v>
      </c>
      <c r="C442" s="140">
        <f t="shared" si="6"/>
        <v>0.07642895776</v>
      </c>
      <c r="D442" s="141">
        <f t="shared" si="7"/>
        <v>0.09009012934</v>
      </c>
      <c r="E442" s="141">
        <f t="shared" si="8"/>
        <v>0.01362071527</v>
      </c>
      <c r="F442" s="140">
        <f t="shared" si="9"/>
        <v>0.376098991</v>
      </c>
      <c r="G442" s="141">
        <f t="shared" si="10"/>
        <v>0.05601880443</v>
      </c>
      <c r="H442" s="142">
        <f t="shared" si="11"/>
        <v>1</v>
      </c>
      <c r="I442" s="142">
        <f t="shared" si="12"/>
        <v>0</v>
      </c>
      <c r="J442" s="142">
        <f t="shared" si="13"/>
        <v>1</v>
      </c>
      <c r="K442" s="142">
        <f t="shared" si="14"/>
        <v>1</v>
      </c>
      <c r="L442" s="139">
        <f>Assumptions!$C$6*Assumptions!$C$7*(1+$G442-0.05*(1-1))^1+Assumptions!$C$6*Assumptions!$C$8*(1+Assumptions!$C$11)^1+Assumptions!$C$16*1+Assumptions!$C$6*Assumptions!$C$9*(1+Assumptions!$C$12)^1</f>
        <v>745.3239296</v>
      </c>
      <c r="M442" s="139">
        <f>Assumptions!$C$6*Assumptions!$C$7*(1+$G442-0.05*(1-$H442))^2+Assumptions!$C$6*Assumptions!$C$8*(1+Assumptions!$C$11)^2+Assumptions!$C$16*$H442+Assumptions!$C$6*Assumptions!$C$9*(1+Assumptions!$C$12)^2</f>
        <v>771.8335058</v>
      </c>
      <c r="N442" s="139">
        <f>Assumptions!$C$6*Assumptions!$C$7*(1+$G442-0.05*(1-$I442))^3+Assumptions!$C$6*Assumptions!$C$8*(1+Assumptions!$C$11)^3+Assumptions!$C$16*$I442+Assumptions!$C$6*Assumptions!$C$9*(1+Assumptions!$C$12)^3</f>
        <v>685.9091103</v>
      </c>
      <c r="O442" s="139">
        <f>Assumptions!$C$6*Assumptions!$C$7*(1+$G442-0.05*(1-$J442))^4+Assumptions!$C$6*Assumptions!$C$8*(1+Assumptions!$C$11)^4+Assumptions!$C$16*$J442+Assumptions!$C$6*Assumptions!$C$9*(1+Assumptions!$C$12)^4</f>
        <v>828.660001</v>
      </c>
      <c r="P442" s="139">
        <f>Assumptions!$C$6*Assumptions!$C$7*(1+$G442-0.05*(1-$K442))^5+Assumptions!$C$6*Assumptions!$C$8*(1+Assumptions!$C$11)^5+Assumptions!$C$16*$K442+Assumptions!$C$6*Assumptions!$C$9*(1+Assumptions!$C$12)^5</f>
        <v>859.1107244</v>
      </c>
      <c r="Q442" s="139">
        <f>($L442*(1-(Assumptions!$C$25+0.06*(1-1))-Assumptions!$C$27)-Assumptions!$C$28)-MAX(0,($L442*(1-(Assumptions!$C$25+0.06*(1-1))-Assumptions!$C$27)-Assumptions!$C$28)*Assumptions!$C$31)+Assumptions!$C$28-Assumptions!$C$29-$L442*Assumptions!$C$30</f>
        <v>92.74464486</v>
      </c>
      <c r="R442" s="139">
        <f>($M442*(1-(Assumptions!$C$25+0.06*(1-$H442))-Assumptions!$C$27)-Assumptions!$C$28)-MAX(0,($M442*(1-(Assumptions!$C$25+0.06*(1-$H442))-Assumptions!$C$27)-Assumptions!$C$28)*Assumptions!$C$31)+Assumptions!$C$28-Assumptions!$C$29-$M442*Assumptions!$C$30</f>
        <v>98.44420374</v>
      </c>
      <c r="S442" s="139">
        <f>($N442*(1-(Assumptions!$C$25+0.06*(1-$I442))-Assumptions!$C$27)-Assumptions!$C$28)-MAX(0,($N442*(1-(Assumptions!$C$25+0.06*(1-$I442))-Assumptions!$C$27)-Assumptions!$C$28)*Assumptions!$C$31)+Assumptions!$C$28-Assumptions!$C$29-$N442*Assumptions!$C$30</f>
        <v>37.75909537</v>
      </c>
      <c r="T442" s="139">
        <f>($O442*(1-(Assumptions!$C$25+0.06*(1-$J442))-Assumptions!$C$27)-Assumptions!$C$28)-MAX(0,($O442*(1-(Assumptions!$C$25+0.06*(1-$J442))-Assumptions!$C$27)-Assumptions!$C$28)*Assumptions!$C$31)+Assumptions!$C$28-Assumptions!$C$29-$O442*Assumptions!$C$30</f>
        <v>110.6619002</v>
      </c>
      <c r="U442" s="139">
        <f>($P442*(1-(Assumptions!$C$25+0.06*(1-$K442))-Assumptions!$C$27)-Assumptions!$C$28)-MAX(0,($P442*(1-(Assumptions!$C$25+0.06*(1-$K442))-Assumptions!$C$27)-Assumptions!$C$28)*Assumptions!$C$31)+Assumptions!$C$28-Assumptions!$C$29-$P442*Assumptions!$C$30</f>
        <v>117.2088058</v>
      </c>
      <c r="V442" s="143">
        <f>(($Q442/(1+$D442)^1+$R442/(1+$D442)^2+$S442/(1+$D442)^3+$T442/(1+$D442)^4+$U442/(1+$D442)^5+$U442*(1+$E442)/($D442-$E442)/(1+$D442)^5)-Assumptions!$C$37)/Assumptions!$C$40/Assumptions!$C$38</f>
        <v>5.222620913</v>
      </c>
    </row>
    <row r="443" ht="12.0" customHeight="1">
      <c r="B443" s="139">
        <v>391.0</v>
      </c>
      <c r="C443" s="140">
        <f t="shared" si="6"/>
        <v>0.09563881129</v>
      </c>
      <c r="D443" s="141">
        <f t="shared" si="7"/>
        <v>0.09069399307</v>
      </c>
      <c r="E443" s="141">
        <f t="shared" si="8"/>
        <v>0.01874897585</v>
      </c>
      <c r="F443" s="140">
        <f t="shared" si="9"/>
        <v>0.8753432214</v>
      </c>
      <c r="G443" s="141">
        <f t="shared" si="10"/>
        <v>0.07502060744</v>
      </c>
      <c r="H443" s="142">
        <f t="shared" si="11"/>
        <v>1</v>
      </c>
      <c r="I443" s="142">
        <f t="shared" si="12"/>
        <v>1</v>
      </c>
      <c r="J443" s="142">
        <f t="shared" si="13"/>
        <v>1</v>
      </c>
      <c r="K443" s="142">
        <f t="shared" si="14"/>
        <v>1</v>
      </c>
      <c r="L443" s="139">
        <f>Assumptions!$C$6*Assumptions!$C$7*(1+$G443-0.05*(1-1))^1+Assumptions!$C$6*Assumptions!$C$8*(1+Assumptions!$C$11)^1+Assumptions!$C$16*1+Assumptions!$C$6*Assumptions!$C$9*(1+Assumptions!$C$12)^1</f>
        <v>751.7199365</v>
      </c>
      <c r="M443" s="139">
        <f>Assumptions!$C$6*Assumptions!$C$7*(1+$G443-0.05*(1-$H443))^2+Assumptions!$C$6*Assumptions!$C$8*(1+Assumptions!$C$11)^2+Assumptions!$C$16*$H443+Assumptions!$C$6*Assumptions!$C$9*(1+Assumptions!$C$12)^2</f>
        <v>785.4636485</v>
      </c>
      <c r="N443" s="139">
        <f>Assumptions!$C$6*Assumptions!$C$7*(1+$G443-0.05*(1-$I443))^3+Assumptions!$C$6*Assumptions!$C$8*(1+Assumptions!$C$11)^3+Assumptions!$C$16*$I443+Assumptions!$C$6*Assumptions!$C$9*(1+Assumptions!$C$12)^3</f>
        <v>821.3758436</v>
      </c>
      <c r="O443" s="139">
        <f>Assumptions!$C$6*Assumptions!$C$7*(1+$G443-0.05*(1-$J443))^4+Assumptions!$C$6*Assumptions!$C$8*(1+Assumptions!$C$11)^4+Assumptions!$C$16*$J443+Assumptions!$C$6*Assumptions!$C$9*(1+Assumptions!$C$12)^4</f>
        <v>859.6119429</v>
      </c>
      <c r="P443" s="139">
        <f>Assumptions!$C$6*Assumptions!$C$7*(1+$G443-0.05*(1-$K443))^5+Assumptions!$C$6*Assumptions!$C$8*(1+Assumptions!$C$11)^5+Assumptions!$C$16*$K443+Assumptions!$C$6*Assumptions!$C$9*(1+Assumptions!$C$12)^5</f>
        <v>900.3388819</v>
      </c>
      <c r="Q443" s="139">
        <f>($L443*(1-(Assumptions!$C$25+0.06*(1-1))-Assumptions!$C$27)-Assumptions!$C$28)-MAX(0,($L443*(1-(Assumptions!$C$25+0.06*(1-1))-Assumptions!$C$27)-Assumptions!$C$28)*Assumptions!$C$31)+Assumptions!$C$28-Assumptions!$C$29-$L443*Assumptions!$C$30</f>
        <v>94.11978634</v>
      </c>
      <c r="R443" s="139">
        <f>($M443*(1-(Assumptions!$C$25+0.06*(1-$H443))-Assumptions!$C$27)-Assumptions!$C$28)-MAX(0,($M443*(1-(Assumptions!$C$25+0.06*(1-$H443))-Assumptions!$C$27)-Assumptions!$C$28)*Assumptions!$C$31)+Assumptions!$C$28-Assumptions!$C$29-$M443*Assumptions!$C$30</f>
        <v>101.3746844</v>
      </c>
      <c r="S443" s="139">
        <f>($N443*(1-(Assumptions!$C$25+0.06*(1-$I443))-Assumptions!$C$27)-Assumptions!$C$28)-MAX(0,($N443*(1-(Assumptions!$C$25+0.06*(1-$I443))-Assumptions!$C$27)-Assumptions!$C$28)*Assumptions!$C$31)+Assumptions!$C$28-Assumptions!$C$29-$N443*Assumptions!$C$30</f>
        <v>109.0958064</v>
      </c>
      <c r="T443" s="139">
        <f>($O443*(1-(Assumptions!$C$25+0.06*(1-$J443))-Assumptions!$C$27)-Assumptions!$C$28)-MAX(0,($O443*(1-(Assumptions!$C$25+0.06*(1-$J443))-Assumptions!$C$27)-Assumptions!$C$28)*Assumptions!$C$31)+Assumptions!$C$28-Assumptions!$C$29-$O443*Assumptions!$C$30</f>
        <v>117.3165677</v>
      </c>
      <c r="U443" s="139">
        <f>($P443*(1-(Assumptions!$C$25+0.06*(1-$K443))-Assumptions!$C$27)-Assumptions!$C$28)-MAX(0,($P443*(1-(Assumptions!$C$25+0.06*(1-$K443))-Assumptions!$C$27)-Assumptions!$C$28)*Assumptions!$C$31)+Assumptions!$C$28-Assumptions!$C$29-$P443*Assumptions!$C$30</f>
        <v>126.0728596</v>
      </c>
      <c r="V443" s="143">
        <f>(($Q443/(1+$D443)^1+$R443/(1+$D443)^2+$S443/(1+$D443)^3+$T443/(1+$D443)^4+$U443/(1+$D443)^5+$U443*(1+$E443)/($D443-$E443)/(1+$D443)^5)-Assumptions!$C$37)/Assumptions!$C$40/Assumptions!$C$38</f>
        <v>6.906839406</v>
      </c>
    </row>
    <row r="444" ht="12.0" customHeight="1">
      <c r="B444" s="139">
        <v>392.0</v>
      </c>
      <c r="C444" s="140">
        <f t="shared" si="6"/>
        <v>0.06391083699</v>
      </c>
      <c r="D444" s="141">
        <f t="shared" si="7"/>
        <v>0.08965465076</v>
      </c>
      <c r="E444" s="141">
        <f t="shared" si="8"/>
        <v>0.01183710997</v>
      </c>
      <c r="F444" s="140">
        <f t="shared" si="9"/>
        <v>0.2980065126</v>
      </c>
      <c r="G444" s="141">
        <f t="shared" si="10"/>
        <v>0.05316056395</v>
      </c>
      <c r="H444" s="142">
        <f t="shared" si="11"/>
        <v>1</v>
      </c>
      <c r="I444" s="142">
        <f t="shared" si="12"/>
        <v>1</v>
      </c>
      <c r="J444" s="142">
        <f t="shared" si="13"/>
        <v>0</v>
      </c>
      <c r="K444" s="142">
        <f t="shared" si="14"/>
        <v>1</v>
      </c>
      <c r="L444" s="139">
        <f>Assumptions!$C$6*Assumptions!$C$7*(1+$G444-0.05*(1-1))^1+Assumptions!$C$6*Assumptions!$C$8*(1+Assumptions!$C$11)^1+Assumptions!$C$16*1+Assumptions!$C$6*Assumptions!$C$9*(1+Assumptions!$C$12)^1</f>
        <v>744.3618458</v>
      </c>
      <c r="M444" s="139">
        <f>Assumptions!$C$6*Assumptions!$C$7*(1+$G444-0.05*(1-$H444))^2+Assumptions!$C$6*Assumptions!$C$8*(1+Assumptions!$C$11)^2+Assumptions!$C$16*$H444+Assumptions!$C$6*Assumptions!$C$9*(1+Assumptions!$C$12)^2</f>
        <v>769.8042986</v>
      </c>
      <c r="N444" s="139">
        <f>Assumptions!$C$6*Assumptions!$C$7*(1+$G444-0.05*(1-$I444))^3+Assumptions!$C$6*Assumptions!$C$8*(1+Assumptions!$C$11)^3+Assumptions!$C$16*$I444+Assumptions!$C$6*Assumptions!$C$9*(1+Assumptions!$C$12)^3</f>
        <v>796.3805143</v>
      </c>
      <c r="O444" s="139">
        <f>Assumptions!$C$6*Assumptions!$C$7*(1+$G444-0.05*(1-$J444))^4+Assumptions!$C$6*Assumptions!$C$8*(1+Assumptions!$C$11)^4+Assumptions!$C$16*$J444+Assumptions!$C$6*Assumptions!$C$9*(1+Assumptions!$C$12)^4</f>
        <v>690.9341605</v>
      </c>
      <c r="P444" s="139">
        <f>Assumptions!$C$6*Assumptions!$C$7*(1+$G444-0.05*(1-$K444))^5+Assumptions!$C$6*Assumptions!$C$8*(1+Assumptions!$C$11)^5+Assumptions!$C$16*$K444+Assumptions!$C$6*Assumptions!$C$9*(1+Assumptions!$C$12)^5</f>
        <v>853.1607027</v>
      </c>
      <c r="Q444" s="139">
        <f>($L444*(1-(Assumptions!$C$25+0.06*(1-1))-Assumptions!$C$27)-Assumptions!$C$28)-MAX(0,($L444*(1-(Assumptions!$C$25+0.06*(1-1))-Assumptions!$C$27)-Assumptions!$C$28)*Assumptions!$C$31)+Assumptions!$C$28-Assumptions!$C$29-$L444*Assumptions!$C$30</f>
        <v>92.53779685</v>
      </c>
      <c r="R444" s="139">
        <f>($M444*(1-(Assumptions!$C$25+0.06*(1-$H444))-Assumptions!$C$27)-Assumptions!$C$28)-MAX(0,($M444*(1-(Assumptions!$C$25+0.06*(1-$H444))-Assumptions!$C$27)-Assumptions!$C$28)*Assumptions!$C$31)+Assumptions!$C$28-Assumptions!$C$29-$M444*Assumptions!$C$30</f>
        <v>98.0079242</v>
      </c>
      <c r="S444" s="139">
        <f>($N444*(1-(Assumptions!$C$25+0.06*(1-$I444))-Assumptions!$C$27)-Assumptions!$C$28)-MAX(0,($N444*(1-(Assumptions!$C$25+0.06*(1-$I444))-Assumptions!$C$27)-Assumptions!$C$28)*Assumptions!$C$31)+Assumptions!$C$28-Assumptions!$C$29-$N444*Assumptions!$C$30</f>
        <v>103.7218106</v>
      </c>
      <c r="T444" s="139">
        <f>($O444*(1-(Assumptions!$C$25+0.06*(1-$J444))-Assumptions!$C$27)-Assumptions!$C$28)-MAX(0,($O444*(1-(Assumptions!$C$25+0.06*(1-$J444))-Assumptions!$C$27)-Assumptions!$C$28)*Assumptions!$C$31)+Assumptions!$C$28-Assumptions!$C$29-$O444*Assumptions!$C$30</f>
        <v>38.91485692</v>
      </c>
      <c r="U444" s="139">
        <f>($P444*(1-(Assumptions!$C$25+0.06*(1-$K444))-Assumptions!$C$27)-Assumptions!$C$28)-MAX(0,($P444*(1-(Assumptions!$C$25+0.06*(1-$K444))-Assumptions!$C$27)-Assumptions!$C$28)*Assumptions!$C$31)+Assumptions!$C$28-Assumptions!$C$29-$P444*Assumptions!$C$30</f>
        <v>115.9295511</v>
      </c>
      <c r="V444" s="143">
        <f>(($Q444/(1+$D444)^1+$R444/(1+$D444)^2+$S444/(1+$D444)^3+$T444/(1+$D444)^4+$U444/(1+$D444)^5+$U444*(1+$E444)/($D444-$E444)/(1+$D444)^5)-Assumptions!$C$37)/Assumptions!$C$40/Assumptions!$C$38</f>
        <v>4.99658353</v>
      </c>
    </row>
    <row r="445" ht="12.0" customHeight="1">
      <c r="B445" s="139">
        <v>393.0</v>
      </c>
      <c r="C445" s="140">
        <f t="shared" si="6"/>
        <v>0.668085767</v>
      </c>
      <c r="D445" s="141">
        <f t="shared" si="7"/>
        <v>0.1013543456</v>
      </c>
      <c r="E445" s="141">
        <f t="shared" si="8"/>
        <v>0.02002216455</v>
      </c>
      <c r="F445" s="140">
        <f t="shared" si="9"/>
        <v>0.7215658087</v>
      </c>
      <c r="G445" s="141">
        <f t="shared" si="10"/>
        <v>0.06761291568</v>
      </c>
      <c r="H445" s="142">
        <f t="shared" si="11"/>
        <v>1</v>
      </c>
      <c r="I445" s="142">
        <f t="shared" si="12"/>
        <v>1</v>
      </c>
      <c r="J445" s="142">
        <f t="shared" si="13"/>
        <v>1</v>
      </c>
      <c r="K445" s="142">
        <f t="shared" si="14"/>
        <v>1</v>
      </c>
      <c r="L445" s="139">
        <f>Assumptions!$C$6*Assumptions!$C$7*(1+$G445-0.05*(1-1))^1+Assumptions!$C$6*Assumptions!$C$8*(1+Assumptions!$C$11)^1+Assumptions!$C$16*1+Assumptions!$C$6*Assumptions!$C$9*(1+Assumptions!$C$12)^1</f>
        <v>749.2265074</v>
      </c>
      <c r="M445" s="139">
        <f>Assumptions!$C$6*Assumptions!$C$7*(1+$G445-0.05*(1-$H445))^2+Assumptions!$C$6*Assumptions!$C$8*(1+Assumptions!$C$11)^2+Assumptions!$C$16*$H445+Assumptions!$C$6*Assumptions!$C$9*(1+Assumptions!$C$12)^2</f>
        <v>780.1211439</v>
      </c>
      <c r="N445" s="139">
        <f>Assumptions!$C$6*Assumptions!$C$7*(1+$G445-0.05*(1-$I445))^3+Assumptions!$C$6*Assumptions!$C$8*(1+Assumptions!$C$11)^3+Assumptions!$C$16*$I445+Assumptions!$C$6*Assumptions!$C$9*(1+Assumptions!$C$12)^3</f>
        <v>812.7905372</v>
      </c>
      <c r="O445" s="139">
        <f>Assumptions!$C$6*Assumptions!$C$7*(1+$G445-0.05*(1-$J445))^4+Assumptions!$C$6*Assumptions!$C$8*(1+Assumptions!$C$11)^4+Assumptions!$C$16*$J445+Assumptions!$C$6*Assumptions!$C$9*(1+Assumptions!$C$12)^4</f>
        <v>847.3484016</v>
      </c>
      <c r="P445" s="139">
        <f>Assumptions!$C$6*Assumptions!$C$7*(1+$G445-0.05*(1-$K445))^5+Assumptions!$C$6*Assumptions!$C$8*(1+Assumptions!$C$11)^5+Assumptions!$C$16*$K445+Assumptions!$C$6*Assumptions!$C$9*(1+Assumptions!$C$12)^5</f>
        <v>883.916014</v>
      </c>
      <c r="Q445" s="139">
        <f>($L445*(1-(Assumptions!$C$25+0.06*(1-1))-Assumptions!$C$27)-Assumptions!$C$28)-MAX(0,($L445*(1-(Assumptions!$C$25+0.06*(1-1))-Assumptions!$C$27)-Assumptions!$C$28)*Assumptions!$C$31)+Assumptions!$C$28-Assumptions!$C$29-$L445*Assumptions!$C$30</f>
        <v>93.58369909</v>
      </c>
      <c r="R445" s="139">
        <f>($M445*(1-(Assumptions!$C$25+0.06*(1-$H445))-Assumptions!$C$27)-Assumptions!$C$28)-MAX(0,($M445*(1-(Assumptions!$C$25+0.06*(1-$H445))-Assumptions!$C$27)-Assumptions!$C$28)*Assumptions!$C$31)+Assumptions!$C$28-Assumptions!$C$29-$M445*Assumptions!$C$30</f>
        <v>100.2260459</v>
      </c>
      <c r="S445" s="139">
        <f>($N445*(1-(Assumptions!$C$25+0.06*(1-$I445))-Assumptions!$C$27)-Assumptions!$C$28)-MAX(0,($N445*(1-(Assumptions!$C$25+0.06*(1-$I445))-Assumptions!$C$27)-Assumptions!$C$28)*Assumptions!$C$31)+Assumptions!$C$28-Assumptions!$C$29-$N445*Assumptions!$C$30</f>
        <v>107.2499655</v>
      </c>
      <c r="T445" s="139">
        <f>($O445*(1-(Assumptions!$C$25+0.06*(1-$J445))-Assumptions!$C$27)-Assumptions!$C$28)-MAX(0,($O445*(1-(Assumptions!$C$25+0.06*(1-$J445))-Assumptions!$C$27)-Assumptions!$C$28)*Assumptions!$C$31)+Assumptions!$C$28-Assumptions!$C$29-$O445*Assumptions!$C$30</f>
        <v>114.6799063</v>
      </c>
      <c r="U445" s="139">
        <f>($P445*(1-(Assumptions!$C$25+0.06*(1-$K445))-Assumptions!$C$27)-Assumptions!$C$28)-MAX(0,($P445*(1-(Assumptions!$C$25+0.06*(1-$K445))-Assumptions!$C$27)-Assumptions!$C$28)*Assumptions!$C$31)+Assumptions!$C$28-Assumptions!$C$29-$P445*Assumptions!$C$30</f>
        <v>122.541943</v>
      </c>
      <c r="V445" s="143">
        <f>(($Q445/(1+$D445)^1+$R445/(1+$D445)^2+$S445/(1+$D445)^3+$T445/(1+$D445)^4+$U445/(1+$D445)^5+$U445*(1+$E445)/($D445-$E445)/(1+$D445)^5)-Assumptions!$C$37)/Assumptions!$C$40/Assumptions!$C$38</f>
        <v>5.136237879</v>
      </c>
    </row>
    <row r="446" ht="12.0" customHeight="1">
      <c r="B446" s="139">
        <v>394.0</v>
      </c>
      <c r="C446" s="140">
        <f t="shared" si="6"/>
        <v>0.7942791725</v>
      </c>
      <c r="D446" s="141">
        <f t="shared" si="7"/>
        <v>0.104257124</v>
      </c>
      <c r="E446" s="141">
        <f t="shared" si="8"/>
        <v>0.02366210863</v>
      </c>
      <c r="F446" s="140">
        <f t="shared" si="9"/>
        <v>0.1130878188</v>
      </c>
      <c r="G446" s="141">
        <f t="shared" si="10"/>
        <v>0.04426737796</v>
      </c>
      <c r="H446" s="142">
        <f t="shared" si="11"/>
        <v>1</v>
      </c>
      <c r="I446" s="142">
        <f t="shared" si="12"/>
        <v>1</v>
      </c>
      <c r="J446" s="142">
        <f t="shared" si="13"/>
        <v>1</v>
      </c>
      <c r="K446" s="142">
        <f t="shared" si="14"/>
        <v>0</v>
      </c>
      <c r="L446" s="139">
        <f>Assumptions!$C$6*Assumptions!$C$7*(1+$G446-0.05*(1-1))^1+Assumptions!$C$6*Assumptions!$C$8*(1+Assumptions!$C$11)^1+Assumptions!$C$16*1+Assumptions!$C$6*Assumptions!$C$9*(1+Assumptions!$C$12)^1</f>
        <v>741.3683994</v>
      </c>
      <c r="M446" s="139">
        <f>Assumptions!$C$6*Assumptions!$C$7*(1+$G446-0.05*(1-$H446))^2+Assumptions!$C$6*Assumptions!$C$8*(1+Assumptions!$C$11)^2+Assumptions!$C$16*$H446+Assumptions!$C$6*Assumptions!$C$9*(1+Assumptions!$C$12)^2</f>
        <v>763.5257605</v>
      </c>
      <c r="N446" s="139">
        <f>Assumptions!$C$6*Assumptions!$C$7*(1+$G446-0.05*(1-$I446))^3+Assumptions!$C$6*Assumptions!$C$8*(1+Assumptions!$C$11)^3+Assumptions!$C$16*$I446+Assumptions!$C$6*Assumptions!$C$9*(1+Assumptions!$C$12)^3</f>
        <v>786.5038691</v>
      </c>
      <c r="O446" s="139">
        <f>Assumptions!$C$6*Assumptions!$C$7*(1+$G446-0.05*(1-$J446))^4+Assumptions!$C$6*Assumptions!$C$8*(1+Assumptions!$C$11)^4+Assumptions!$C$16*$J446+Assumptions!$C$6*Assumptions!$C$9*(1+Assumptions!$C$12)^4</f>
        <v>810.3358558</v>
      </c>
      <c r="P446" s="139">
        <f>Assumptions!$C$6*Assumptions!$C$7*(1+$G446-0.05*(1-$K446))^5+Assumptions!$C$6*Assumptions!$C$8*(1+Assumptions!$C$11)^5+Assumptions!$C$16*$K446+Assumptions!$C$6*Assumptions!$C$9*(1+Assumptions!$C$12)^5</f>
        <v>684.1217133</v>
      </c>
      <c r="Q446" s="139">
        <f>($L446*(1-(Assumptions!$C$25+0.06*(1-1))-Assumptions!$C$27)-Assumptions!$C$28)-MAX(0,($L446*(1-(Assumptions!$C$25+0.06*(1-1))-Assumptions!$C$27)-Assumptions!$C$28)*Assumptions!$C$31)+Assumptions!$C$28-Assumptions!$C$29-$L446*Assumptions!$C$30</f>
        <v>91.89420588</v>
      </c>
      <c r="R446" s="139">
        <f>($M446*(1-(Assumptions!$C$25+0.06*(1-$H446))-Assumptions!$C$27)-Assumptions!$C$28)-MAX(0,($M446*(1-(Assumptions!$C$25+0.06*(1-$H446))-Assumptions!$C$27)-Assumptions!$C$28)*Assumptions!$C$31)+Assumptions!$C$28-Assumptions!$C$29-$M446*Assumptions!$C$30</f>
        <v>96.6580385</v>
      </c>
      <c r="S446" s="139">
        <f>($N446*(1-(Assumptions!$C$25+0.06*(1-$I446))-Assumptions!$C$27)-Assumptions!$C$28)-MAX(0,($N446*(1-(Assumptions!$C$25+0.06*(1-$I446))-Assumptions!$C$27)-Assumptions!$C$28)*Assumptions!$C$31)+Assumptions!$C$28-Assumptions!$C$29-$N446*Assumptions!$C$30</f>
        <v>101.5983319</v>
      </c>
      <c r="T446" s="139">
        <f>($O446*(1-(Assumptions!$C$25+0.06*(1-$J446))-Assumptions!$C$27)-Assumptions!$C$28)-MAX(0,($O446*(1-(Assumptions!$C$25+0.06*(1-$J446))-Assumptions!$C$27)-Assumptions!$C$28)*Assumptions!$C$31)+Assumptions!$C$28-Assumptions!$C$29-$O446*Assumptions!$C$30</f>
        <v>106.722209</v>
      </c>
      <c r="U446" s="139">
        <f>($P446*(1-(Assumptions!$C$25+0.06*(1-$K446))-Assumptions!$C$27)-Assumptions!$C$28)-MAX(0,($P446*(1-(Assumptions!$C$25+0.06*(1-$K446))-Assumptions!$C$27)-Assumptions!$C$28)*Assumptions!$C$31)+Assumptions!$C$28-Assumptions!$C$29-$P446*Assumptions!$C$30</f>
        <v>37.34799405</v>
      </c>
      <c r="V446" s="143">
        <f>(($Q446/(1+$D446)^1+$R446/(1+$D446)^2+$S446/(1+$D446)^3+$T446/(1+$D446)^4+$U446/(1+$D446)^5+$U446*(1+$E446)/($D446-$E446)/(1+$D446)^5)-Assumptions!$C$37)/Assumptions!$C$40/Assumptions!$C$38</f>
        <v>-0.5488366214</v>
      </c>
    </row>
    <row r="447" ht="12.0" customHeight="1">
      <c r="B447" s="139">
        <v>395.0</v>
      </c>
      <c r="C447" s="140">
        <f t="shared" si="6"/>
        <v>0.0427703741</v>
      </c>
      <c r="D447" s="141">
        <f t="shared" si="7"/>
        <v>0.08880777584</v>
      </c>
      <c r="E447" s="141">
        <f t="shared" si="8"/>
        <v>0.02519198278</v>
      </c>
      <c r="F447" s="140">
        <f t="shared" si="9"/>
        <v>0.4750724795</v>
      </c>
      <c r="G447" s="141">
        <f t="shared" si="10"/>
        <v>0.05924261382</v>
      </c>
      <c r="H447" s="142">
        <f t="shared" si="11"/>
        <v>1</v>
      </c>
      <c r="I447" s="142">
        <f t="shared" si="12"/>
        <v>1</v>
      </c>
      <c r="J447" s="142">
        <f t="shared" si="13"/>
        <v>0</v>
      </c>
      <c r="K447" s="142">
        <f t="shared" si="14"/>
        <v>0</v>
      </c>
      <c r="L447" s="139">
        <f>Assumptions!$C$6*Assumptions!$C$7*(1+$G447-0.05*(1-1))^1+Assumptions!$C$6*Assumptions!$C$8*(1+Assumptions!$C$11)^1+Assumptions!$C$16*1+Assumptions!$C$6*Assumptions!$C$9*(1+Assumptions!$C$12)^1</f>
        <v>746.4090638</v>
      </c>
      <c r="M447" s="139">
        <f>Assumptions!$C$6*Assumptions!$C$7*(1+$G447-0.05*(1-$H447))^2+Assumptions!$C$6*Assumptions!$C$8*(1+Assumptions!$C$11)^2+Assumptions!$C$16*$H447+Assumptions!$C$6*Assumptions!$C$9*(1+Assumptions!$C$12)^2</f>
        <v>774.1288484</v>
      </c>
      <c r="N447" s="139">
        <f>Assumptions!$C$6*Assumptions!$C$7*(1+$G447-0.05*(1-$I447))^3+Assumptions!$C$6*Assumptions!$C$8*(1+Assumptions!$C$11)^3+Assumptions!$C$16*$I447+Assumptions!$C$6*Assumptions!$C$9*(1+Assumptions!$C$12)^3</f>
        <v>803.2319278</v>
      </c>
      <c r="O447" s="139">
        <f>Assumptions!$C$6*Assumptions!$C$7*(1+$G447-0.05*(1-$J447))^4+Assumptions!$C$6*Assumptions!$C$8*(1+Assumptions!$C$11)^4+Assumptions!$C$16*$J447+Assumptions!$C$6*Assumptions!$C$9*(1+Assumptions!$C$12)^4</f>
        <v>699.2764075</v>
      </c>
      <c r="P447" s="139">
        <f>Assumptions!$C$6*Assumptions!$C$7*(1+$G447-0.05*(1-$K447))^5+Assumptions!$C$6*Assumptions!$C$8*(1+Assumptions!$C$11)^5+Assumptions!$C$16*$K447+Assumptions!$C$6*Assumptions!$C$9*(1+Assumptions!$C$12)^5</f>
        <v>709.5052644</v>
      </c>
      <c r="Q447" s="139">
        <f>($L447*(1-(Assumptions!$C$25+0.06*(1-1))-Assumptions!$C$27)-Assumptions!$C$28)-MAX(0,($L447*(1-(Assumptions!$C$25+0.06*(1-1))-Assumptions!$C$27)-Assumptions!$C$28)*Assumptions!$C$31)+Assumptions!$C$28-Assumptions!$C$29-$L447*Assumptions!$C$30</f>
        <v>92.97794872</v>
      </c>
      <c r="R447" s="139">
        <f>($M447*(1-(Assumptions!$C$25+0.06*(1-$H447))-Assumptions!$C$27)-Assumptions!$C$28)-MAX(0,($M447*(1-(Assumptions!$C$25+0.06*(1-$H447))-Assumptions!$C$27)-Assumptions!$C$28)*Assumptions!$C$31)+Assumptions!$C$28-Assumptions!$C$29-$M447*Assumptions!$C$30</f>
        <v>98.9377024</v>
      </c>
      <c r="S447" s="139">
        <f>($N447*(1-(Assumptions!$C$25+0.06*(1-$I447))-Assumptions!$C$27)-Assumptions!$C$28)-MAX(0,($N447*(1-(Assumptions!$C$25+0.06*(1-$I447))-Assumptions!$C$27)-Assumptions!$C$28)*Assumptions!$C$31)+Assumptions!$C$28-Assumptions!$C$29-$N447*Assumptions!$C$30</f>
        <v>105.1948645</v>
      </c>
      <c r="T447" s="139">
        <f>($O447*(1-(Assumptions!$C$25+0.06*(1-$J447))-Assumptions!$C$27)-Assumptions!$C$28)-MAX(0,($O447*(1-(Assumptions!$C$25+0.06*(1-$J447))-Assumptions!$C$27)-Assumptions!$C$28)*Assumptions!$C$31)+Assumptions!$C$28-Assumptions!$C$29-$O447*Assumptions!$C$30</f>
        <v>40.83357372</v>
      </c>
      <c r="U447" s="139">
        <f>($P447*(1-(Assumptions!$C$25+0.06*(1-$K447))-Assumptions!$C$27)-Assumptions!$C$28)-MAX(0,($P447*(1-(Assumptions!$C$25+0.06*(1-$K447))-Assumptions!$C$27)-Assumptions!$C$28)*Assumptions!$C$31)+Assumptions!$C$28-Assumptions!$C$29-$P447*Assumptions!$C$30</f>
        <v>43.18621081</v>
      </c>
      <c r="V447" s="143">
        <f>(($Q447/(1+$D447)^1+$R447/(1+$D447)^2+$S447/(1+$D447)^3+$T447/(1+$D447)^4+$U447/(1+$D447)^5+$U447*(1+$E447)/($D447-$E447)/(1+$D447)^5)-Assumptions!$C$37)/Assumptions!$C$40/Assumptions!$C$38</f>
        <v>0.5519998384</v>
      </c>
    </row>
    <row r="448" ht="12.0" customHeight="1">
      <c r="B448" s="139">
        <v>396.0</v>
      </c>
      <c r="C448" s="140">
        <f t="shared" si="6"/>
        <v>0.6900431986</v>
      </c>
      <c r="D448" s="141">
        <f t="shared" si="7"/>
        <v>0.1018134248</v>
      </c>
      <c r="E448" s="141">
        <f t="shared" si="8"/>
        <v>0.02102752315</v>
      </c>
      <c r="F448" s="140">
        <f t="shared" si="9"/>
        <v>0.5119559058</v>
      </c>
      <c r="G448" s="141">
        <f t="shared" si="10"/>
        <v>0.06036084735</v>
      </c>
      <c r="H448" s="142">
        <f t="shared" si="11"/>
        <v>1</v>
      </c>
      <c r="I448" s="142">
        <f t="shared" si="12"/>
        <v>0</v>
      </c>
      <c r="J448" s="142">
        <f t="shared" si="13"/>
        <v>1</v>
      </c>
      <c r="K448" s="142">
        <f t="shared" si="14"/>
        <v>0</v>
      </c>
      <c r="L448" s="139">
        <f>Assumptions!$C$6*Assumptions!$C$7*(1+$G448-0.05*(1-1))^1+Assumptions!$C$6*Assumptions!$C$8*(1+Assumptions!$C$11)^1+Assumptions!$C$16*1+Assumptions!$C$6*Assumptions!$C$9*(1+Assumptions!$C$12)^1</f>
        <v>746.7854612</v>
      </c>
      <c r="M448" s="139">
        <f>Assumptions!$C$6*Assumptions!$C$7*(1+$G448-0.05*(1-$H448))^2+Assumptions!$C$6*Assumptions!$C$8*(1+Assumptions!$C$11)^2+Assumptions!$C$16*$H448+Assumptions!$C$6*Assumptions!$C$9*(1+Assumptions!$C$12)^2</f>
        <v>774.9266616</v>
      </c>
      <c r="N448" s="139">
        <f>Assumptions!$C$6*Assumptions!$C$7*(1+$G448-0.05*(1-$I448))^3+Assumptions!$C$6*Assumptions!$C$8*(1+Assumptions!$C$11)^3+Assumptions!$C$16*$I448+Assumptions!$C$6*Assumptions!$C$9*(1+Assumptions!$C$12)^3</f>
        <v>690.3658244</v>
      </c>
      <c r="O448" s="139">
        <f>Assumptions!$C$6*Assumptions!$C$7*(1+$G448-0.05*(1-$J448))^4+Assumptions!$C$6*Assumptions!$C$8*(1+Assumptions!$C$11)^4+Assumptions!$C$16*$J448+Assumptions!$C$6*Assumptions!$C$9*(1+Assumptions!$C$12)^4</f>
        <v>835.5872498</v>
      </c>
      <c r="P448" s="139">
        <f>Assumptions!$C$6*Assumptions!$C$7*(1+$G448-0.05*(1-$K448))^5+Assumptions!$C$6*Assumptions!$C$8*(1+Assumptions!$C$11)^5+Assumptions!$C$16*$K448+Assumptions!$C$6*Assumptions!$C$9*(1+Assumptions!$C$12)^5</f>
        <v>711.4621315</v>
      </c>
      <c r="Q448" s="139">
        <f>($L448*(1-(Assumptions!$C$25+0.06*(1-1))-Assumptions!$C$27)-Assumptions!$C$28)-MAX(0,($L448*(1-(Assumptions!$C$25+0.06*(1-1))-Assumptions!$C$27)-Assumptions!$C$28)*Assumptions!$C$31)+Assumptions!$C$28-Assumptions!$C$29-$L448*Assumptions!$C$30</f>
        <v>93.05887416</v>
      </c>
      <c r="R448" s="139">
        <f>($M448*(1-(Assumptions!$C$25+0.06*(1-$H448))-Assumptions!$C$27)-Assumptions!$C$28)-MAX(0,($M448*(1-(Assumptions!$C$25+0.06*(1-$H448))-Assumptions!$C$27)-Assumptions!$C$28)*Assumptions!$C$31)+Assumptions!$C$28-Assumptions!$C$29-$M448*Assumptions!$C$30</f>
        <v>99.10923225</v>
      </c>
      <c r="S448" s="139">
        <f>($N448*(1-(Assumptions!$C$25+0.06*(1-$I448))-Assumptions!$C$27)-Assumptions!$C$28)-MAX(0,($N448*(1-(Assumptions!$C$25+0.06*(1-$I448))-Assumptions!$C$27)-Assumptions!$C$28)*Assumptions!$C$31)+Assumptions!$C$28-Assumptions!$C$29-$N448*Assumptions!$C$30</f>
        <v>38.78413961</v>
      </c>
      <c r="T448" s="139">
        <f>($O448*(1-(Assumptions!$C$25+0.06*(1-$J448))-Assumptions!$C$27)-Assumptions!$C$28)-MAX(0,($O448*(1-(Assumptions!$C$25+0.06*(1-$J448))-Assumptions!$C$27)-Assumptions!$C$28)*Assumptions!$C$31)+Assumptions!$C$28-Assumptions!$C$29-$O448*Assumptions!$C$30</f>
        <v>112.1512587</v>
      </c>
      <c r="U448" s="139">
        <f>($P448*(1-(Assumptions!$C$25+0.06*(1-$K448))-Assumptions!$C$27)-Assumptions!$C$28)-MAX(0,($P448*(1-(Assumptions!$C$25+0.06*(1-$K448))-Assumptions!$C$27)-Assumptions!$C$28)*Assumptions!$C$31)+Assumptions!$C$28-Assumptions!$C$29-$P448*Assumptions!$C$30</f>
        <v>43.63629025</v>
      </c>
      <c r="V448" s="143">
        <f>(($Q448/(1+$D448)^1+$R448/(1+$D448)^2+$S448/(1+$D448)^3+$T448/(1+$D448)^4+$U448/(1+$D448)^5+$U448*(1+$E448)/($D448-$E448)/(1+$D448)^5)-Assumptions!$C$37)/Assumptions!$C$40/Assumptions!$C$38</f>
        <v>-0.4214366243</v>
      </c>
    </row>
    <row r="449" ht="12.0" customHeight="1">
      <c r="B449" s="139">
        <v>397.0</v>
      </c>
      <c r="C449" s="140">
        <f t="shared" si="6"/>
        <v>0.6010969823</v>
      </c>
      <c r="D449" s="141">
        <f t="shared" si="7"/>
        <v>0.1000405684</v>
      </c>
      <c r="E449" s="141">
        <f t="shared" si="8"/>
        <v>0.02017996897</v>
      </c>
      <c r="F449" s="140">
        <f t="shared" si="9"/>
        <v>0.0830301264</v>
      </c>
      <c r="G449" s="141">
        <f t="shared" si="10"/>
        <v>0.04222514734</v>
      </c>
      <c r="H449" s="142">
        <f t="shared" si="11"/>
        <v>1</v>
      </c>
      <c r="I449" s="142">
        <f t="shared" si="12"/>
        <v>1</v>
      </c>
      <c r="J449" s="142">
        <f t="shared" si="13"/>
        <v>1</v>
      </c>
      <c r="K449" s="142">
        <f t="shared" si="14"/>
        <v>0</v>
      </c>
      <c r="L449" s="139">
        <f>Assumptions!$C$6*Assumptions!$C$7*(1+$G449-0.05*(1-1))^1+Assumptions!$C$6*Assumptions!$C$8*(1+Assumptions!$C$11)^1+Assumptions!$C$16*1+Assumptions!$C$6*Assumptions!$C$9*(1+Assumptions!$C$12)^1</f>
        <v>740.6809846</v>
      </c>
      <c r="M449" s="139">
        <f>Assumptions!$C$6*Assumptions!$C$7*(1+$G449-0.05*(1-$H449))^2+Assumptions!$C$6*Assumptions!$C$8*(1+Assumptions!$C$11)^2+Assumptions!$C$16*$H449+Assumptions!$C$6*Assumptions!$C$9*(1+Assumptions!$C$12)^2</f>
        <v>762.0914746</v>
      </c>
      <c r="N449" s="139">
        <f>Assumptions!$C$6*Assumptions!$C$7*(1+$G449-0.05*(1-$I449))^3+Assumptions!$C$6*Assumptions!$C$8*(1+Assumptions!$C$11)^3+Assumptions!$C$16*$I449+Assumptions!$C$6*Assumptions!$C$9*(1+Assumptions!$C$12)^3</f>
        <v>784.2593983</v>
      </c>
      <c r="O449" s="139">
        <f>Assumptions!$C$6*Assumptions!$C$7*(1+$G449-0.05*(1-$J449))^4+Assumptions!$C$6*Assumptions!$C$8*(1+Assumptions!$C$11)^4+Assumptions!$C$16*$J449+Assumptions!$C$6*Assumptions!$C$9*(1+Assumptions!$C$12)^4</f>
        <v>807.2138061</v>
      </c>
      <c r="P449" s="139">
        <f>Assumptions!$C$6*Assumptions!$C$7*(1+$G449-0.05*(1-$K449))^5+Assumptions!$C$6*Assumptions!$C$8*(1+Assumptions!$C$11)^5+Assumptions!$C$16*$K449+Assumptions!$C$6*Assumptions!$C$9*(1+Assumptions!$C$12)^5</f>
        <v>680.776548</v>
      </c>
      <c r="Q449" s="139">
        <f>($L449*(1-(Assumptions!$C$25+0.06*(1-1))-Assumptions!$C$27)-Assumptions!$C$28)-MAX(0,($L449*(1-(Assumptions!$C$25+0.06*(1-1))-Assumptions!$C$27)-Assumptions!$C$28)*Assumptions!$C$31)+Assumptions!$C$28-Assumptions!$C$29-$L449*Assumptions!$C$30</f>
        <v>91.74641169</v>
      </c>
      <c r="R449" s="139">
        <f>($M449*(1-(Assumptions!$C$25+0.06*(1-$H449))-Assumptions!$C$27)-Assumptions!$C$28)-MAX(0,($M449*(1-(Assumptions!$C$25+0.06*(1-$H449))-Assumptions!$C$27)-Assumptions!$C$28)*Assumptions!$C$31)+Assumptions!$C$28-Assumptions!$C$29-$M449*Assumptions!$C$30</f>
        <v>96.34966703</v>
      </c>
      <c r="S449" s="139">
        <f>($N449*(1-(Assumptions!$C$25+0.06*(1-$I449))-Assumptions!$C$27)-Assumptions!$C$28)-MAX(0,($N449*(1-(Assumptions!$C$25+0.06*(1-$I449))-Assumptions!$C$27)-Assumptions!$C$28)*Assumptions!$C$31)+Assumptions!$C$28-Assumptions!$C$29-$N449*Assumptions!$C$30</f>
        <v>101.1157706</v>
      </c>
      <c r="T449" s="139">
        <f>($O449*(1-(Assumptions!$C$25+0.06*(1-$J449))-Assumptions!$C$27)-Assumptions!$C$28)-MAX(0,($O449*(1-(Assumptions!$C$25+0.06*(1-$J449))-Assumptions!$C$27)-Assumptions!$C$28)*Assumptions!$C$31)+Assumptions!$C$28-Assumptions!$C$29-$O449*Assumptions!$C$30</f>
        <v>106.0509683</v>
      </c>
      <c r="U449" s="139">
        <f>($P449*(1-(Assumptions!$C$25+0.06*(1-$K449))-Assumptions!$C$27)-Assumptions!$C$28)-MAX(0,($P449*(1-(Assumptions!$C$25+0.06*(1-$K449))-Assumptions!$C$27)-Assumptions!$C$28)*Assumptions!$C$31)+Assumptions!$C$28-Assumptions!$C$29-$P449*Assumptions!$C$30</f>
        <v>36.57860604</v>
      </c>
      <c r="V449" s="143">
        <f>(($Q449/(1+$D449)^1+$R449/(1+$D449)^2+$S449/(1+$D449)^3+$T449/(1+$D449)^4+$U449/(1+$D449)^5+$U449*(1+$E449)/($D449-$E449)/(1+$D449)^5)-Assumptions!$C$37)/Assumptions!$C$40/Assumptions!$C$38</f>
        <v>-0.5267316191</v>
      </c>
    </row>
    <row r="450" ht="12.0" customHeight="1">
      <c r="B450" s="139">
        <v>398.0</v>
      </c>
      <c r="C450" s="140">
        <f t="shared" si="6"/>
        <v>0.8672224725</v>
      </c>
      <c r="D450" s="141">
        <f t="shared" si="7"/>
        <v>0.1063693457</v>
      </c>
      <c r="E450" s="141">
        <f t="shared" si="8"/>
        <v>0.02766673928</v>
      </c>
      <c r="F450" s="140">
        <f t="shared" si="9"/>
        <v>0.1481245547</v>
      </c>
      <c r="G450" s="141">
        <f t="shared" si="10"/>
        <v>0.04632863125</v>
      </c>
      <c r="H450" s="142">
        <f t="shared" si="11"/>
        <v>1</v>
      </c>
      <c r="I450" s="142">
        <f t="shared" si="12"/>
        <v>1</v>
      </c>
      <c r="J450" s="142">
        <f t="shared" si="13"/>
        <v>1</v>
      </c>
      <c r="K450" s="142">
        <f t="shared" si="14"/>
        <v>1</v>
      </c>
      <c r="L450" s="139">
        <f>Assumptions!$C$6*Assumptions!$C$7*(1+$G450-0.05*(1-1))^1+Assumptions!$C$6*Assumptions!$C$8*(1+Assumptions!$C$11)^1+Assumptions!$C$16*1+Assumptions!$C$6*Assumptions!$C$9*(1+Assumptions!$C$12)^1</f>
        <v>742.0622173</v>
      </c>
      <c r="M450" s="139">
        <f>Assumptions!$C$6*Assumptions!$C$7*(1+$G450-0.05*(1-$H450))^2+Assumptions!$C$6*Assumptions!$C$8*(1+Assumptions!$C$11)^2+Assumptions!$C$16*$H450+Assumptions!$C$6*Assumptions!$C$9*(1+Assumptions!$C$12)^2</f>
        <v>764.9762533</v>
      </c>
      <c r="N450" s="139">
        <f>Assumptions!$C$6*Assumptions!$C$7*(1+$G450-0.05*(1-$I450))^3+Assumptions!$C$6*Assumptions!$C$8*(1+Assumptions!$C$11)^3+Assumptions!$C$16*$I450+Assumptions!$C$6*Assumptions!$C$9*(1+Assumptions!$C$12)^3</f>
        <v>788.7781658</v>
      </c>
      <c r="O450" s="139">
        <f>Assumptions!$C$6*Assumptions!$C$7*(1+$G450-0.05*(1-$J450))^4+Assumptions!$C$6*Assumptions!$C$8*(1+Assumptions!$C$11)^4+Assumptions!$C$16*$J450+Assumptions!$C$6*Assumptions!$C$9*(1+Assumptions!$C$12)^4</f>
        <v>813.5056148</v>
      </c>
      <c r="P450" s="139">
        <f>Assumptions!$C$6*Assumptions!$C$7*(1+$G450-0.05*(1-$K450))^5+Assumptions!$C$6*Assumptions!$C$8*(1+Assumptions!$C$11)^5+Assumptions!$C$16*$K450+Assumptions!$C$6*Assumptions!$C$9*(1+Assumptions!$C$12)^5</f>
        <v>839.1979359</v>
      </c>
      <c r="Q450" s="139">
        <f>($L450*(1-(Assumptions!$C$25+0.06*(1-1))-Assumptions!$C$27)-Assumptions!$C$28)-MAX(0,($L450*(1-(Assumptions!$C$25+0.06*(1-1))-Assumptions!$C$27)-Assumptions!$C$28)*Assumptions!$C$31)+Assumptions!$C$28-Assumptions!$C$29-$L450*Assumptions!$C$30</f>
        <v>92.04337671</v>
      </c>
      <c r="R450" s="139">
        <f>($M450*(1-(Assumptions!$C$25+0.06*(1-$H450))-Assumptions!$C$27)-Assumptions!$C$28)-MAX(0,($M450*(1-(Assumptions!$C$25+0.06*(1-$H450))-Assumptions!$C$27)-Assumptions!$C$28)*Assumptions!$C$31)+Assumptions!$C$28-Assumptions!$C$29-$M450*Assumptions!$C$30</f>
        <v>96.96989446</v>
      </c>
      <c r="S450" s="139">
        <f>($N450*(1-(Assumptions!$C$25+0.06*(1-$I450))-Assumptions!$C$27)-Assumptions!$C$28)-MAX(0,($N450*(1-(Assumptions!$C$25+0.06*(1-$I450))-Assumptions!$C$27)-Assumptions!$C$28)*Assumptions!$C$31)+Assumptions!$C$28-Assumptions!$C$29-$N450*Assumptions!$C$30</f>
        <v>102.0873056</v>
      </c>
      <c r="T450" s="139">
        <f>($O450*(1-(Assumptions!$C$25+0.06*(1-$J450))-Assumptions!$C$27)-Assumptions!$C$28)-MAX(0,($O450*(1-(Assumptions!$C$25+0.06*(1-$J450))-Assumptions!$C$27)-Assumptions!$C$28)*Assumptions!$C$31)+Assumptions!$C$28-Assumptions!$C$29-$O450*Assumptions!$C$30</f>
        <v>107.4037072</v>
      </c>
      <c r="U450" s="139">
        <f>($P450*(1-(Assumptions!$C$25+0.06*(1-$K450))-Assumptions!$C$27)-Assumptions!$C$28)-MAX(0,($P450*(1-(Assumptions!$C$25+0.06*(1-$K450))-Assumptions!$C$27)-Assumptions!$C$28)*Assumptions!$C$31)+Assumptions!$C$28-Assumptions!$C$29-$P450*Assumptions!$C$30</f>
        <v>112.9275562</v>
      </c>
      <c r="V450" s="143">
        <f>(($Q450/(1+$D450)^1+$R450/(1+$D450)^2+$S450/(1+$D450)^3+$T450/(1+$D450)^4+$U450/(1+$D450)^5+$U450*(1+$E450)/($D450-$E450)/(1+$D450)^5)-Assumptions!$C$37)/Assumptions!$C$40/Assumptions!$C$38</f>
        <v>4.490698535</v>
      </c>
    </row>
    <row r="451" ht="12.0" customHeight="1">
      <c r="B451" s="139">
        <v>399.0</v>
      </c>
      <c r="C451" s="140">
        <f t="shared" si="6"/>
        <v>0.3720668415</v>
      </c>
      <c r="D451" s="141">
        <f t="shared" si="7"/>
        <v>0.09623079068</v>
      </c>
      <c r="E451" s="141">
        <f t="shared" si="8"/>
        <v>0.02954940917</v>
      </c>
      <c r="F451" s="140">
        <f t="shared" si="9"/>
        <v>0.4254218334</v>
      </c>
      <c r="G451" s="141">
        <f t="shared" si="10"/>
        <v>0.05767235625</v>
      </c>
      <c r="H451" s="142">
        <f t="shared" si="11"/>
        <v>1</v>
      </c>
      <c r="I451" s="142">
        <f t="shared" si="12"/>
        <v>0</v>
      </c>
      <c r="J451" s="142">
        <f t="shared" si="13"/>
        <v>1</v>
      </c>
      <c r="K451" s="142">
        <f t="shared" si="14"/>
        <v>1</v>
      </c>
      <c r="L451" s="139">
        <f>Assumptions!$C$6*Assumptions!$C$7*(1+$G451-0.05*(1-1))^1+Assumptions!$C$6*Assumptions!$C$8*(1+Assumptions!$C$11)^1+Assumptions!$C$16*1+Assumptions!$C$6*Assumptions!$C$9*(1+Assumptions!$C$12)^1</f>
        <v>745.8805151</v>
      </c>
      <c r="M451" s="139">
        <f>Assumptions!$C$6*Assumptions!$C$7*(1+$G451-0.05*(1-$H451))^2+Assumptions!$C$6*Assumptions!$C$8*(1+Assumptions!$C$11)^2+Assumptions!$C$16*$H451+Assumptions!$C$6*Assumptions!$C$9*(1+Assumptions!$C$12)^2</f>
        <v>773.0099557</v>
      </c>
      <c r="N451" s="139">
        <f>Assumptions!$C$6*Assumptions!$C$7*(1+$G451-0.05*(1-$I451))^3+Assumptions!$C$6*Assumptions!$C$8*(1+Assumptions!$C$11)^3+Assumptions!$C$16*$I451+Assumptions!$C$6*Assumptions!$C$9*(1+Assumptions!$C$12)^3</f>
        <v>687.6018065</v>
      </c>
      <c r="O451" s="139">
        <f>Assumptions!$C$6*Assumptions!$C$7*(1+$G451-0.05*(1-$J451))^4+Assumptions!$C$6*Assumptions!$C$8*(1+Assumptions!$C$11)^4+Assumptions!$C$16*$J451+Assumptions!$C$6*Assumptions!$C$9*(1+Assumptions!$C$12)^4</f>
        <v>831.2880096</v>
      </c>
      <c r="P451" s="139">
        <f>Assumptions!$C$6*Assumptions!$C$7*(1+$G451-0.05*(1-$K451))^5+Assumptions!$C$6*Assumptions!$C$8*(1+Assumptions!$C$11)^5+Assumptions!$C$16*$K451+Assumptions!$C$6*Assumptions!$C$9*(1+Assumptions!$C$12)^5</f>
        <v>862.5824757</v>
      </c>
      <c r="Q451" s="139">
        <f>($L451*(1-(Assumptions!$C$25+0.06*(1-1))-Assumptions!$C$27)-Assumptions!$C$28)-MAX(0,($L451*(1-(Assumptions!$C$25+0.06*(1-1))-Assumptions!$C$27)-Assumptions!$C$28)*Assumptions!$C$31)+Assumptions!$C$28-Assumptions!$C$29-$L451*Assumptions!$C$30</f>
        <v>92.86431075</v>
      </c>
      <c r="R451" s="139">
        <f>($M451*(1-(Assumptions!$C$25+0.06*(1-$H451))-Assumptions!$C$27)-Assumptions!$C$28)-MAX(0,($M451*(1-(Assumptions!$C$25+0.06*(1-$H451))-Assumptions!$C$27)-Assumptions!$C$28)*Assumptions!$C$31)+Assumptions!$C$28-Assumptions!$C$29-$M451*Assumptions!$C$30</f>
        <v>98.69714048</v>
      </c>
      <c r="S451" s="139">
        <f>($N451*(1-(Assumptions!$C$25+0.06*(1-$I451))-Assumptions!$C$27)-Assumptions!$C$28)-MAX(0,($N451*(1-(Assumptions!$C$25+0.06*(1-$I451))-Assumptions!$C$27)-Assumptions!$C$28)*Assumptions!$C$31)+Assumptions!$C$28-Assumptions!$C$29-$N451*Assumptions!$C$30</f>
        <v>38.14841549</v>
      </c>
      <c r="T451" s="139">
        <f>($O451*(1-(Assumptions!$C$25+0.06*(1-$J451))-Assumptions!$C$27)-Assumptions!$C$28)-MAX(0,($O451*(1-(Assumptions!$C$25+0.06*(1-$J451))-Assumptions!$C$27)-Assumptions!$C$28)*Assumptions!$C$31)+Assumptions!$C$28-Assumptions!$C$29-$O451*Assumptions!$C$30</f>
        <v>111.2269221</v>
      </c>
      <c r="U451" s="139">
        <f>($P451*(1-(Assumptions!$C$25+0.06*(1-$K451))-Assumptions!$C$27)-Assumptions!$C$28)-MAX(0,($P451*(1-(Assumptions!$C$25+0.06*(1-$K451))-Assumptions!$C$27)-Assumptions!$C$28)*Assumptions!$C$31)+Assumptions!$C$28-Assumptions!$C$29-$P451*Assumptions!$C$30</f>
        <v>117.9552323</v>
      </c>
      <c r="V451" s="143">
        <f>(($Q451/(1+$D451)^1+$R451/(1+$D451)^2+$S451/(1+$D451)^3+$T451/(1+$D451)^4+$U451/(1+$D451)^5+$U451*(1+$E451)/($D451-$E451)/(1+$D451)^5)-Assumptions!$C$37)/Assumptions!$C$40/Assumptions!$C$38</f>
        <v>6.290239366</v>
      </c>
    </row>
    <row r="452" ht="12.0" customHeight="1">
      <c r="B452" s="139">
        <v>400.0</v>
      </c>
      <c r="C452" s="140">
        <f t="shared" si="6"/>
        <v>0.2138699505</v>
      </c>
      <c r="D452" s="141">
        <f t="shared" si="7"/>
        <v>0.09351480553</v>
      </c>
      <c r="E452" s="141">
        <f t="shared" si="8"/>
        <v>0.01844040076</v>
      </c>
      <c r="F452" s="140">
        <f t="shared" si="9"/>
        <v>0.2907633496</v>
      </c>
      <c r="G452" s="141">
        <f t="shared" si="10"/>
        <v>0.05287736937</v>
      </c>
      <c r="H452" s="142">
        <f t="shared" si="11"/>
        <v>1</v>
      </c>
      <c r="I452" s="142">
        <f t="shared" si="12"/>
        <v>1</v>
      </c>
      <c r="J452" s="142">
        <f t="shared" si="13"/>
        <v>1</v>
      </c>
      <c r="K452" s="142">
        <f t="shared" si="14"/>
        <v>1</v>
      </c>
      <c r="L452" s="139">
        <f>Assumptions!$C$6*Assumptions!$C$7*(1+$G452-0.05*(1-1))^1+Assumptions!$C$6*Assumptions!$C$8*(1+Assumptions!$C$11)^1+Assumptions!$C$16*1+Assumptions!$C$6*Assumptions!$C$9*(1+Assumptions!$C$12)^1</f>
        <v>744.2665225</v>
      </c>
      <c r="M452" s="139">
        <f>Assumptions!$C$6*Assumptions!$C$7*(1+$G452-0.05*(1-$H452))^2+Assumptions!$C$6*Assumptions!$C$8*(1+Assumptions!$C$11)^2+Assumptions!$C$16*$H452+Assumptions!$C$6*Assumptions!$C$9*(1+Assumptions!$C$12)^2</f>
        <v>769.6035441</v>
      </c>
      <c r="N452" s="139">
        <f>Assumptions!$C$6*Assumptions!$C$7*(1+$G452-0.05*(1-$I452))^3+Assumptions!$C$6*Assumptions!$C$8*(1+Assumptions!$C$11)^3+Assumptions!$C$16*$I452+Assumptions!$C$6*Assumptions!$C$9*(1+Assumptions!$C$12)^3</f>
        <v>796.0634169</v>
      </c>
      <c r="O452" s="139">
        <f>Assumptions!$C$6*Assumptions!$C$7*(1+$G452-0.05*(1-$J452))^4+Assumptions!$C$6*Assumptions!$C$8*(1+Assumptions!$C$11)^4+Assumptions!$C$16*$J452+Assumptions!$C$6*Assumptions!$C$9*(1+Assumptions!$C$12)^4</f>
        <v>823.7011762</v>
      </c>
      <c r="P452" s="139">
        <f>Assumptions!$C$6*Assumptions!$C$7*(1+$G452-0.05*(1-$K452))^5+Assumptions!$C$6*Assumptions!$C$8*(1+Assumptions!$C$11)^5+Assumptions!$C$16*$K452+Assumptions!$C$6*Assumptions!$C$9*(1+Assumptions!$C$12)^5</f>
        <v>852.5746808</v>
      </c>
      <c r="Q452" s="139">
        <f>($L452*(1-(Assumptions!$C$25+0.06*(1-1))-Assumptions!$C$27)-Assumptions!$C$28)-MAX(0,($L452*(1-(Assumptions!$C$25+0.06*(1-1))-Assumptions!$C$27)-Assumptions!$C$28)*Assumptions!$C$31)+Assumptions!$C$28-Assumptions!$C$29-$L452*Assumptions!$C$30</f>
        <v>92.51730234</v>
      </c>
      <c r="R452" s="139">
        <f>($M452*(1-(Assumptions!$C$25+0.06*(1-$H452))-Assumptions!$C$27)-Assumptions!$C$28)-MAX(0,($M452*(1-(Assumptions!$C$25+0.06*(1-$H452))-Assumptions!$C$27)-Assumptions!$C$28)*Assumptions!$C$31)+Assumptions!$C$28-Assumptions!$C$29-$M452*Assumptions!$C$30</f>
        <v>97.96476198</v>
      </c>
      <c r="S452" s="139">
        <f>($N452*(1-(Assumptions!$C$25+0.06*(1-$I452))-Assumptions!$C$27)-Assumptions!$C$28)-MAX(0,($N452*(1-(Assumptions!$C$25+0.06*(1-$I452))-Assumptions!$C$27)-Assumptions!$C$28)*Assumptions!$C$31)+Assumptions!$C$28-Assumptions!$C$29-$N452*Assumptions!$C$30</f>
        <v>103.6536346</v>
      </c>
      <c r="T452" s="139">
        <f>($O452*(1-(Assumptions!$C$25+0.06*(1-$J452))-Assumptions!$C$27)-Assumptions!$C$28)-MAX(0,($O452*(1-(Assumptions!$C$25+0.06*(1-$J452))-Assumptions!$C$27)-Assumptions!$C$28)*Assumptions!$C$31)+Assumptions!$C$28-Assumptions!$C$29-$O452*Assumptions!$C$30</f>
        <v>109.5957529</v>
      </c>
      <c r="U452" s="139">
        <f>($P452*(1-(Assumptions!$C$25+0.06*(1-$K452))-Assumptions!$C$27)-Assumptions!$C$28)-MAX(0,($P452*(1-(Assumptions!$C$25+0.06*(1-$K452))-Assumptions!$C$27)-Assumptions!$C$28)*Assumptions!$C$31)+Assumptions!$C$28-Assumptions!$C$29-$P452*Assumptions!$C$30</f>
        <v>115.8035564</v>
      </c>
      <c r="V452" s="143">
        <f>(($Q452/(1+$D452)^1+$R452/(1+$D452)^2+$S452/(1+$D452)^3+$T452/(1+$D452)^4+$U452/(1+$D452)^5+$U452*(1+$E452)/($D452-$E452)/(1+$D452)^5)-Assumptions!$C$37)/Assumptions!$C$40/Assumptions!$C$38</f>
        <v>5.537104998</v>
      </c>
    </row>
    <row r="453" ht="12.0" customHeight="1">
      <c r="B453" s="139">
        <v>401.0</v>
      </c>
      <c r="C453" s="140">
        <f t="shared" si="6"/>
        <v>0.03691261203</v>
      </c>
      <c r="D453" s="141">
        <f t="shared" si="7"/>
        <v>0.08853742498</v>
      </c>
      <c r="E453" s="141">
        <f t="shared" si="8"/>
        <v>0.01175598023</v>
      </c>
      <c r="F453" s="140">
        <f t="shared" si="9"/>
        <v>0.3972784547</v>
      </c>
      <c r="G453" s="141">
        <f t="shared" si="10"/>
        <v>0.05674137652</v>
      </c>
      <c r="H453" s="142">
        <f t="shared" si="11"/>
        <v>1</v>
      </c>
      <c r="I453" s="142">
        <f t="shared" si="12"/>
        <v>0</v>
      </c>
      <c r="J453" s="142">
        <f t="shared" si="13"/>
        <v>1</v>
      </c>
      <c r="K453" s="142">
        <f t="shared" si="14"/>
        <v>1</v>
      </c>
      <c r="L453" s="139">
        <f>Assumptions!$C$6*Assumptions!$C$7*(1+$G453-0.05*(1-1))^1+Assumptions!$C$6*Assumptions!$C$8*(1+Assumptions!$C$11)^1+Assumptions!$C$16*1+Assumptions!$C$6*Assumptions!$C$9*(1+Assumptions!$C$12)^1</f>
        <v>745.5671473</v>
      </c>
      <c r="M453" s="139">
        <f>Assumptions!$C$6*Assumptions!$C$7*(1+$G453-0.05*(1-$H453))^2+Assumptions!$C$6*Assumptions!$C$8*(1+Assumptions!$C$11)^2+Assumptions!$C$16*$H453+Assumptions!$C$6*Assumptions!$C$9*(1+Assumptions!$C$12)^2</f>
        <v>772.3473666</v>
      </c>
      <c r="N453" s="139">
        <f>Assumptions!$C$6*Assumptions!$C$7*(1+$G453-0.05*(1-$I453))^3+Assumptions!$C$6*Assumptions!$C$8*(1+Assumptions!$C$11)^3+Assumptions!$C$16*$I453+Assumptions!$C$6*Assumptions!$C$9*(1+Assumptions!$C$12)^3</f>
        <v>686.6481039</v>
      </c>
      <c r="O453" s="139">
        <f>Assumptions!$C$6*Assumptions!$C$7*(1+$G453-0.05*(1-$J453))^4+Assumptions!$C$6*Assumptions!$C$8*(1+Assumptions!$C$11)^4+Assumptions!$C$16*$J453+Assumptions!$C$6*Assumptions!$C$9*(1+Assumptions!$C$12)^4</f>
        <v>829.8068757</v>
      </c>
      <c r="P453" s="139">
        <f>Assumptions!$C$6*Assumptions!$C$7*(1+$G453-0.05*(1-$K453))^5+Assumptions!$C$6*Assumptions!$C$8*(1+Assumptions!$C$11)^5+Assumptions!$C$16*$K453+Assumptions!$C$6*Assumptions!$C$9*(1+Assumptions!$C$12)^5</f>
        <v>860.6251441</v>
      </c>
      <c r="Q453" s="139">
        <f>($L453*(1-(Assumptions!$C$25+0.06*(1-1))-Assumptions!$C$27)-Assumptions!$C$28)-MAX(0,($L453*(1-(Assumptions!$C$25+0.06*(1-1))-Assumptions!$C$27)-Assumptions!$C$28)*Assumptions!$C$31)+Assumptions!$C$28-Assumptions!$C$29-$L453*Assumptions!$C$30</f>
        <v>92.79693668</v>
      </c>
      <c r="R453" s="139">
        <f>($M453*(1-(Assumptions!$C$25+0.06*(1-$H453))-Assumptions!$C$27)-Assumptions!$C$28)-MAX(0,($M453*(1-(Assumptions!$C$25+0.06*(1-$H453))-Assumptions!$C$27)-Assumptions!$C$28)*Assumptions!$C$31)+Assumptions!$C$28-Assumptions!$C$29-$M453*Assumptions!$C$30</f>
        <v>98.55468382</v>
      </c>
      <c r="S453" s="139">
        <f>($N453*(1-(Assumptions!$C$25+0.06*(1-$I453))-Assumptions!$C$27)-Assumptions!$C$28)-MAX(0,($N453*(1-(Assumptions!$C$25+0.06*(1-$I453))-Assumptions!$C$27)-Assumptions!$C$28)*Assumptions!$C$31)+Assumptions!$C$28-Assumptions!$C$29-$N453*Assumptions!$C$30</f>
        <v>37.92906389</v>
      </c>
      <c r="T453" s="139">
        <f>($O453*(1-(Assumptions!$C$25+0.06*(1-$J453))-Assumptions!$C$27)-Assumptions!$C$28)-MAX(0,($O453*(1-(Assumptions!$C$25+0.06*(1-$J453))-Assumptions!$C$27)-Assumptions!$C$28)*Assumptions!$C$31)+Assumptions!$C$28-Assumptions!$C$29-$O453*Assumptions!$C$30</f>
        <v>110.9084783</v>
      </c>
      <c r="U453" s="139">
        <f>($P453*(1-(Assumptions!$C$25+0.06*(1-$K453))-Assumptions!$C$27)-Assumptions!$C$28)-MAX(0,($P453*(1-(Assumptions!$C$25+0.06*(1-$K453))-Assumptions!$C$27)-Assumptions!$C$28)*Assumptions!$C$31)+Assumptions!$C$28-Assumptions!$C$29-$P453*Assumptions!$C$30</f>
        <v>117.534406</v>
      </c>
      <c r="V453" s="143">
        <f>(($Q453/(1+$D453)^1+$R453/(1+$D453)^2+$S453/(1+$D453)^3+$T453/(1+$D453)^4+$U453/(1+$D453)^5+$U453*(1+$E453)/($D453-$E453)/(1+$D453)^5)-Assumptions!$C$37)/Assumptions!$C$40/Assumptions!$C$38</f>
        <v>5.270771853</v>
      </c>
    </row>
    <row r="454" ht="12.0" customHeight="1">
      <c r="B454" s="139">
        <v>402.0</v>
      </c>
      <c r="C454" s="140">
        <f t="shared" si="6"/>
        <v>0.4652679001</v>
      </c>
      <c r="D454" s="141">
        <f t="shared" si="7"/>
        <v>0.09767993337</v>
      </c>
      <c r="E454" s="141">
        <f t="shared" si="8"/>
        <v>0.01428640061</v>
      </c>
      <c r="F454" s="140">
        <f t="shared" si="9"/>
        <v>0.4465926326</v>
      </c>
      <c r="G454" s="141">
        <f t="shared" si="10"/>
        <v>0.05835254378</v>
      </c>
      <c r="H454" s="142">
        <f t="shared" si="11"/>
        <v>0</v>
      </c>
      <c r="I454" s="142">
        <f t="shared" si="12"/>
        <v>1</v>
      </c>
      <c r="J454" s="142">
        <f t="shared" si="13"/>
        <v>0</v>
      </c>
      <c r="K454" s="142">
        <f t="shared" si="14"/>
        <v>0</v>
      </c>
      <c r="L454" s="139">
        <f>Assumptions!$C$6*Assumptions!$C$7*(1+$G454-0.05*(1-1))^1+Assumptions!$C$6*Assumptions!$C$8*(1+Assumptions!$C$11)^1+Assumptions!$C$16*1+Assumptions!$C$6*Assumptions!$C$9*(1+Assumptions!$C$12)^1</f>
        <v>746.1094662</v>
      </c>
      <c r="M454" s="139">
        <f>Assumptions!$C$6*Assumptions!$C$7*(1+$G454-0.05*(1-$H454))^2+Assumptions!$C$6*Assumptions!$C$8*(1+Assumptions!$C$11)^2+Assumptions!$C$16*$H454+Assumptions!$C$6*Assumptions!$C$9*(1+Assumptions!$C$12)^2</f>
        <v>678.7117754</v>
      </c>
      <c r="N454" s="139">
        <f>Assumptions!$C$6*Assumptions!$C$7*(1+$G454-0.05*(1-$I454))^3+Assumptions!$C$6*Assumptions!$C$8*(1+Assumptions!$C$11)^3+Assumptions!$C$16*$I454+Assumptions!$C$6*Assumptions!$C$9*(1+Assumptions!$C$12)^3</f>
        <v>802.224334</v>
      </c>
      <c r="O454" s="139">
        <f>Assumptions!$C$6*Assumptions!$C$7*(1+$G454-0.05*(1-$J454))^4+Assumptions!$C$6*Assumptions!$C$8*(1+Assumptions!$C$11)^4+Assumptions!$C$16*$J454+Assumptions!$C$6*Assumptions!$C$9*(1+Assumptions!$C$12)^4</f>
        <v>698.0461091</v>
      </c>
      <c r="P454" s="139">
        <f>Assumptions!$C$6*Assumptions!$C$7*(1+$G454-0.05*(1-$K454))^5+Assumptions!$C$6*Assumptions!$C$8*(1+Assumptions!$C$11)^5+Assumptions!$C$16*$K454+Assumptions!$C$6*Assumptions!$C$9*(1+Assumptions!$C$12)^5</f>
        <v>707.9538615</v>
      </c>
      <c r="Q454" s="139">
        <f>($L454*(1-(Assumptions!$C$25+0.06*(1-1))-Assumptions!$C$27)-Assumptions!$C$28)-MAX(0,($L454*(1-(Assumptions!$C$25+0.06*(1-1))-Assumptions!$C$27)-Assumptions!$C$28)*Assumptions!$C$31)+Assumptions!$C$28-Assumptions!$C$29-$L454*Assumptions!$C$30</f>
        <v>92.91353524</v>
      </c>
      <c r="R454" s="139">
        <f>($M454*(1-(Assumptions!$C$25+0.06*(1-$H454))-Assumptions!$C$27)-Assumptions!$C$28)-MAX(0,($M454*(1-(Assumptions!$C$25+0.06*(1-$H454))-Assumptions!$C$27)-Assumptions!$C$28)*Assumptions!$C$31)+Assumptions!$C$28-Assumptions!$C$29-$M454*Assumptions!$C$30</f>
        <v>36.10370833</v>
      </c>
      <c r="S454" s="139">
        <f>($N454*(1-(Assumptions!$C$25+0.06*(1-$I454))-Assumptions!$C$27)-Assumptions!$C$28)-MAX(0,($N454*(1-(Assumptions!$C$25+0.06*(1-$I454))-Assumptions!$C$27)-Assumptions!$C$28)*Assumptions!$C$31)+Assumptions!$C$28-Assumptions!$C$29-$N454*Assumptions!$C$30</f>
        <v>104.9782318</v>
      </c>
      <c r="T454" s="139">
        <f>($O454*(1-(Assumptions!$C$25+0.06*(1-$J454))-Assumptions!$C$27)-Assumptions!$C$28)-MAX(0,($O454*(1-(Assumptions!$C$25+0.06*(1-$J454))-Assumptions!$C$27)-Assumptions!$C$28)*Assumptions!$C$31)+Assumptions!$C$28-Assumptions!$C$29-$O454*Assumptions!$C$30</f>
        <v>40.55060508</v>
      </c>
      <c r="U454" s="139">
        <f>($P454*(1-(Assumptions!$C$25+0.06*(1-$K454))-Assumptions!$C$27)-Assumptions!$C$28)-MAX(0,($P454*(1-(Assumptions!$C$25+0.06*(1-$K454))-Assumptions!$C$27)-Assumptions!$C$28)*Assumptions!$C$31)+Assumptions!$C$28-Assumptions!$C$29-$P454*Assumptions!$C$30</f>
        <v>42.82938815</v>
      </c>
      <c r="V454" s="143">
        <f>(($Q454/(1+$D454)^1+$R454/(1+$D454)^2+$S454/(1+$D454)^3+$T454/(1+$D454)^4+$U454/(1+$D454)^5+$U454*(1+$E454)/($D454-$E454)/(1+$D454)^5)-Assumptions!$C$37)/Assumptions!$C$40/Assumptions!$C$38</f>
        <v>-0.905477854</v>
      </c>
    </row>
    <row r="455" ht="12.0" customHeight="1">
      <c r="B455" s="139">
        <v>403.0</v>
      </c>
      <c r="C455" s="140">
        <f t="shared" si="6"/>
        <v>0.4097643282</v>
      </c>
      <c r="D455" s="141">
        <f t="shared" si="7"/>
        <v>0.09680323622</v>
      </c>
      <c r="E455" s="141">
        <f t="shared" si="8"/>
        <v>0.02006291833</v>
      </c>
      <c r="F455" s="140">
        <f t="shared" si="9"/>
        <v>0.09262304308</v>
      </c>
      <c r="G455" s="141">
        <f t="shared" si="10"/>
        <v>0.04291206713</v>
      </c>
      <c r="H455" s="142">
        <f t="shared" si="11"/>
        <v>1</v>
      </c>
      <c r="I455" s="142">
        <f t="shared" si="12"/>
        <v>1</v>
      </c>
      <c r="J455" s="142">
        <f t="shared" si="13"/>
        <v>0</v>
      </c>
      <c r="K455" s="142">
        <f t="shared" si="14"/>
        <v>0</v>
      </c>
      <c r="L455" s="139">
        <f>Assumptions!$C$6*Assumptions!$C$7*(1+$G455-0.05*(1-1))^1+Assumptions!$C$6*Assumptions!$C$8*(1+Assumptions!$C$11)^1+Assumptions!$C$16*1+Assumptions!$C$6*Assumptions!$C$9*(1+Assumptions!$C$12)^1</f>
        <v>740.9122018</v>
      </c>
      <c r="M455" s="139">
        <f>Assumptions!$C$6*Assumptions!$C$7*(1+$G455-0.05*(1-$H455))^2+Assumptions!$C$6*Assumptions!$C$8*(1+Assumptions!$C$11)^2+Assumptions!$C$16*$H455+Assumptions!$C$6*Assumptions!$C$9*(1+Assumptions!$C$12)^2</f>
        <v>762.5735941</v>
      </c>
      <c r="N455" s="139">
        <f>Assumptions!$C$6*Assumptions!$C$7*(1+$G455-0.05*(1-$I455))^3+Assumptions!$C$6*Assumptions!$C$8*(1+Assumptions!$C$11)^3+Assumptions!$C$16*$I455+Assumptions!$C$6*Assumptions!$C$9*(1+Assumptions!$C$12)^3</f>
        <v>785.0133625</v>
      </c>
      <c r="O455" s="139">
        <f>Assumptions!$C$6*Assumptions!$C$7*(1+$G455-0.05*(1-$J455))^4+Assumptions!$C$6*Assumptions!$C$8*(1+Assumptions!$C$11)^4+Assumptions!$C$16*$J455+Assumptions!$C$6*Assumptions!$C$9*(1+Assumptions!$C$12)^4</f>
        <v>677.2163514</v>
      </c>
      <c r="P455" s="139">
        <f>Assumptions!$C$6*Assumptions!$C$7*(1+$G455-0.05*(1-$K455))^5+Assumptions!$C$6*Assumptions!$C$8*(1+Assumptions!$C$11)^5+Assumptions!$C$16*$K455+Assumptions!$C$6*Assumptions!$C$9*(1+Assumptions!$C$12)^5</f>
        <v>681.8986502</v>
      </c>
      <c r="Q455" s="139">
        <f>($L455*(1-(Assumptions!$C$25+0.06*(1-1))-Assumptions!$C$27)-Assumptions!$C$28)-MAX(0,($L455*(1-(Assumptions!$C$25+0.06*(1-1))-Assumptions!$C$27)-Assumptions!$C$28)*Assumptions!$C$31)+Assumptions!$C$28-Assumptions!$C$29-$L455*Assumptions!$C$30</f>
        <v>91.79612339</v>
      </c>
      <c r="R455" s="139">
        <f>($M455*(1-(Assumptions!$C$25+0.06*(1-$H455))-Assumptions!$C$27)-Assumptions!$C$28)-MAX(0,($M455*(1-(Assumptions!$C$25+0.06*(1-$H455))-Assumptions!$C$27)-Assumptions!$C$28)*Assumptions!$C$31)+Assumptions!$C$28-Assumptions!$C$29-$M455*Assumptions!$C$30</f>
        <v>96.45332274</v>
      </c>
      <c r="S455" s="139">
        <f>($N455*(1-(Assumptions!$C$25+0.06*(1-$I455))-Assumptions!$C$27)-Assumptions!$C$28)-MAX(0,($N455*(1-(Assumptions!$C$25+0.06*(1-$I455))-Assumptions!$C$27)-Assumptions!$C$28)*Assumptions!$C$31)+Assumptions!$C$28-Assumptions!$C$29-$N455*Assumptions!$C$30</f>
        <v>101.2778729</v>
      </c>
      <c r="T455" s="139">
        <f>($O455*(1-(Assumptions!$C$25+0.06*(1-$J455))-Assumptions!$C$27)-Assumptions!$C$28)-MAX(0,($O455*(1-(Assumptions!$C$25+0.06*(1-$J455))-Assumptions!$C$27)-Assumptions!$C$28)*Assumptions!$C$31)+Assumptions!$C$28-Assumptions!$C$29-$O455*Assumptions!$C$30</f>
        <v>35.75976082</v>
      </c>
      <c r="U455" s="139">
        <f>($P455*(1-(Assumptions!$C$25+0.06*(1-$K455))-Assumptions!$C$27)-Assumptions!$C$28)-MAX(0,($P455*(1-(Assumptions!$C$25+0.06*(1-$K455))-Assumptions!$C$27)-Assumptions!$C$28)*Assumptions!$C$31)+Assumptions!$C$28-Assumptions!$C$29-$P455*Assumptions!$C$30</f>
        <v>36.83668954</v>
      </c>
      <c r="V455" s="143">
        <f>(($Q455/(1+$D455)^1+$R455/(1+$D455)^2+$S455/(1+$D455)^3+$T455/(1+$D455)^4+$U455/(1+$D455)^5+$U455*(1+$E455)/($D455-$E455)/(1+$D455)^5)-Assumptions!$C$37)/Assumptions!$C$40/Assumptions!$C$38</f>
        <v>-0.7387252088</v>
      </c>
    </row>
    <row r="456" ht="12.0" customHeight="1">
      <c r="B456" s="139">
        <v>404.0</v>
      </c>
      <c r="C456" s="140">
        <f t="shared" si="6"/>
        <v>0.9976076323</v>
      </c>
      <c r="D456" s="141">
        <f t="shared" si="7"/>
        <v>0.1138415017</v>
      </c>
      <c r="E456" s="141">
        <f t="shared" si="8"/>
        <v>0.01501759096</v>
      </c>
      <c r="F456" s="140">
        <f t="shared" si="9"/>
        <v>0.1399234044</v>
      </c>
      <c r="G456" s="141">
        <f t="shared" si="10"/>
        <v>0.04587016471</v>
      </c>
      <c r="H456" s="142">
        <f t="shared" si="11"/>
        <v>1</v>
      </c>
      <c r="I456" s="142">
        <f t="shared" si="12"/>
        <v>0</v>
      </c>
      <c r="J456" s="142">
        <f t="shared" si="13"/>
        <v>0</v>
      </c>
      <c r="K456" s="142">
        <f t="shared" si="14"/>
        <v>1</v>
      </c>
      <c r="L456" s="139">
        <f>Assumptions!$C$6*Assumptions!$C$7*(1+$G456-0.05*(1-1))^1+Assumptions!$C$6*Assumptions!$C$8*(1+Assumptions!$C$11)^1+Assumptions!$C$16*1+Assumptions!$C$6*Assumptions!$C$9*(1+Assumptions!$C$12)^1</f>
        <v>741.9078974</v>
      </c>
      <c r="M456" s="139">
        <f>Assumptions!$C$6*Assumptions!$C$7*(1+$G456-0.05*(1-$H456))^2+Assumptions!$C$6*Assumptions!$C$8*(1+Assumptions!$C$11)^2+Assumptions!$C$16*$H456+Assumptions!$C$6*Assumptions!$C$9*(1+Assumptions!$C$12)^2</f>
        <v>764.6533855</v>
      </c>
      <c r="N456" s="139">
        <f>Assumptions!$C$6*Assumptions!$C$7*(1+$G456-0.05*(1-$I456))^3+Assumptions!$C$6*Assumptions!$C$8*(1+Assumptions!$C$11)^3+Assumptions!$C$16*$I456+Assumptions!$C$6*Assumptions!$C$9*(1+Assumptions!$C$12)^3</f>
        <v>675.6415585</v>
      </c>
      <c r="O456" s="139">
        <f>Assumptions!$C$6*Assumptions!$C$7*(1+$G456-0.05*(1-$J456))^4+Assumptions!$C$6*Assumptions!$C$8*(1+Assumptions!$C$11)^4+Assumptions!$C$16*$J456+Assumptions!$C$6*Assumptions!$C$9*(1+Assumptions!$C$12)^4</f>
        <v>681.1325009</v>
      </c>
      <c r="P456" s="139">
        <f>Assumptions!$C$6*Assumptions!$C$7*(1+$G456-0.05*(1-$K456))^5+Assumptions!$C$6*Assumptions!$C$8*(1+Assumptions!$C$11)^5+Assumptions!$C$16*$K456+Assumptions!$C$6*Assumptions!$C$9*(1+Assumptions!$C$12)^5</f>
        <v>838.2739111</v>
      </c>
      <c r="Q456" s="139">
        <f>($L456*(1-(Assumptions!$C$25+0.06*(1-1))-Assumptions!$C$27)-Assumptions!$C$28)-MAX(0,($L456*(1-(Assumptions!$C$25+0.06*(1-1))-Assumptions!$C$27)-Assumptions!$C$28)*Assumptions!$C$31)+Assumptions!$C$28-Assumptions!$C$29-$L456*Assumptions!$C$30</f>
        <v>92.01019795</v>
      </c>
      <c r="R456" s="139">
        <f>($M456*(1-(Assumptions!$C$25+0.06*(1-$H456))-Assumptions!$C$27)-Assumptions!$C$28)-MAX(0,($M456*(1-(Assumptions!$C$25+0.06*(1-$H456))-Assumptions!$C$27)-Assumptions!$C$28)*Assumptions!$C$31)+Assumptions!$C$28-Assumptions!$C$29-$M456*Assumptions!$C$30</f>
        <v>96.90047789</v>
      </c>
      <c r="S456" s="139">
        <f>($N456*(1-(Assumptions!$C$25+0.06*(1-$I456))-Assumptions!$C$27)-Assumptions!$C$28)-MAX(0,($N456*(1-(Assumptions!$C$25+0.06*(1-$I456))-Assumptions!$C$27)-Assumptions!$C$28)*Assumptions!$C$31)+Assumptions!$C$28-Assumptions!$C$29-$N456*Assumptions!$C$30</f>
        <v>35.39755845</v>
      </c>
      <c r="T456" s="139">
        <f>($O456*(1-(Assumptions!$C$25+0.06*(1-$J456))-Assumptions!$C$27)-Assumptions!$C$28)-MAX(0,($O456*(1-(Assumptions!$C$25+0.06*(1-$J456))-Assumptions!$C$27)-Assumptions!$C$28)*Assumptions!$C$31)+Assumptions!$C$28-Assumptions!$C$29-$O456*Assumptions!$C$30</f>
        <v>36.66047522</v>
      </c>
      <c r="U456" s="139">
        <f>($P456*(1-(Assumptions!$C$25+0.06*(1-$K456))-Assumptions!$C$27)-Assumptions!$C$28)-MAX(0,($P456*(1-(Assumptions!$C$25+0.06*(1-$K456))-Assumptions!$C$27)-Assumptions!$C$28)*Assumptions!$C$31)+Assumptions!$C$28-Assumptions!$C$29-$P456*Assumptions!$C$30</f>
        <v>112.7288909</v>
      </c>
      <c r="V456" s="143">
        <f>(($Q456/(1+$D456)^1+$R456/(1+$D456)^2+$S456/(1+$D456)^3+$T456/(1+$D456)^4+$U456/(1+$D456)^5+$U456*(1+$E456)/($D456-$E456)/(1+$D456)^5)-Assumptions!$C$37)/Assumptions!$C$40/Assumptions!$C$38</f>
        <v>2.025515009</v>
      </c>
    </row>
    <row r="457" ht="12.0" customHeight="1">
      <c r="B457" s="139">
        <v>405.0</v>
      </c>
      <c r="C457" s="140">
        <f t="shared" si="6"/>
        <v>0.5220829152</v>
      </c>
      <c r="D457" s="141">
        <f t="shared" si="7"/>
        <v>0.09862588981</v>
      </c>
      <c r="E457" s="141">
        <f t="shared" si="8"/>
        <v>0.02448457295</v>
      </c>
      <c r="F457" s="140">
        <f t="shared" si="9"/>
        <v>0.2888166378</v>
      </c>
      <c r="G457" s="141">
        <f t="shared" si="10"/>
        <v>0.05280065674</v>
      </c>
      <c r="H457" s="142">
        <f t="shared" si="11"/>
        <v>0</v>
      </c>
      <c r="I457" s="142">
        <f t="shared" si="12"/>
        <v>1</v>
      </c>
      <c r="J457" s="142">
        <f t="shared" si="13"/>
        <v>0</v>
      </c>
      <c r="K457" s="142">
        <f t="shared" si="14"/>
        <v>0</v>
      </c>
      <c r="L457" s="139">
        <f>Assumptions!$C$6*Assumptions!$C$7*(1+$G457-0.05*(1-1))^1+Assumptions!$C$6*Assumptions!$C$8*(1+Assumptions!$C$11)^1+Assumptions!$C$16*1+Assumptions!$C$6*Assumptions!$C$9*(1+Assumptions!$C$12)^1</f>
        <v>744.2407011</v>
      </c>
      <c r="M457" s="139">
        <f>Assumptions!$C$6*Assumptions!$C$7*(1+$G457-0.05*(1-$H457))^2+Assumptions!$C$6*Assumptions!$C$8*(1+Assumptions!$C$11)^2+Assumptions!$C$16*$H457+Assumptions!$C$6*Assumptions!$C$9*(1+Assumptions!$C$12)^2</f>
        <v>674.9534023</v>
      </c>
      <c r="N457" s="139">
        <f>Assumptions!$C$6*Assumptions!$C$7*(1+$G457-0.05*(1-$I457))^3+Assumptions!$C$6*Assumptions!$C$8*(1+Assumptions!$C$11)^3+Assumptions!$C$16*$I457+Assumptions!$C$6*Assumptions!$C$9*(1+Assumptions!$C$12)^3</f>
        <v>795.9775499</v>
      </c>
      <c r="O457" s="139">
        <f>Assumptions!$C$6*Assumptions!$C$7*(1+$G457-0.05*(1-$J457))^4+Assumptions!$C$6*Assumptions!$C$8*(1+Assumptions!$C$11)^4+Assumptions!$C$16*$J457+Assumptions!$C$6*Assumptions!$C$9*(1+Assumptions!$C$12)^4</f>
        <v>690.4452355</v>
      </c>
      <c r="P457" s="139">
        <f>Assumptions!$C$6*Assumptions!$C$7*(1+$G457-0.05*(1-$K457))^5+Assumptions!$C$6*Assumptions!$C$8*(1+Assumptions!$C$11)^5+Assumptions!$C$16*$K457+Assumptions!$C$6*Assumptions!$C$9*(1+Assumptions!$C$12)^5</f>
        <v>698.3997129</v>
      </c>
      <c r="Q457" s="139">
        <f>($L457*(1-(Assumptions!$C$25+0.06*(1-1))-Assumptions!$C$27)-Assumptions!$C$28)-MAX(0,($L457*(1-(Assumptions!$C$25+0.06*(1-1))-Assumptions!$C$27)-Assumptions!$C$28)*Assumptions!$C$31)+Assumptions!$C$28-Assumptions!$C$29-$L457*Assumptions!$C$30</f>
        <v>92.51175073</v>
      </c>
      <c r="R457" s="139">
        <f>($M457*(1-(Assumptions!$C$25+0.06*(1-$H457))-Assumptions!$C$27)-Assumptions!$C$28)-MAX(0,($M457*(1-(Assumptions!$C$25+0.06*(1-$H457))-Assumptions!$C$27)-Assumptions!$C$28)*Assumptions!$C$31)+Assumptions!$C$28-Assumptions!$C$29-$M457*Assumptions!$C$30</f>
        <v>35.23928253</v>
      </c>
      <c r="S457" s="139">
        <f>($N457*(1-(Assumptions!$C$25+0.06*(1-$I457))-Assumptions!$C$27)-Assumptions!$C$28)-MAX(0,($N457*(1-(Assumptions!$C$25+0.06*(1-$I457))-Assumptions!$C$27)-Assumptions!$C$28)*Assumptions!$C$31)+Assumptions!$C$28-Assumptions!$C$29-$N457*Assumptions!$C$30</f>
        <v>103.6351732</v>
      </c>
      <c r="T457" s="139">
        <f>($O457*(1-(Assumptions!$C$25+0.06*(1-$J457))-Assumptions!$C$27)-Assumptions!$C$28)-MAX(0,($O457*(1-(Assumptions!$C$25+0.06*(1-$J457))-Assumptions!$C$27)-Assumptions!$C$28)*Assumptions!$C$31)+Assumptions!$C$28-Assumptions!$C$29-$O457*Assumptions!$C$30</f>
        <v>38.80240416</v>
      </c>
      <c r="U457" s="139">
        <f>($P457*(1-(Assumptions!$C$25+0.06*(1-$K457))-Assumptions!$C$27)-Assumptions!$C$28)-MAX(0,($P457*(1-(Assumptions!$C$25+0.06*(1-$K457))-Assumptions!$C$27)-Assumptions!$C$28)*Assumptions!$C$31)+Assumptions!$C$28-Assumptions!$C$29-$P457*Assumptions!$C$30</f>
        <v>40.63193397</v>
      </c>
      <c r="V457" s="143">
        <f>(($Q457/(1+$D457)^1+$R457/(1+$D457)^2+$S457/(1+$D457)^3+$T457/(1+$D457)^4+$U457/(1+$D457)^5+$U457*(1+$E457)/($D457-$E457)/(1+$D457)^5)-Assumptions!$C$37)/Assumptions!$C$40/Assumptions!$C$38</f>
        <v>-0.7594492307</v>
      </c>
    </row>
    <row r="458" ht="12.0" customHeight="1">
      <c r="B458" s="139">
        <v>406.0</v>
      </c>
      <c r="C458" s="140">
        <f t="shared" si="6"/>
        <v>0.2549313325</v>
      </c>
      <c r="D458" s="141">
        <f t="shared" si="7"/>
        <v>0.0942963284</v>
      </c>
      <c r="E458" s="141">
        <f t="shared" si="8"/>
        <v>0.02462903345</v>
      </c>
      <c r="F458" s="140">
        <f t="shared" si="9"/>
        <v>0.8563492226</v>
      </c>
      <c r="G458" s="141">
        <f t="shared" si="10"/>
        <v>0.07391984455</v>
      </c>
      <c r="H458" s="142">
        <f t="shared" si="11"/>
        <v>1</v>
      </c>
      <c r="I458" s="142">
        <f t="shared" si="12"/>
        <v>1</v>
      </c>
      <c r="J458" s="142">
        <f t="shared" si="13"/>
        <v>0</v>
      </c>
      <c r="K458" s="142">
        <f t="shared" si="14"/>
        <v>1</v>
      </c>
      <c r="L458" s="139">
        <f>Assumptions!$C$6*Assumptions!$C$7*(1+$G458-0.05*(1-1))^1+Assumptions!$C$6*Assumptions!$C$8*(1+Assumptions!$C$11)^1+Assumptions!$C$16*1+Assumptions!$C$6*Assumptions!$C$9*(1+Assumptions!$C$12)^1</f>
        <v>751.3494197</v>
      </c>
      <c r="M458" s="139">
        <f>Assumptions!$C$6*Assumptions!$C$7*(1+$G458-0.05*(1-$H458))^2+Assumptions!$C$6*Assumptions!$C$8*(1+Assumptions!$C$11)^2+Assumptions!$C$16*$H458+Assumptions!$C$6*Assumptions!$C$9*(1+Assumptions!$C$12)^2</f>
        <v>784.66743</v>
      </c>
      <c r="N458" s="139">
        <f>Assumptions!$C$6*Assumptions!$C$7*(1+$G458-0.05*(1-$I458))^3+Assumptions!$C$6*Assumptions!$C$8*(1+Assumptions!$C$11)^3+Assumptions!$C$16*$I458+Assumptions!$C$6*Assumptions!$C$9*(1+Assumptions!$C$12)^3</f>
        <v>820.0925739</v>
      </c>
      <c r="O458" s="139">
        <f>Assumptions!$C$6*Assumptions!$C$7*(1+$G458-0.05*(1-$J458))^4+Assumptions!$C$6*Assumptions!$C$8*(1+Assumptions!$C$11)^4+Assumptions!$C$16*$J458+Assumptions!$C$6*Assumptions!$C$9*(1+Assumptions!$C$12)^4</f>
        <v>720.0383084</v>
      </c>
      <c r="P458" s="139">
        <f>Assumptions!$C$6*Assumptions!$C$7*(1+$G458-0.05*(1-$K458))^5+Assumptions!$C$6*Assumptions!$C$8*(1+Assumptions!$C$11)^5+Assumptions!$C$16*$K458+Assumptions!$C$6*Assumptions!$C$9*(1+Assumptions!$C$12)^5</f>
        <v>897.8696853</v>
      </c>
      <c r="Q458" s="139">
        <f>($L458*(1-(Assumptions!$C$25+0.06*(1-1))-Assumptions!$C$27)-Assumptions!$C$28)-MAX(0,($L458*(1-(Assumptions!$C$25+0.06*(1-1))-Assumptions!$C$27)-Assumptions!$C$28)*Assumptions!$C$31)+Assumptions!$C$28-Assumptions!$C$29-$L458*Assumptions!$C$30</f>
        <v>94.04012523</v>
      </c>
      <c r="R458" s="139">
        <f>($M458*(1-(Assumptions!$C$25+0.06*(1-$H458))-Assumptions!$C$27)-Assumptions!$C$28)-MAX(0,($M458*(1-(Assumptions!$C$25+0.06*(1-$H458))-Assumptions!$C$27)-Assumptions!$C$28)*Assumptions!$C$31)+Assumptions!$C$28-Assumptions!$C$29-$M458*Assumptions!$C$30</f>
        <v>101.2034975</v>
      </c>
      <c r="S458" s="139">
        <f>($N458*(1-(Assumptions!$C$25+0.06*(1-$I458))-Assumptions!$C$27)-Assumptions!$C$28)-MAX(0,($N458*(1-(Assumptions!$C$25+0.06*(1-$I458))-Assumptions!$C$27)-Assumptions!$C$28)*Assumptions!$C$31)+Assumptions!$C$28-Assumptions!$C$29-$N458*Assumptions!$C$30</f>
        <v>108.8199034</v>
      </c>
      <c r="T458" s="139">
        <f>($O458*(1-(Assumptions!$C$25+0.06*(1-$J458))-Assumptions!$C$27)-Assumptions!$C$28)-MAX(0,($O458*(1-(Assumptions!$C$25+0.06*(1-$J458))-Assumptions!$C$27)-Assumptions!$C$28)*Assumptions!$C$31)+Assumptions!$C$28-Assumptions!$C$29-$O458*Assumptions!$C$30</f>
        <v>45.60881094</v>
      </c>
      <c r="U458" s="139">
        <f>($P458*(1-(Assumptions!$C$25+0.06*(1-$K458))-Assumptions!$C$27)-Assumptions!$C$28)-MAX(0,($P458*(1-(Assumptions!$C$25+0.06*(1-$K458))-Assumptions!$C$27)-Assumptions!$C$28)*Assumptions!$C$31)+Assumptions!$C$28-Assumptions!$C$29-$P458*Assumptions!$C$30</f>
        <v>125.5419823</v>
      </c>
      <c r="V458" s="143">
        <f>(($Q458/(1+$D458)^1+$R458/(1+$D458)^2+$S458/(1+$D458)^3+$T458/(1+$D458)^4+$U458/(1+$D458)^5+$U458*(1+$E458)/($D458-$E458)/(1+$D458)^5)-Assumptions!$C$37)/Assumptions!$C$40/Assumptions!$C$38</f>
        <v>6.635447756</v>
      </c>
    </row>
    <row r="459" ht="12.0" customHeight="1">
      <c r="B459" s="139">
        <v>407.0</v>
      </c>
      <c r="C459" s="140">
        <f t="shared" si="6"/>
        <v>0.6942150356</v>
      </c>
      <c r="D459" s="141">
        <f t="shared" si="7"/>
        <v>0.1019024672</v>
      </c>
      <c r="E459" s="141">
        <f t="shared" si="8"/>
        <v>0.0185402331</v>
      </c>
      <c r="F459" s="140">
        <f t="shared" si="9"/>
        <v>0.4068046586</v>
      </c>
      <c r="G459" s="141">
        <f t="shared" si="10"/>
        <v>0.05706008842</v>
      </c>
      <c r="H459" s="142">
        <f t="shared" si="11"/>
        <v>1</v>
      </c>
      <c r="I459" s="142">
        <f t="shared" si="12"/>
        <v>0</v>
      </c>
      <c r="J459" s="142">
        <f t="shared" si="13"/>
        <v>1</v>
      </c>
      <c r="K459" s="142">
        <f t="shared" si="14"/>
        <v>1</v>
      </c>
      <c r="L459" s="139">
        <f>Assumptions!$C$6*Assumptions!$C$7*(1+$G459-0.05*(1-1))^1+Assumptions!$C$6*Assumptions!$C$8*(1+Assumptions!$C$11)^1+Assumptions!$C$16*1+Assumptions!$C$6*Assumptions!$C$9*(1+Assumptions!$C$12)^1</f>
        <v>745.6744258</v>
      </c>
      <c r="M459" s="139">
        <f>Assumptions!$C$6*Assumptions!$C$7*(1+$G459-0.05*(1-$H459))^2+Assumptions!$C$6*Assumptions!$C$8*(1+Assumptions!$C$11)^2+Assumptions!$C$16*$H459+Assumptions!$C$6*Assumptions!$C$9*(1+Assumptions!$C$12)^2</f>
        <v>772.5741319</v>
      </c>
      <c r="N459" s="139">
        <f>Assumptions!$C$6*Assumptions!$C$7*(1+$G459-0.05*(1-$I459))^3+Assumptions!$C$6*Assumptions!$C$8*(1+Assumptions!$C$11)^3+Assumptions!$C$16*$I459+Assumptions!$C$6*Assumptions!$C$9*(1+Assumptions!$C$12)^3</f>
        <v>686.9743963</v>
      </c>
      <c r="O459" s="139">
        <f>Assumptions!$C$6*Assumptions!$C$7*(1+$G459-0.05*(1-$J459))^4+Assumptions!$C$6*Assumptions!$C$8*(1+Assumptions!$C$11)^4+Assumptions!$C$16*$J459+Assumptions!$C$6*Assumptions!$C$9*(1+Assumptions!$C$12)^4</f>
        <v>830.3134871</v>
      </c>
      <c r="P459" s="139">
        <f>Assumptions!$C$6*Assumptions!$C$7*(1+$G459-0.05*(1-$K459))^5+Assumptions!$C$6*Assumptions!$C$8*(1+Assumptions!$C$11)^5+Assumptions!$C$16*$K459+Assumptions!$C$6*Assumptions!$C$9*(1+Assumptions!$C$12)^5</f>
        <v>861.2944416</v>
      </c>
      <c r="Q459" s="139">
        <f>($L459*(1-(Assumptions!$C$25+0.06*(1-1))-Assumptions!$C$27)-Assumptions!$C$28)-MAX(0,($L459*(1-(Assumptions!$C$25+0.06*(1-1))-Assumptions!$C$27)-Assumptions!$C$28)*Assumptions!$C$31)+Assumptions!$C$28-Assumptions!$C$29-$L459*Assumptions!$C$30</f>
        <v>92.82000154</v>
      </c>
      <c r="R459" s="139">
        <f>($M459*(1-(Assumptions!$C$25+0.06*(1-$H459))-Assumptions!$C$27)-Assumptions!$C$28)-MAX(0,($M459*(1-(Assumptions!$C$25+0.06*(1-$H459))-Assumptions!$C$27)-Assumptions!$C$28)*Assumptions!$C$31)+Assumptions!$C$28-Assumptions!$C$29-$M459*Assumptions!$C$30</f>
        <v>98.60343835</v>
      </c>
      <c r="S459" s="139">
        <f>($N459*(1-(Assumptions!$C$25+0.06*(1-$I459))-Assumptions!$C$27)-Assumptions!$C$28)-MAX(0,($N459*(1-(Assumptions!$C$25+0.06*(1-$I459))-Assumptions!$C$27)-Assumptions!$C$28)*Assumptions!$C$31)+Assumptions!$C$28-Assumptions!$C$29-$N459*Assumptions!$C$30</f>
        <v>38.00411114</v>
      </c>
      <c r="T459" s="139">
        <f>($O459*(1-(Assumptions!$C$25+0.06*(1-$J459))-Assumptions!$C$27)-Assumptions!$C$28)-MAX(0,($O459*(1-(Assumptions!$C$25+0.06*(1-$J459))-Assumptions!$C$27)-Assumptions!$C$28)*Assumptions!$C$31)+Assumptions!$C$28-Assumptions!$C$29-$O459*Assumptions!$C$30</f>
        <v>111.0173997</v>
      </c>
      <c r="U459" s="139">
        <f>($P459*(1-(Assumptions!$C$25+0.06*(1-$K459))-Assumptions!$C$27)-Assumptions!$C$28)-MAX(0,($P459*(1-(Assumptions!$C$25+0.06*(1-$K459))-Assumptions!$C$27)-Assumptions!$C$28)*Assumptions!$C$31)+Assumptions!$C$28-Assumptions!$C$29-$P459*Assumptions!$C$30</f>
        <v>117.6783049</v>
      </c>
      <c r="V459" s="143">
        <f>(($Q459/(1+$D459)^1+$R459/(1+$D459)^2+$S459/(1+$D459)^3+$T459/(1+$D459)^4+$U459/(1+$D459)^5+$U459*(1+$E459)/($D459-$E459)/(1+$D459)^5)-Assumptions!$C$37)/Assumptions!$C$40/Assumptions!$C$38</f>
        <v>4.175038414</v>
      </c>
    </row>
    <row r="460" ht="12.0" customHeight="1">
      <c r="B460" s="139">
        <v>408.0</v>
      </c>
      <c r="C460" s="140">
        <f t="shared" si="6"/>
        <v>0.9488798463</v>
      </c>
      <c r="D460" s="141">
        <f t="shared" si="7"/>
        <v>0.1096447777</v>
      </c>
      <c r="E460" s="141">
        <f t="shared" si="8"/>
        <v>0.01786666674</v>
      </c>
      <c r="F460" s="140">
        <f t="shared" si="9"/>
        <v>0.3554601338</v>
      </c>
      <c r="G460" s="141">
        <f t="shared" si="10"/>
        <v>0.05529482636</v>
      </c>
      <c r="H460" s="142">
        <f t="shared" si="11"/>
        <v>1</v>
      </c>
      <c r="I460" s="142">
        <f t="shared" si="12"/>
        <v>1</v>
      </c>
      <c r="J460" s="142">
        <f t="shared" si="13"/>
        <v>1</v>
      </c>
      <c r="K460" s="142">
        <f t="shared" si="14"/>
        <v>0</v>
      </c>
      <c r="L460" s="139">
        <f>Assumptions!$C$6*Assumptions!$C$7*(1+$G460-0.05*(1-1))^1+Assumptions!$C$6*Assumptions!$C$8*(1+Assumptions!$C$11)^1+Assumptions!$C$16*1+Assumptions!$C$6*Assumptions!$C$9*(1+Assumptions!$C$12)^1</f>
        <v>745.0802386</v>
      </c>
      <c r="M460" s="139">
        <f>Assumptions!$C$6*Assumptions!$C$7*(1+$G460-0.05*(1-$H460))^2+Assumptions!$C$6*Assumptions!$C$8*(1+Assumptions!$C$11)^2+Assumptions!$C$16*$H460+Assumptions!$C$6*Assumptions!$C$9*(1+Assumptions!$C$12)^2</f>
        <v>771.3189976</v>
      </c>
      <c r="N460" s="139">
        <f>Assumptions!$C$6*Assumptions!$C$7*(1+$G460-0.05*(1-$I460))^3+Assumptions!$C$6*Assumptions!$C$8*(1+Assumptions!$C$11)^3+Assumptions!$C$16*$I460+Assumptions!$C$6*Assumptions!$C$9*(1+Assumptions!$C$12)^3</f>
        <v>798.7757716</v>
      </c>
      <c r="O460" s="139">
        <f>Assumptions!$C$6*Assumptions!$C$7*(1+$G460-0.05*(1-$J460))^4+Assumptions!$C$6*Assumptions!$C$8*(1+Assumptions!$C$11)^4+Assumptions!$C$16*$J460+Assumptions!$C$6*Assumptions!$C$9*(1+Assumptions!$C$12)^4</f>
        <v>827.5132534</v>
      </c>
      <c r="P460" s="139">
        <f>Assumptions!$C$6*Assumptions!$C$7*(1+$G460-0.05*(1-$K460))^5+Assumptions!$C$6*Assumptions!$C$8*(1+Assumptions!$C$11)^5+Assumptions!$C$16*$K460+Assumptions!$C$6*Assumptions!$C$9*(1+Assumptions!$C$12)^5</f>
        <v>702.6657919</v>
      </c>
      <c r="Q460" s="139">
        <f>($L460*(1-(Assumptions!$C$25+0.06*(1-1))-Assumptions!$C$27)-Assumptions!$C$28)-MAX(0,($L460*(1-(Assumptions!$C$25+0.06*(1-1))-Assumptions!$C$27)-Assumptions!$C$28)*Assumptions!$C$31)+Assumptions!$C$28-Assumptions!$C$29-$L460*Assumptions!$C$30</f>
        <v>92.69225129</v>
      </c>
      <c r="R460" s="139">
        <f>($M460*(1-(Assumptions!$C$25+0.06*(1-$H460))-Assumptions!$C$27)-Assumptions!$C$28)-MAX(0,($M460*(1-(Assumptions!$C$25+0.06*(1-$H460))-Assumptions!$C$27)-Assumptions!$C$28)*Assumptions!$C$31)+Assumptions!$C$28-Assumptions!$C$29-$M460*Assumptions!$C$30</f>
        <v>98.33358449</v>
      </c>
      <c r="S460" s="139">
        <f>($N460*(1-(Assumptions!$C$25+0.06*(1-$I460))-Assumptions!$C$27)-Assumptions!$C$28)-MAX(0,($N460*(1-(Assumptions!$C$25+0.06*(1-$I460))-Assumptions!$C$27)-Assumptions!$C$28)*Assumptions!$C$31)+Assumptions!$C$28-Assumptions!$C$29-$N460*Assumptions!$C$30</f>
        <v>104.2367909</v>
      </c>
      <c r="T460" s="139">
        <f>($O460*(1-(Assumptions!$C$25+0.06*(1-$J460))-Assumptions!$C$27)-Assumptions!$C$28)-MAX(0,($O460*(1-(Assumptions!$C$25+0.06*(1-$J460))-Assumptions!$C$27)-Assumptions!$C$28)*Assumptions!$C$31)+Assumptions!$C$28-Assumptions!$C$29-$O460*Assumptions!$C$30</f>
        <v>110.4153495</v>
      </c>
      <c r="U460" s="139">
        <f>($P460*(1-(Assumptions!$C$25+0.06*(1-$K460))-Assumptions!$C$27)-Assumptions!$C$28)-MAX(0,($P460*(1-(Assumptions!$C$25+0.06*(1-$K460))-Assumptions!$C$27)-Assumptions!$C$28)*Assumptions!$C$31)+Assumptions!$C$28-Assumptions!$C$29-$P460*Assumptions!$C$30</f>
        <v>41.61313215</v>
      </c>
      <c r="V460" s="143">
        <f>(($Q460/(1+$D460)^1+$R460/(1+$D460)^2+$S460/(1+$D460)^3+$T460/(1+$D460)^4+$U460/(1+$D460)^5+$U460*(1+$E460)/($D460-$E460)/(1+$D460)^5)-Assumptions!$C$37)/Assumptions!$C$40/Assumptions!$C$38</f>
        <v>-0.6253351905</v>
      </c>
    </row>
    <row r="461" ht="12.0" customHeight="1">
      <c r="B461" s="139">
        <v>409.0</v>
      </c>
      <c r="C461" s="140">
        <f t="shared" si="6"/>
        <v>0.9782213113</v>
      </c>
      <c r="D461" s="141">
        <f t="shared" si="7"/>
        <v>0.1115045967</v>
      </c>
      <c r="E461" s="141">
        <f t="shared" si="8"/>
        <v>0.0245623625</v>
      </c>
      <c r="F461" s="140">
        <f t="shared" si="9"/>
        <v>0.7588145141</v>
      </c>
      <c r="G461" s="141">
        <f t="shared" si="10"/>
        <v>0.0691641205</v>
      </c>
      <c r="H461" s="142">
        <f t="shared" si="11"/>
        <v>0</v>
      </c>
      <c r="I461" s="142">
        <f t="shared" si="12"/>
        <v>1</v>
      </c>
      <c r="J461" s="142">
        <f t="shared" si="13"/>
        <v>1</v>
      </c>
      <c r="K461" s="142">
        <f t="shared" si="14"/>
        <v>0</v>
      </c>
      <c r="L461" s="139">
        <f>Assumptions!$C$6*Assumptions!$C$7*(1+$G461-0.05*(1-1))^1+Assumptions!$C$6*Assumptions!$C$8*(1+Assumptions!$C$11)^1+Assumptions!$C$16*1+Assumptions!$C$6*Assumptions!$C$9*(1+Assumptions!$C$12)^1</f>
        <v>749.748643</v>
      </c>
      <c r="M461" s="139">
        <f>Assumptions!$C$6*Assumptions!$C$7*(1+$G461-0.05*(1-$H461))^2+Assumptions!$C$6*Assumptions!$C$8*(1+Assumptions!$C$11)^2+Assumptions!$C$16*$H461+Assumptions!$C$6*Assumptions!$C$9*(1+Assumptions!$C$12)^2</f>
        <v>686.0902668</v>
      </c>
      <c r="N461" s="139">
        <f>Assumptions!$C$6*Assumptions!$C$7*(1+$G461-0.05*(1-$I461))^3+Assumptions!$C$6*Assumptions!$C$8*(1+Assumptions!$C$11)^3+Assumptions!$C$16*$I461+Assumptions!$C$6*Assumptions!$C$9*(1+Assumptions!$C$12)^3</f>
        <v>814.5785187</v>
      </c>
      <c r="O461" s="139">
        <f>Assumptions!$C$6*Assumptions!$C$7*(1+$G461-0.05*(1-$J461))^4+Assumptions!$C$6*Assumptions!$C$8*(1+Assumptions!$C$11)^4+Assumptions!$C$16*$J461+Assumptions!$C$6*Assumptions!$C$9*(1+Assumptions!$C$12)^4</f>
        <v>849.8954143</v>
      </c>
      <c r="P461" s="139">
        <f>Assumptions!$C$6*Assumptions!$C$7*(1+$G461-0.05*(1-$K461))^5+Assumptions!$C$6*Assumptions!$C$8*(1+Assumptions!$C$11)^5+Assumptions!$C$16*$K461+Assumptions!$C$6*Assumptions!$C$9*(1+Assumptions!$C$12)^5</f>
        <v>727.1730743</v>
      </c>
      <c r="Q461" s="139">
        <f>($L461*(1-(Assumptions!$C$25+0.06*(1-1))-Assumptions!$C$27)-Assumptions!$C$28)-MAX(0,($L461*(1-(Assumptions!$C$25+0.06*(1-1))-Assumptions!$C$27)-Assumptions!$C$28)*Assumptions!$C$31)+Assumptions!$C$28-Assumptions!$C$29-$L461*Assumptions!$C$30</f>
        <v>93.69595824</v>
      </c>
      <c r="R461" s="139">
        <f>($M461*(1-(Assumptions!$C$25+0.06*(1-$H461))-Assumptions!$C$27)-Assumptions!$C$28)-MAX(0,($M461*(1-(Assumptions!$C$25+0.06*(1-$H461))-Assumptions!$C$27)-Assumptions!$C$28)*Assumptions!$C$31)+Assumptions!$C$28-Assumptions!$C$29-$M461*Assumptions!$C$30</f>
        <v>37.80076137</v>
      </c>
      <c r="S461" s="139">
        <f>($N461*(1-(Assumptions!$C$25+0.06*(1-$I461))-Assumptions!$C$27)-Assumptions!$C$28)-MAX(0,($N461*(1-(Assumptions!$C$25+0.06*(1-$I461))-Assumptions!$C$27)-Assumptions!$C$28)*Assumptions!$C$31)+Assumptions!$C$28-Assumptions!$C$29-$N461*Assumptions!$C$30</f>
        <v>107.6343815</v>
      </c>
      <c r="T461" s="139">
        <f>($O461*(1-(Assumptions!$C$25+0.06*(1-$J461))-Assumptions!$C$27)-Assumptions!$C$28)-MAX(0,($O461*(1-(Assumptions!$C$25+0.06*(1-$J461))-Assumptions!$C$27)-Assumptions!$C$28)*Assumptions!$C$31)+Assumptions!$C$28-Assumptions!$C$29-$O461*Assumptions!$C$30</f>
        <v>115.2275141</v>
      </c>
      <c r="U461" s="139">
        <f>($P461*(1-(Assumptions!$C$25+0.06*(1-$K461))-Assumptions!$C$27)-Assumptions!$C$28)-MAX(0,($P461*(1-(Assumptions!$C$25+0.06*(1-$K461))-Assumptions!$C$27)-Assumptions!$C$28)*Assumptions!$C$31)+Assumptions!$C$28-Assumptions!$C$29-$P461*Assumptions!$C$30</f>
        <v>47.24980708</v>
      </c>
      <c r="V461" s="143">
        <f>(($Q461/(1+$D461)^1+$R461/(1+$D461)^2+$S461/(1+$D461)^3+$T461/(1+$D461)^4+$U461/(1+$D461)^5+$U461*(1+$E461)/($D461-$E461)/(1+$D461)^5)-Assumptions!$C$37)/Assumptions!$C$40/Assumptions!$C$38</f>
        <v>-0.5218494633</v>
      </c>
    </row>
    <row r="462" ht="12.0" customHeight="1">
      <c r="B462" s="139">
        <v>410.0</v>
      </c>
      <c r="C462" s="140">
        <f t="shared" si="6"/>
        <v>0.2955190408</v>
      </c>
      <c r="D462" s="141">
        <f t="shared" si="7"/>
        <v>0.09500904365</v>
      </c>
      <c r="E462" s="141">
        <f t="shared" si="8"/>
        <v>0.02616420556</v>
      </c>
      <c r="F462" s="140">
        <f t="shared" si="9"/>
        <v>0.6343379733</v>
      </c>
      <c r="G462" s="141">
        <f t="shared" si="10"/>
        <v>0.06434475398</v>
      </c>
      <c r="H462" s="142">
        <f t="shared" si="11"/>
        <v>1</v>
      </c>
      <c r="I462" s="142">
        <f t="shared" si="12"/>
        <v>1</v>
      </c>
      <c r="J462" s="142">
        <f t="shared" si="13"/>
        <v>1</v>
      </c>
      <c r="K462" s="142">
        <f t="shared" si="14"/>
        <v>1</v>
      </c>
      <c r="L462" s="139">
        <f>Assumptions!$C$6*Assumptions!$C$7*(1+$G462-0.05*(1-1))^1+Assumptions!$C$6*Assumptions!$C$8*(1+Assumptions!$C$11)^1+Assumptions!$C$16*1+Assumptions!$C$6*Assumptions!$C$9*(1+Assumptions!$C$12)^1</f>
        <v>748.1264442</v>
      </c>
      <c r="M462" s="139">
        <f>Assumptions!$C$6*Assumptions!$C$7*(1+$G462-0.05*(1-$H462))^2+Assumptions!$C$6*Assumptions!$C$8*(1+Assumptions!$C$11)^2+Assumptions!$C$16*$H462+Assumptions!$C$6*Assumptions!$C$9*(1+Assumptions!$C$12)^2</f>
        <v>777.7758556</v>
      </c>
      <c r="N462" s="139">
        <f>Assumptions!$C$6*Assumptions!$C$7*(1+$G462-0.05*(1-$I462))^3+Assumptions!$C$6*Assumptions!$C$8*(1+Assumptions!$C$11)^3+Assumptions!$C$16*$I462+Assumptions!$C$6*Assumptions!$C$9*(1+Assumptions!$C$12)^3</f>
        <v>809.0404929</v>
      </c>
      <c r="O462" s="139">
        <f>Assumptions!$C$6*Assumptions!$C$7*(1+$G462-0.05*(1-$J462))^4+Assumptions!$C$6*Assumptions!$C$8*(1+Assumptions!$C$11)^4+Assumptions!$C$16*$J462+Assumptions!$C$6*Assumptions!$C$9*(1+Assumptions!$C$12)^4</f>
        <v>842.018436</v>
      </c>
      <c r="P462" s="139">
        <f>Assumptions!$C$6*Assumptions!$C$7*(1+$G462-0.05*(1-$K462))^5+Assumptions!$C$6*Assumptions!$C$8*(1+Assumptions!$C$11)^5+Assumptions!$C$16*$K462+Assumptions!$C$6*Assumptions!$C$9*(1+Assumptions!$C$12)^5</f>
        <v>876.8139592</v>
      </c>
      <c r="Q462" s="139">
        <f>($L462*(1-(Assumptions!$C$25+0.06*(1-1))-Assumptions!$C$27)-Assumptions!$C$28)-MAX(0,($L462*(1-(Assumptions!$C$25+0.06*(1-1))-Assumptions!$C$27)-Assumptions!$C$28)*Assumptions!$C$31)+Assumptions!$C$28-Assumptions!$C$29-$L462*Assumptions!$C$30</f>
        <v>93.3471855</v>
      </c>
      <c r="R462" s="139">
        <f>($M462*(1-(Assumptions!$C$25+0.06*(1-$H462))-Assumptions!$C$27)-Assumptions!$C$28)-MAX(0,($M462*(1-(Assumptions!$C$25+0.06*(1-$H462))-Assumptions!$C$27)-Assumptions!$C$28)*Assumptions!$C$31)+Assumptions!$C$28-Assumptions!$C$29-$M462*Assumptions!$C$30</f>
        <v>99.72180896</v>
      </c>
      <c r="S462" s="139">
        <f>($N462*(1-(Assumptions!$C$25+0.06*(1-$I462))-Assumptions!$C$27)-Assumptions!$C$28)-MAX(0,($N462*(1-(Assumptions!$C$25+0.06*(1-$I462))-Assumptions!$C$27)-Assumptions!$C$28)*Assumptions!$C$31)+Assumptions!$C$28-Assumptions!$C$29-$N462*Assumptions!$C$30</f>
        <v>106.443706</v>
      </c>
      <c r="T462" s="139">
        <f>($O462*(1-(Assumptions!$C$25+0.06*(1-$J462))-Assumptions!$C$27)-Assumptions!$C$28)-MAX(0,($O462*(1-(Assumptions!$C$25+0.06*(1-$J462))-Assumptions!$C$27)-Assumptions!$C$28)*Assumptions!$C$31)+Assumptions!$C$28-Assumptions!$C$29-$O462*Assumptions!$C$30</f>
        <v>113.5339637</v>
      </c>
      <c r="U462" s="139">
        <f>($P462*(1-(Assumptions!$C$25+0.06*(1-$K462))-Assumptions!$C$27)-Assumptions!$C$28)-MAX(0,($P462*(1-(Assumptions!$C$25+0.06*(1-$K462))-Assumptions!$C$27)-Assumptions!$C$28)*Assumptions!$C$31)+Assumptions!$C$28-Assumptions!$C$29-$P462*Assumptions!$C$30</f>
        <v>121.0150012</v>
      </c>
      <c r="V462" s="143">
        <f>(($Q462/(1+$D462)^1+$R462/(1+$D462)^2+$S462/(1+$D462)^3+$T462/(1+$D462)^4+$U462/(1+$D462)^5+$U462*(1+$E462)/($D462-$E462)/(1+$D462)^5)-Assumptions!$C$37)/Assumptions!$C$40/Assumptions!$C$38</f>
        <v>6.706656984</v>
      </c>
    </row>
    <row r="463" ht="12.0" customHeight="1">
      <c r="B463" s="139">
        <v>411.0</v>
      </c>
      <c r="C463" s="140">
        <f t="shared" si="6"/>
        <v>0.7593315838</v>
      </c>
      <c r="D463" s="141">
        <f t="shared" si="7"/>
        <v>0.1033804053</v>
      </c>
      <c r="E463" s="141">
        <f t="shared" si="8"/>
        <v>0.02220432615</v>
      </c>
      <c r="F463" s="140">
        <f t="shared" si="9"/>
        <v>0.4725730029</v>
      </c>
      <c r="G463" s="141">
        <f t="shared" si="10"/>
        <v>0.05916558597</v>
      </c>
      <c r="H463" s="142">
        <f t="shared" si="11"/>
        <v>1</v>
      </c>
      <c r="I463" s="142">
        <f t="shared" si="12"/>
        <v>1</v>
      </c>
      <c r="J463" s="142">
        <f t="shared" si="13"/>
        <v>1</v>
      </c>
      <c r="K463" s="142">
        <f t="shared" si="14"/>
        <v>1</v>
      </c>
      <c r="L463" s="139">
        <f>Assumptions!$C$6*Assumptions!$C$7*(1+$G463-0.05*(1-1))^1+Assumptions!$C$6*Assumptions!$C$8*(1+Assumptions!$C$11)^1+Assumptions!$C$16*1+Assumptions!$C$6*Assumptions!$C$9*(1+Assumptions!$C$12)^1</f>
        <v>746.3831362</v>
      </c>
      <c r="M463" s="139">
        <f>Assumptions!$C$6*Assumptions!$C$7*(1+$G463-0.05*(1-$H463))^2+Assumptions!$C$6*Assumptions!$C$8*(1+Assumptions!$C$11)^2+Assumptions!$C$16*$H463+Assumptions!$C$6*Assumptions!$C$9*(1+Assumptions!$C$12)^2</f>
        <v>774.0739232</v>
      </c>
      <c r="N463" s="139">
        <f>Assumptions!$C$6*Assumptions!$C$7*(1+$G463-0.05*(1-$I463))^3+Assumptions!$C$6*Assumptions!$C$8*(1+Assumptions!$C$11)^3+Assumptions!$C$16*$I463+Assumptions!$C$6*Assumptions!$C$9*(1+Assumptions!$C$12)^3</f>
        <v>803.1446623</v>
      </c>
      <c r="O463" s="139">
        <f>Assumptions!$C$6*Assumptions!$C$7*(1+$G463-0.05*(1-$J463))^4+Assumptions!$C$6*Assumptions!$C$8*(1+Assumptions!$C$11)^4+Assumptions!$C$16*$J463+Assumptions!$C$6*Assumptions!$C$9*(1+Assumptions!$C$12)^4</f>
        <v>833.6718315</v>
      </c>
      <c r="P463" s="139">
        <f>Assumptions!$C$6*Assumptions!$C$7*(1+$G463-0.05*(1-$K463))^5+Assumptions!$C$6*Assumptions!$C$8*(1+Assumptions!$C$11)^5+Assumptions!$C$16*$K463+Assumptions!$C$6*Assumptions!$C$9*(1+Assumptions!$C$12)^5</f>
        <v>865.7363301</v>
      </c>
      <c r="Q463" s="139">
        <f>($L463*(1-(Assumptions!$C$25+0.06*(1-1))-Assumptions!$C$27)-Assumptions!$C$28)-MAX(0,($L463*(1-(Assumptions!$C$25+0.06*(1-1))-Assumptions!$C$27)-Assumptions!$C$28)*Assumptions!$C$31)+Assumptions!$C$28-Assumptions!$C$29-$L463*Assumptions!$C$30</f>
        <v>92.97237429</v>
      </c>
      <c r="R463" s="139">
        <f>($M463*(1-(Assumptions!$C$25+0.06*(1-$H463))-Assumptions!$C$27)-Assumptions!$C$28)-MAX(0,($M463*(1-(Assumptions!$C$25+0.06*(1-$H463))-Assumptions!$C$27)-Assumptions!$C$28)*Assumptions!$C$31)+Assumptions!$C$28-Assumptions!$C$29-$M463*Assumptions!$C$30</f>
        <v>98.92589348</v>
      </c>
      <c r="S463" s="139">
        <f>($N463*(1-(Assumptions!$C$25+0.06*(1-$I463))-Assumptions!$C$27)-Assumptions!$C$28)-MAX(0,($N463*(1-(Assumptions!$C$25+0.06*(1-$I463))-Assumptions!$C$27)-Assumptions!$C$28)*Assumptions!$C$31)+Assumptions!$C$28-Assumptions!$C$29-$N463*Assumptions!$C$30</f>
        <v>105.1761024</v>
      </c>
      <c r="T463" s="139">
        <f>($O463*(1-(Assumptions!$C$25+0.06*(1-$J463))-Assumptions!$C$27)-Assumptions!$C$28)-MAX(0,($O463*(1-(Assumptions!$C$25+0.06*(1-$J463))-Assumptions!$C$27)-Assumptions!$C$28)*Assumptions!$C$31)+Assumptions!$C$28-Assumptions!$C$29-$O463*Assumptions!$C$30</f>
        <v>111.7394438</v>
      </c>
      <c r="U463" s="139">
        <f>($P463*(1-(Assumptions!$C$25+0.06*(1-$K463))-Assumptions!$C$27)-Assumptions!$C$28)-MAX(0,($P463*(1-(Assumptions!$C$25+0.06*(1-$K463))-Assumptions!$C$27)-Assumptions!$C$28)*Assumptions!$C$31)+Assumptions!$C$28-Assumptions!$C$29-$P463*Assumptions!$C$30</f>
        <v>118.633311</v>
      </c>
      <c r="V463" s="143">
        <f>(($Q463/(1+$D463)^1+$R463/(1+$D463)^2+$S463/(1+$D463)^3+$T463/(1+$D463)^4+$U463/(1+$D463)^5+$U463*(1+$E463)/($D463-$E463)/(1+$D463)^5)-Assumptions!$C$37)/Assumptions!$C$40/Assumptions!$C$38</f>
        <v>4.787766243</v>
      </c>
    </row>
    <row r="464" ht="12.0" customHeight="1">
      <c r="B464" s="139">
        <v>412.0</v>
      </c>
      <c r="C464" s="140">
        <f t="shared" si="6"/>
        <v>0.08699958112</v>
      </c>
      <c r="D464" s="141">
        <f t="shared" si="7"/>
        <v>0.09043073273</v>
      </c>
      <c r="E464" s="141">
        <f t="shared" si="8"/>
        <v>0.01210067799</v>
      </c>
      <c r="F464" s="140">
        <f t="shared" si="9"/>
        <v>0.9102970787</v>
      </c>
      <c r="G464" s="141">
        <f t="shared" si="10"/>
        <v>0.07729310194</v>
      </c>
      <c r="H464" s="142">
        <f t="shared" si="11"/>
        <v>1</v>
      </c>
      <c r="I464" s="142">
        <f t="shared" si="12"/>
        <v>1</v>
      </c>
      <c r="J464" s="142">
        <f t="shared" si="13"/>
        <v>0</v>
      </c>
      <c r="K464" s="142">
        <f t="shared" si="14"/>
        <v>0</v>
      </c>
      <c r="L464" s="139">
        <f>Assumptions!$C$6*Assumptions!$C$7*(1+$G464-0.05*(1-1))^1+Assumptions!$C$6*Assumptions!$C$8*(1+Assumptions!$C$11)^1+Assumptions!$C$16*1+Assumptions!$C$6*Assumptions!$C$9*(1+Assumptions!$C$12)^1</f>
        <v>752.4848581</v>
      </c>
      <c r="M464" s="139">
        <f>Assumptions!$C$6*Assumptions!$C$7*(1+$G464-0.05*(1-$H464))^2+Assumptions!$C$6*Assumptions!$C$8*(1+Assumptions!$C$11)^2+Assumptions!$C$16*$H464+Assumptions!$C$6*Assumptions!$C$9*(1+Assumptions!$C$12)^2</f>
        <v>787.1099999</v>
      </c>
      <c r="N464" s="139">
        <f>Assumptions!$C$6*Assumptions!$C$7*(1+$G464-0.05*(1-$I464))^3+Assumptions!$C$6*Assumptions!$C$8*(1+Assumptions!$C$11)^3+Assumptions!$C$16*$I464+Assumptions!$C$6*Assumptions!$C$9*(1+Assumptions!$C$12)^3</f>
        <v>824.0334431</v>
      </c>
      <c r="O464" s="139">
        <f>Assumptions!$C$6*Assumptions!$C$7*(1+$G464-0.05*(1-$J464))^4+Assumptions!$C$6*Assumptions!$C$8*(1+Assumptions!$C$11)^4+Assumptions!$C$16*$J464+Assumptions!$C$6*Assumptions!$C$9*(1+Assumptions!$C$12)^4</f>
        <v>724.9379806</v>
      </c>
      <c r="P464" s="139">
        <f>Assumptions!$C$6*Assumptions!$C$7*(1+$G464-0.05*(1-$K464))^5+Assumptions!$C$6*Assumptions!$C$8*(1+Assumptions!$C$11)^5+Assumptions!$C$16*$K464+Assumptions!$C$6*Assumptions!$C$9*(1+Assumptions!$C$12)^5</f>
        <v>742.170774</v>
      </c>
      <c r="Q464" s="139">
        <f>($L464*(1-(Assumptions!$C$25+0.06*(1-1))-Assumptions!$C$27)-Assumptions!$C$28)-MAX(0,($L464*(1-(Assumptions!$C$25+0.06*(1-1))-Assumptions!$C$27)-Assumptions!$C$28)*Assumptions!$C$31)+Assumptions!$C$28-Assumptions!$C$29-$L464*Assumptions!$C$30</f>
        <v>94.28424449</v>
      </c>
      <c r="R464" s="139">
        <f>($M464*(1-(Assumptions!$C$25+0.06*(1-$H464))-Assumptions!$C$27)-Assumptions!$C$28)-MAX(0,($M464*(1-(Assumptions!$C$25+0.06*(1-$H464))-Assumptions!$C$27)-Assumptions!$C$28)*Assumptions!$C$31)+Assumptions!$C$28-Assumptions!$C$29-$M464*Assumptions!$C$30</f>
        <v>101.72865</v>
      </c>
      <c r="S464" s="139">
        <f>($N464*(1-(Assumptions!$C$25+0.06*(1-$I464))-Assumptions!$C$27)-Assumptions!$C$28)-MAX(0,($N464*(1-(Assumptions!$C$25+0.06*(1-$I464))-Assumptions!$C$27)-Assumptions!$C$28)*Assumptions!$C$31)+Assumptions!$C$28-Assumptions!$C$29-$N464*Assumptions!$C$30</f>
        <v>109.6671903</v>
      </c>
      <c r="T464" s="139">
        <f>($O464*(1-(Assumptions!$C$25+0.06*(1-$J464))-Assumptions!$C$27)-Assumptions!$C$28)-MAX(0,($O464*(1-(Assumptions!$C$25+0.06*(1-$J464))-Assumptions!$C$27)-Assumptions!$C$28)*Assumptions!$C$31)+Assumptions!$C$28-Assumptions!$C$29-$O464*Assumptions!$C$30</f>
        <v>46.73573553</v>
      </c>
      <c r="U464" s="139">
        <f>($P464*(1-(Assumptions!$C$25+0.06*(1-$K464))-Assumptions!$C$27)-Assumptions!$C$28)-MAX(0,($P464*(1-(Assumptions!$C$25+0.06*(1-$K464))-Assumptions!$C$27)-Assumptions!$C$28)*Assumptions!$C$31)+Assumptions!$C$28-Assumptions!$C$29-$P464*Assumptions!$C$30</f>
        <v>50.69927802</v>
      </c>
      <c r="V464" s="143">
        <f>(($Q464/(1+$D464)^1+$R464/(1+$D464)^2+$S464/(1+$D464)^3+$T464/(1+$D464)^4+$U464/(1+$D464)^5+$U464*(1+$E464)/($D464-$E464)/(1+$D464)^5)-Assumptions!$C$37)/Assumptions!$C$40/Assumptions!$C$38</f>
        <v>0.4351908419</v>
      </c>
    </row>
    <row r="465" ht="12.0" customHeight="1">
      <c r="B465" s="139">
        <v>413.0</v>
      </c>
      <c r="C465" s="140">
        <f t="shared" si="6"/>
        <v>0.03183943058</v>
      </c>
      <c r="D465" s="141">
        <f t="shared" si="7"/>
        <v>0.08828535644</v>
      </c>
      <c r="E465" s="141">
        <f t="shared" si="8"/>
        <v>0.02133939918</v>
      </c>
      <c r="F465" s="140">
        <f t="shared" si="9"/>
        <v>0.5479496937</v>
      </c>
      <c r="G465" s="141">
        <f t="shared" si="10"/>
        <v>0.06147473837</v>
      </c>
      <c r="H465" s="142">
        <f t="shared" si="11"/>
        <v>1</v>
      </c>
      <c r="I465" s="142">
        <f t="shared" si="12"/>
        <v>1</v>
      </c>
      <c r="J465" s="142">
        <f t="shared" si="13"/>
        <v>0</v>
      </c>
      <c r="K465" s="142">
        <f t="shared" si="14"/>
        <v>1</v>
      </c>
      <c r="L465" s="139">
        <f>Assumptions!$C$6*Assumptions!$C$7*(1+$G465-0.05*(1-1))^1+Assumptions!$C$6*Assumptions!$C$8*(1+Assumptions!$C$11)^1+Assumptions!$C$16*1+Assumptions!$C$6*Assumptions!$C$9*(1+Assumptions!$C$12)^1</f>
        <v>747.1603969</v>
      </c>
      <c r="M465" s="139">
        <f>Assumptions!$C$6*Assumptions!$C$7*(1+$G465-0.05*(1-$H465))^2+Assumptions!$C$6*Assumptions!$C$8*(1+Assumptions!$C$11)^2+Assumptions!$C$16*$H465+Assumptions!$C$6*Assumptions!$C$9*(1+Assumptions!$C$12)^2</f>
        <v>775.7222136</v>
      </c>
      <c r="N465" s="139">
        <f>Assumptions!$C$6*Assumptions!$C$7*(1+$G465-0.05*(1-$I465))^3+Assumptions!$C$6*Assumptions!$C$8*(1+Assumptions!$C$11)^3+Assumptions!$C$16*$I465+Assumptions!$C$6*Assumptions!$C$9*(1+Assumptions!$C$12)^3</f>
        <v>805.7662366</v>
      </c>
      <c r="O465" s="139">
        <f>Assumptions!$C$6*Assumptions!$C$7*(1+$G465-0.05*(1-$J465))^4+Assumptions!$C$6*Assumptions!$C$8*(1+Assumptions!$C$11)^4+Assumptions!$C$16*$J465+Assumptions!$C$6*Assumptions!$C$9*(1+Assumptions!$C$12)^4</f>
        <v>702.3761083</v>
      </c>
      <c r="P465" s="139">
        <f>Assumptions!$C$6*Assumptions!$C$7*(1+$G465-0.05*(1-$K465))^5+Assumptions!$C$6*Assumptions!$C$8*(1+Assumptions!$C$11)^5+Assumptions!$C$16*$K465+Assumptions!$C$6*Assumptions!$C$9*(1+Assumptions!$C$12)^5</f>
        <v>870.6486407</v>
      </c>
      <c r="Q465" s="139">
        <f>($L465*(1-(Assumptions!$C$25+0.06*(1-1))-Assumptions!$C$27)-Assumptions!$C$28)-MAX(0,($L465*(1-(Assumptions!$C$25+0.06*(1-1))-Assumptions!$C$27)-Assumptions!$C$28)*Assumptions!$C$31)+Assumptions!$C$28-Assumptions!$C$29-$L465*Assumptions!$C$30</f>
        <v>93.13948534</v>
      </c>
      <c r="R465" s="139">
        <f>($M465*(1-(Assumptions!$C$25+0.06*(1-$H465))-Assumptions!$C$27)-Assumptions!$C$28)-MAX(0,($M465*(1-(Assumptions!$C$25+0.06*(1-$H465))-Assumptions!$C$27)-Assumptions!$C$28)*Assumptions!$C$31)+Assumptions!$C$28-Assumptions!$C$29-$M465*Assumptions!$C$30</f>
        <v>99.28027591</v>
      </c>
      <c r="S465" s="139">
        <f>($N465*(1-(Assumptions!$C$25+0.06*(1-$I465))-Assumptions!$C$27)-Assumptions!$C$28)-MAX(0,($N465*(1-(Assumptions!$C$25+0.06*(1-$I465))-Assumptions!$C$27)-Assumptions!$C$28)*Assumptions!$C$31)+Assumptions!$C$28-Assumptions!$C$29-$N465*Assumptions!$C$30</f>
        <v>105.7397409</v>
      </c>
      <c r="T465" s="139">
        <f>($O465*(1-(Assumptions!$C$25+0.06*(1-$J465))-Assumptions!$C$27)-Assumptions!$C$28)-MAX(0,($O465*(1-(Assumptions!$C$25+0.06*(1-$J465))-Assumptions!$C$27)-Assumptions!$C$28)*Assumptions!$C$31)+Assumptions!$C$28-Assumptions!$C$29-$O465*Assumptions!$C$30</f>
        <v>41.54650491</v>
      </c>
      <c r="U465" s="139">
        <f>($P465*(1-(Assumptions!$C$25+0.06*(1-$K465))-Assumptions!$C$27)-Assumptions!$C$28)-MAX(0,($P465*(1-(Assumptions!$C$25+0.06*(1-$K465))-Assumptions!$C$27)-Assumptions!$C$28)*Assumptions!$C$31)+Assumptions!$C$28-Assumptions!$C$29-$P465*Assumptions!$C$30</f>
        <v>119.6894577</v>
      </c>
      <c r="V465" s="143">
        <f>(($Q465/(1+$D465)^1+$R465/(1+$D465)^2+$S465/(1+$D465)^3+$T465/(1+$D465)^4+$U465/(1+$D465)^5+$U465*(1+$E465)/($D465-$E465)/(1+$D465)^5)-Assumptions!$C$37)/Assumptions!$C$40/Assumptions!$C$38</f>
        <v>6.742042484</v>
      </c>
    </row>
    <row r="466" ht="12.0" customHeight="1">
      <c r="B466" s="139">
        <v>414.0</v>
      </c>
      <c r="C466" s="140">
        <f t="shared" si="6"/>
        <v>0.7374525161</v>
      </c>
      <c r="D466" s="141">
        <f t="shared" si="7"/>
        <v>0.1028637263</v>
      </c>
      <c r="E466" s="141">
        <f t="shared" si="8"/>
        <v>0.01850559278</v>
      </c>
      <c r="F466" s="140">
        <f t="shared" si="9"/>
        <v>0.1127672614</v>
      </c>
      <c r="G466" s="141">
        <f t="shared" si="10"/>
        <v>0.04424714254</v>
      </c>
      <c r="H466" s="142">
        <f t="shared" si="11"/>
        <v>1</v>
      </c>
      <c r="I466" s="142">
        <f t="shared" si="12"/>
        <v>1</v>
      </c>
      <c r="J466" s="142">
        <f t="shared" si="13"/>
        <v>1</v>
      </c>
      <c r="K466" s="142">
        <f t="shared" si="14"/>
        <v>1</v>
      </c>
      <c r="L466" s="139">
        <f>Assumptions!$C$6*Assumptions!$C$7*(1+$G466-0.05*(1-1))^1+Assumptions!$C$6*Assumptions!$C$8*(1+Assumptions!$C$11)^1+Assumptions!$C$16*1+Assumptions!$C$6*Assumptions!$C$9*(1+Assumptions!$C$12)^1</f>
        <v>741.3615882</v>
      </c>
      <c r="M466" s="139">
        <f>Assumptions!$C$6*Assumptions!$C$7*(1+$G466-0.05*(1-$H466))^2+Assumptions!$C$6*Assumptions!$C$8*(1+Assumptions!$C$11)^2+Assumptions!$C$16*$H466+Assumptions!$C$6*Assumptions!$C$9*(1+Assumptions!$C$12)^2</f>
        <v>763.5115351</v>
      </c>
      <c r="N466" s="139">
        <f>Assumptions!$C$6*Assumptions!$C$7*(1+$G466-0.05*(1-$I466))^3+Assumptions!$C$6*Assumptions!$C$8*(1+Assumptions!$C$11)^3+Assumptions!$C$16*$I466+Assumptions!$C$6*Assumptions!$C$9*(1+Assumptions!$C$12)^3</f>
        <v>786.4815867</v>
      </c>
      <c r="O466" s="139">
        <f>Assumptions!$C$6*Assumptions!$C$7*(1+$G466-0.05*(1-$J466))^4+Assumptions!$C$6*Assumptions!$C$8*(1+Assumptions!$C$11)^4+Assumptions!$C$16*$J466+Assumptions!$C$6*Assumptions!$C$9*(1+Assumptions!$C$12)^4</f>
        <v>810.304831</v>
      </c>
      <c r="P466" s="139">
        <f>Assumptions!$C$6*Assumptions!$C$7*(1+$G466-0.05*(1-$K466))^5+Assumptions!$C$6*Assumptions!$C$8*(1+Assumptions!$C$11)^5+Assumptions!$C$16*$K466+Assumptions!$C$6*Assumptions!$C$9*(1+Assumptions!$C$12)^5</f>
        <v>835.015756</v>
      </c>
      <c r="Q466" s="139">
        <f>($L466*(1-(Assumptions!$C$25+0.06*(1-1))-Assumptions!$C$27)-Assumptions!$C$28)-MAX(0,($L466*(1-(Assumptions!$C$25+0.06*(1-1))-Assumptions!$C$27)-Assumptions!$C$28)*Assumptions!$C$31)+Assumptions!$C$28-Assumptions!$C$29-$L466*Assumptions!$C$30</f>
        <v>91.89274146</v>
      </c>
      <c r="R466" s="139">
        <f>($M466*(1-(Assumptions!$C$25+0.06*(1-$H466))-Assumptions!$C$27)-Assumptions!$C$28)-MAX(0,($M466*(1-(Assumptions!$C$25+0.06*(1-$H466))-Assumptions!$C$27)-Assumptions!$C$28)*Assumptions!$C$31)+Assumptions!$C$28-Assumptions!$C$29-$M466*Assumptions!$C$30</f>
        <v>96.65498004</v>
      </c>
      <c r="S466" s="139">
        <f>($N466*(1-(Assumptions!$C$25+0.06*(1-$I466))-Assumptions!$C$27)-Assumptions!$C$28)-MAX(0,($N466*(1-(Assumptions!$C$25+0.06*(1-$I466))-Assumptions!$C$27)-Assumptions!$C$28)*Assumptions!$C$31)+Assumptions!$C$28-Assumptions!$C$29-$N466*Assumptions!$C$30</f>
        <v>101.5935411</v>
      </c>
      <c r="T466" s="139">
        <f>($O466*(1-(Assumptions!$C$25+0.06*(1-$J466))-Assumptions!$C$27)-Assumptions!$C$28)-MAX(0,($O466*(1-(Assumptions!$C$25+0.06*(1-$J466))-Assumptions!$C$27)-Assumptions!$C$28)*Assumptions!$C$31)+Assumptions!$C$28-Assumptions!$C$29-$O466*Assumptions!$C$30</f>
        <v>106.7155387</v>
      </c>
      <c r="U466" s="139">
        <f>($P466*(1-(Assumptions!$C$25+0.06*(1-$K466))-Assumptions!$C$27)-Assumptions!$C$28)-MAX(0,($P466*(1-(Assumptions!$C$25+0.06*(1-$K466))-Assumptions!$C$27)-Assumptions!$C$28)*Assumptions!$C$31)+Assumptions!$C$28-Assumptions!$C$29-$P466*Assumptions!$C$30</f>
        <v>112.0283875</v>
      </c>
      <c r="V466" s="143">
        <f>(($Q466/(1+$D466)^1+$R466/(1+$D466)^2+$S466/(1+$D466)^3+$T466/(1+$D466)^4+$U466/(1+$D466)^5+$U466*(1+$E466)/($D466-$E466)/(1+$D466)^5)-Assumptions!$C$37)/Assumptions!$C$40/Assumptions!$C$38</f>
        <v>4.031694288</v>
      </c>
    </row>
    <row r="467" ht="12.0" customHeight="1">
      <c r="B467" s="139">
        <v>415.0</v>
      </c>
      <c r="C467" s="140">
        <f t="shared" si="6"/>
        <v>0.3574393475</v>
      </c>
      <c r="D467" s="141">
        <f t="shared" si="7"/>
        <v>0.09600781263</v>
      </c>
      <c r="E467" s="141">
        <f t="shared" si="8"/>
        <v>0.01775484598</v>
      </c>
      <c r="F467" s="140">
        <f t="shared" si="9"/>
        <v>0.1215653011</v>
      </c>
      <c r="G467" s="141">
        <f t="shared" si="10"/>
        <v>0.04479248262</v>
      </c>
      <c r="H467" s="142">
        <f t="shared" si="11"/>
        <v>1</v>
      </c>
      <c r="I467" s="142">
        <f t="shared" si="12"/>
        <v>1</v>
      </c>
      <c r="J467" s="142">
        <f t="shared" si="13"/>
        <v>1</v>
      </c>
      <c r="K467" s="142">
        <f t="shared" si="14"/>
        <v>1</v>
      </c>
      <c r="L467" s="139">
        <f>Assumptions!$C$6*Assumptions!$C$7*(1+$G467-0.05*(1-1))^1+Assumptions!$C$6*Assumptions!$C$8*(1+Assumptions!$C$11)^1+Assumptions!$C$16*1+Assumptions!$C$6*Assumptions!$C$9*(1+Assumptions!$C$12)^1</f>
        <v>741.5451496</v>
      </c>
      <c r="M467" s="139">
        <f>Assumptions!$C$6*Assumptions!$C$7*(1+$G467-0.05*(1-$H467))^2+Assumptions!$C$6*Assumptions!$C$8*(1+Assumptions!$C$11)^2+Assumptions!$C$16*$H467+Assumptions!$C$6*Assumptions!$C$9*(1+Assumptions!$C$12)^2</f>
        <v>763.8950023</v>
      </c>
      <c r="N467" s="139">
        <f>Assumptions!$C$6*Assumptions!$C$7*(1+$G467-0.05*(1-$I467))^3+Assumptions!$C$6*Assumptions!$C$8*(1+Assumptions!$C$11)^3+Assumptions!$C$16*$I467+Assumptions!$C$6*Assumptions!$C$9*(1+Assumptions!$C$12)^3</f>
        <v>787.0823953</v>
      </c>
      <c r="O467" s="139">
        <f>Assumptions!$C$6*Assumptions!$C$7*(1+$G467-0.05*(1-$J467))^4+Assumptions!$C$6*Assumptions!$C$8*(1+Assumptions!$C$11)^4+Assumptions!$C$16*$J467+Assumptions!$C$6*Assumptions!$C$9*(1+Assumptions!$C$12)^4</f>
        <v>811.1415731</v>
      </c>
      <c r="P467" s="139">
        <f>Assumptions!$C$6*Assumptions!$C$7*(1+$G467-0.05*(1-$K467))^5+Assumptions!$C$6*Assumptions!$C$8*(1+Assumptions!$C$11)^5+Assumptions!$C$16*$K467+Assumptions!$C$6*Assumptions!$C$9*(1+Assumptions!$C$12)^5</f>
        <v>836.1082481</v>
      </c>
      <c r="Q467" s="139">
        <f>($L467*(1-(Assumptions!$C$25+0.06*(1-1))-Assumptions!$C$27)-Assumptions!$C$28)-MAX(0,($L467*(1-(Assumptions!$C$25+0.06*(1-1))-Assumptions!$C$27)-Assumptions!$C$28)*Assumptions!$C$31)+Assumptions!$C$28-Assumptions!$C$29-$L467*Assumptions!$C$30</f>
        <v>91.93220717</v>
      </c>
      <c r="R467" s="139">
        <f>($M467*(1-(Assumptions!$C$25+0.06*(1-$H467))-Assumptions!$C$27)-Assumptions!$C$28)-MAX(0,($M467*(1-(Assumptions!$C$25+0.06*(1-$H467))-Assumptions!$C$27)-Assumptions!$C$28)*Assumptions!$C$31)+Assumptions!$C$28-Assumptions!$C$29-$M467*Assumptions!$C$30</f>
        <v>96.73742549</v>
      </c>
      <c r="S467" s="139">
        <f>($N467*(1-(Assumptions!$C$25+0.06*(1-$I467))-Assumptions!$C$27)-Assumptions!$C$28)-MAX(0,($N467*(1-(Assumptions!$C$25+0.06*(1-$I467))-Assumptions!$C$27)-Assumptions!$C$28)*Assumptions!$C$31)+Assumptions!$C$28-Assumptions!$C$29-$N467*Assumptions!$C$30</f>
        <v>101.722715</v>
      </c>
      <c r="T467" s="139">
        <f>($O467*(1-(Assumptions!$C$25+0.06*(1-$J467))-Assumptions!$C$27)-Assumptions!$C$28)-MAX(0,($O467*(1-(Assumptions!$C$25+0.06*(1-$J467))-Assumptions!$C$27)-Assumptions!$C$28)*Assumptions!$C$31)+Assumptions!$C$28-Assumptions!$C$29-$O467*Assumptions!$C$30</f>
        <v>106.8954382</v>
      </c>
      <c r="U467" s="139">
        <f>($P467*(1-(Assumptions!$C$25+0.06*(1-$K467))-Assumptions!$C$27)-Assumptions!$C$28)-MAX(0,($P467*(1-(Assumptions!$C$25+0.06*(1-$K467))-Assumptions!$C$27)-Assumptions!$C$28)*Assumptions!$C$31)+Assumptions!$C$28-Assumptions!$C$29-$P467*Assumptions!$C$30</f>
        <v>112.2632733</v>
      </c>
      <c r="V467" s="143">
        <f>(($Q467/(1+$D467)^1+$R467/(1+$D467)^2+$S467/(1+$D467)^3+$T467/(1+$D467)^4+$U467/(1+$D467)^5+$U467*(1+$E467)/($D467-$E467)/(1+$D467)^5)-Assumptions!$C$37)/Assumptions!$C$40/Assumptions!$C$38</f>
        <v>4.82499633</v>
      </c>
    </row>
    <row r="468" ht="12.0" customHeight="1">
      <c r="B468" s="139">
        <v>416.0</v>
      </c>
      <c r="C468" s="140">
        <f t="shared" si="6"/>
        <v>0.1323771515</v>
      </c>
      <c r="D468" s="141">
        <f t="shared" si="7"/>
        <v>0.09169894427</v>
      </c>
      <c r="E468" s="141">
        <f t="shared" si="8"/>
        <v>0.02829300786</v>
      </c>
      <c r="F468" s="140">
        <f t="shared" si="9"/>
        <v>0.6954174491</v>
      </c>
      <c r="G468" s="141">
        <f t="shared" si="10"/>
        <v>0.06658529113</v>
      </c>
      <c r="H468" s="142">
        <f t="shared" si="11"/>
        <v>0</v>
      </c>
      <c r="I468" s="142">
        <f t="shared" si="12"/>
        <v>0</v>
      </c>
      <c r="J468" s="142">
        <f t="shared" si="13"/>
        <v>0</v>
      </c>
      <c r="K468" s="142">
        <f t="shared" si="14"/>
        <v>0</v>
      </c>
      <c r="L468" s="139">
        <f>Assumptions!$C$6*Assumptions!$C$7*(1+$G468-0.05*(1-1))^1+Assumptions!$C$6*Assumptions!$C$8*(1+Assumptions!$C$11)^1+Assumptions!$C$16*1+Assumptions!$C$6*Assumptions!$C$9*(1+Assumptions!$C$12)^1</f>
        <v>748.880609</v>
      </c>
      <c r="M468" s="139">
        <f>Assumptions!$C$6*Assumptions!$C$7*(1+$G468-0.05*(1-$H468))^2+Assumptions!$C$6*Assumptions!$C$8*(1+Assumptions!$C$11)^2+Assumptions!$C$16*$H468+Assumptions!$C$6*Assumptions!$C$9*(1+Assumptions!$C$12)^2</f>
        <v>684.3231672</v>
      </c>
      <c r="N468" s="139">
        <f>Assumptions!$C$6*Assumptions!$C$7*(1+$G468-0.05*(1-$I468))^3+Assumptions!$C$6*Assumptions!$C$8*(1+Assumptions!$C$11)^3+Assumptions!$C$16*$I468+Assumptions!$C$6*Assumptions!$C$9*(1+Assumptions!$C$12)^3</f>
        <v>696.8217974</v>
      </c>
      <c r="O468" s="139">
        <f>Assumptions!$C$6*Assumptions!$C$7*(1+$G468-0.05*(1-$J468))^4+Assumptions!$C$6*Assumptions!$C$8*(1+Assumptions!$C$11)^4+Assumptions!$C$16*$J468+Assumptions!$C$6*Assumptions!$C$9*(1+Assumptions!$C$12)^4</f>
        <v>709.5506996</v>
      </c>
      <c r="P468" s="139">
        <f>Assumptions!$C$6*Assumptions!$C$7*(1+$G468-0.05*(1-$K468))^5+Assumptions!$C$6*Assumptions!$C$8*(1+Assumptions!$C$11)^5+Assumptions!$C$16*$K468+Assumptions!$C$6*Assumptions!$C$9*(1+Assumptions!$C$12)^5</f>
        <v>722.5141526</v>
      </c>
      <c r="Q468" s="139">
        <f>($L468*(1-(Assumptions!$C$25+0.06*(1-1))-Assumptions!$C$27)-Assumptions!$C$28)-MAX(0,($L468*(1-(Assumptions!$C$25+0.06*(1-1))-Assumptions!$C$27)-Assumptions!$C$28)*Assumptions!$C$31)+Assumptions!$C$28-Assumptions!$C$29-$L468*Assumptions!$C$30</f>
        <v>93.50933093</v>
      </c>
      <c r="R468" s="139">
        <f>($M468*(1-(Assumptions!$C$25+0.06*(1-$H468))-Assumptions!$C$27)-Assumptions!$C$28)-MAX(0,($M468*(1-(Assumptions!$C$25+0.06*(1-$H468))-Assumptions!$C$27)-Assumptions!$C$28)*Assumptions!$C$31)+Assumptions!$C$28-Assumptions!$C$29-$M468*Assumptions!$C$30</f>
        <v>37.39432845</v>
      </c>
      <c r="S468" s="139">
        <f>($N468*(1-(Assumptions!$C$25+0.06*(1-$I468))-Assumptions!$C$27)-Assumptions!$C$28)-MAX(0,($N468*(1-(Assumptions!$C$25+0.06*(1-$I468))-Assumptions!$C$27)-Assumptions!$C$28)*Assumptions!$C$31)+Assumptions!$C$28-Assumptions!$C$29-$N468*Assumptions!$C$30</f>
        <v>40.2690134</v>
      </c>
      <c r="T468" s="139">
        <f>($O468*(1-(Assumptions!$C$25+0.06*(1-$J468))-Assumptions!$C$27)-Assumptions!$C$28)-MAX(0,($O468*(1-(Assumptions!$C$25+0.06*(1-$J468))-Assumptions!$C$27)-Assumptions!$C$28)*Assumptions!$C$31)+Assumptions!$C$28-Assumptions!$C$29-$O468*Assumptions!$C$30</f>
        <v>43.19666092</v>
      </c>
      <c r="U468" s="139">
        <f>($P468*(1-(Assumptions!$C$25+0.06*(1-$K468))-Assumptions!$C$27)-Assumptions!$C$28)-MAX(0,($P468*(1-(Assumptions!$C$25+0.06*(1-$K468))-Assumptions!$C$27)-Assumptions!$C$28)*Assumptions!$C$31)+Assumptions!$C$28-Assumptions!$C$29-$P468*Assumptions!$C$30</f>
        <v>46.1782551</v>
      </c>
      <c r="V468" s="143">
        <f>(($Q468/(1+$D468)^1+$R468/(1+$D468)^2+$S468/(1+$D468)^3+$T468/(1+$D468)^4+$U468/(1+$D468)^5+$U468*(1+$E468)/($D468-$E468)/(1+$D468)^5)-Assumptions!$C$37)/Assumptions!$C$40/Assumptions!$C$38</f>
        <v>-0.004437785432</v>
      </c>
    </row>
    <row r="469" ht="12.0" customHeight="1">
      <c r="B469" s="139">
        <v>417.0</v>
      </c>
      <c r="C469" s="140">
        <f t="shared" si="6"/>
        <v>0.9740357733</v>
      </c>
      <c r="D469" s="141">
        <f t="shared" si="7"/>
        <v>0.1111834661</v>
      </c>
      <c r="E469" s="141">
        <f t="shared" si="8"/>
        <v>0.01825415267</v>
      </c>
      <c r="F469" s="140">
        <f t="shared" si="9"/>
        <v>0.01643360786</v>
      </c>
      <c r="G469" s="141">
        <f t="shared" si="10"/>
        <v>0.03543879528</v>
      </c>
      <c r="H469" s="142">
        <f t="shared" si="11"/>
        <v>0</v>
      </c>
      <c r="I469" s="142">
        <f t="shared" si="12"/>
        <v>0</v>
      </c>
      <c r="J469" s="142">
        <f t="shared" si="13"/>
        <v>0</v>
      </c>
      <c r="K469" s="142">
        <f t="shared" si="14"/>
        <v>1</v>
      </c>
      <c r="L469" s="139">
        <f>Assumptions!$C$6*Assumptions!$C$7*(1+$G469-0.05*(1-1))^1+Assumptions!$C$6*Assumptions!$C$8*(1+Assumptions!$C$11)^1+Assumptions!$C$16*1+Assumptions!$C$6*Assumptions!$C$9*(1+Assumptions!$C$12)^1</f>
        <v>738.3966985</v>
      </c>
      <c r="M469" s="139">
        <f>Assumptions!$C$6*Assumptions!$C$7*(1+$G469-0.05*(1-$H469))^2+Assumptions!$C$6*Assumptions!$C$8*(1+Assumptions!$C$11)^2+Assumptions!$C$16*$H469+Assumptions!$C$6*Assumptions!$C$9*(1+Assumptions!$C$12)^2</f>
        <v>663.3341258</v>
      </c>
      <c r="N469" s="139">
        <f>Assumptions!$C$6*Assumptions!$C$7*(1+$G469-0.05*(1-$I469))^3+Assumptions!$C$6*Assumptions!$C$8*(1+Assumptions!$C$11)^3+Assumptions!$C$16*$I469+Assumptions!$C$6*Assumptions!$C$9*(1+Assumptions!$C$12)^3</f>
        <v>665.30383</v>
      </c>
      <c r="O469" s="139">
        <f>Assumptions!$C$6*Assumptions!$C$7*(1+$G469-0.05*(1-$J469))^4+Assumptions!$C$6*Assumptions!$C$8*(1+Assumptions!$C$11)^4+Assumptions!$C$16*$J469+Assumptions!$C$6*Assumptions!$C$9*(1+Assumptions!$C$12)^4</f>
        <v>667.4774259</v>
      </c>
      <c r="P469" s="139">
        <f>Assumptions!$C$6*Assumptions!$C$7*(1+$G469-0.05*(1-$K469))^5+Assumptions!$C$6*Assumptions!$C$8*(1+Assumptions!$C$11)^5+Assumptions!$C$16*$K469+Assumptions!$C$6*Assumptions!$C$9*(1+Assumptions!$C$12)^5</f>
        <v>817.6830982</v>
      </c>
      <c r="Q469" s="139">
        <f>($L469*(1-(Assumptions!$C$25+0.06*(1-1))-Assumptions!$C$27)-Assumptions!$C$28)-MAX(0,($L469*(1-(Assumptions!$C$25+0.06*(1-1))-Assumptions!$C$27)-Assumptions!$C$28)*Assumptions!$C$31)+Assumptions!$C$28-Assumptions!$C$29-$L469*Assumptions!$C$30</f>
        <v>91.25529018</v>
      </c>
      <c r="R469" s="139">
        <f>($M469*(1-(Assumptions!$C$25+0.06*(1-$H469))-Assumptions!$C$27)-Assumptions!$C$28)-MAX(0,($M469*(1-(Assumptions!$C$25+0.06*(1-$H469))-Assumptions!$C$27)-Assumptions!$C$28)*Assumptions!$C$31)+Assumptions!$C$28-Assumptions!$C$29-$M469*Assumptions!$C$30</f>
        <v>32.56684894</v>
      </c>
      <c r="S469" s="139">
        <f>($N469*(1-(Assumptions!$C$25+0.06*(1-$I469))-Assumptions!$C$27)-Assumptions!$C$28)-MAX(0,($N469*(1-(Assumptions!$C$25+0.06*(1-$I469))-Assumptions!$C$27)-Assumptions!$C$28)*Assumptions!$C$31)+Assumptions!$C$28-Assumptions!$C$29-$N469*Assumptions!$C$30</f>
        <v>33.01988091</v>
      </c>
      <c r="T469" s="139">
        <f>($O469*(1-(Assumptions!$C$25+0.06*(1-$J469))-Assumptions!$C$27)-Assumptions!$C$28)-MAX(0,($O469*(1-(Assumptions!$C$25+0.06*(1-$J469))-Assumptions!$C$27)-Assumptions!$C$28)*Assumptions!$C$31)+Assumptions!$C$28-Assumptions!$C$29-$O469*Assumptions!$C$30</f>
        <v>33.51980796</v>
      </c>
      <c r="U469" s="139">
        <f>($P469*(1-(Assumptions!$C$25+0.06*(1-$K469))-Assumptions!$C$27)-Assumptions!$C$28)-MAX(0,($P469*(1-(Assumptions!$C$25+0.06*(1-$K469))-Assumptions!$C$27)-Assumptions!$C$28)*Assumptions!$C$31)+Assumptions!$C$28-Assumptions!$C$29-$P469*Assumptions!$C$30</f>
        <v>108.3018661</v>
      </c>
      <c r="V469" s="143">
        <f>(($Q469/(1+$D469)^1+$R469/(1+$D469)^2+$S469/(1+$D469)^3+$T469/(1+$D469)^4+$U469/(1+$D469)^5+$U469*(1+$E469)/($D469-$E469)/(1+$D469)^5)-Assumptions!$C$37)/Assumptions!$C$40/Assumptions!$C$38</f>
        <v>1.773745673</v>
      </c>
    </row>
    <row r="470" ht="12.0" customHeight="1">
      <c r="B470" s="139">
        <v>418.0</v>
      </c>
      <c r="C470" s="140">
        <f t="shared" si="6"/>
        <v>0.07950062871</v>
      </c>
      <c r="D470" s="141">
        <f t="shared" si="7"/>
        <v>0.09019140763</v>
      </c>
      <c r="E470" s="141">
        <f t="shared" si="8"/>
        <v>0.02890310407</v>
      </c>
      <c r="F470" s="140">
        <f t="shared" si="9"/>
        <v>0.656251664</v>
      </c>
      <c r="G470" s="141">
        <f t="shared" si="10"/>
        <v>0.06512537428</v>
      </c>
      <c r="H470" s="142">
        <f t="shared" si="11"/>
        <v>1</v>
      </c>
      <c r="I470" s="142">
        <f t="shared" si="12"/>
        <v>1</v>
      </c>
      <c r="J470" s="142">
        <f t="shared" si="13"/>
        <v>1</v>
      </c>
      <c r="K470" s="142">
        <f t="shared" si="14"/>
        <v>0</v>
      </c>
      <c r="L470" s="139">
        <f>Assumptions!$C$6*Assumptions!$C$7*(1+$G470-0.05*(1-1))^1+Assumptions!$C$6*Assumptions!$C$8*(1+Assumptions!$C$11)^1+Assumptions!$C$16*1+Assumptions!$C$6*Assumptions!$C$9*(1+Assumptions!$C$12)^1</f>
        <v>748.389201</v>
      </c>
      <c r="M470" s="139">
        <f>Assumptions!$C$6*Assumptions!$C$7*(1+$G470-0.05*(1-$H470))^2+Assumptions!$C$6*Assumptions!$C$8*(1+Assumptions!$C$11)^2+Assumptions!$C$16*$H470+Assumptions!$C$6*Assumptions!$C$9*(1+Assumptions!$C$12)^2</f>
        <v>778.3353884</v>
      </c>
      <c r="N470" s="139">
        <f>Assumptions!$C$6*Assumptions!$C$7*(1+$G470-0.05*(1-$I470))^3+Assumptions!$C$6*Assumptions!$C$8*(1+Assumptions!$C$11)^3+Assumptions!$C$16*$I470+Assumptions!$C$6*Assumptions!$C$9*(1+Assumptions!$C$12)^3</f>
        <v>809.9341241</v>
      </c>
      <c r="O470" s="139">
        <f>Assumptions!$C$6*Assumptions!$C$7*(1+$G470-0.05*(1-$J470))^4+Assumptions!$C$6*Assumptions!$C$8*(1+Assumptions!$C$11)^4+Assumptions!$C$16*$J470+Assumptions!$C$6*Assumptions!$C$9*(1+Assumptions!$C$12)^4</f>
        <v>843.2870768</v>
      </c>
      <c r="P470" s="139">
        <f>Assumptions!$C$6*Assumptions!$C$7*(1+$G470-0.05*(1-$K470))^5+Assumptions!$C$6*Assumptions!$C$8*(1+Assumptions!$C$11)^5+Assumptions!$C$16*$K470+Assumptions!$C$6*Assumptions!$C$9*(1+Assumptions!$C$12)^5</f>
        <v>719.8975357</v>
      </c>
      <c r="Q470" s="139">
        <f>($L470*(1-(Assumptions!$C$25+0.06*(1-1))-Assumptions!$C$27)-Assumptions!$C$28)-MAX(0,($L470*(1-(Assumptions!$C$25+0.06*(1-1))-Assumptions!$C$27)-Assumptions!$C$28)*Assumptions!$C$31)+Assumptions!$C$28-Assumptions!$C$29-$L470*Assumptions!$C$30</f>
        <v>93.40367821</v>
      </c>
      <c r="R470" s="139">
        <f>($M470*(1-(Assumptions!$C$25+0.06*(1-$H470))-Assumptions!$C$27)-Assumptions!$C$28)-MAX(0,($M470*(1-(Assumptions!$C$25+0.06*(1-$H470))-Assumptions!$C$27)-Assumptions!$C$28)*Assumptions!$C$31)+Assumptions!$C$28-Assumptions!$C$29-$M470*Assumptions!$C$30</f>
        <v>99.8421085</v>
      </c>
      <c r="S470" s="139">
        <f>($N470*(1-(Assumptions!$C$25+0.06*(1-$I470))-Assumptions!$C$27)-Assumptions!$C$28)-MAX(0,($N470*(1-(Assumptions!$C$25+0.06*(1-$I470))-Assumptions!$C$27)-Assumptions!$C$28)*Assumptions!$C$31)+Assumptions!$C$28-Assumptions!$C$29-$N470*Assumptions!$C$30</f>
        <v>106.6358367</v>
      </c>
      <c r="T470" s="139">
        <f>($O470*(1-(Assumptions!$C$25+0.06*(1-$J470))-Assumptions!$C$27)-Assumptions!$C$28)-MAX(0,($O470*(1-(Assumptions!$C$25+0.06*(1-$J470))-Assumptions!$C$27)-Assumptions!$C$28)*Assumptions!$C$31)+Assumptions!$C$28-Assumptions!$C$29-$O470*Assumptions!$C$30</f>
        <v>113.8067215</v>
      </c>
      <c r="U470" s="139">
        <f>($P470*(1-(Assumptions!$C$25+0.06*(1-$K470))-Assumptions!$C$27)-Assumptions!$C$28)-MAX(0,($P470*(1-(Assumptions!$C$25+0.06*(1-$K470))-Assumptions!$C$27)-Assumptions!$C$28)*Assumptions!$C$31)+Assumptions!$C$28-Assumptions!$C$29-$P470*Assumptions!$C$30</f>
        <v>45.57643322</v>
      </c>
      <c r="V470" s="143">
        <f>(($Q470/(1+$D470)^1+$R470/(1+$D470)^2+$S470/(1+$D470)^3+$T470/(1+$D470)^4+$U470/(1+$D470)^5+$U470*(1+$E470)/($D470-$E470)/(1+$D470)^5)-Assumptions!$C$37)/Assumptions!$C$40/Assumptions!$C$38</f>
        <v>1.305536527</v>
      </c>
    </row>
    <row r="471" ht="12.0" customHeight="1">
      <c r="B471" s="139">
        <v>419.0</v>
      </c>
      <c r="C471" s="140">
        <f t="shared" si="6"/>
        <v>0.1706402583</v>
      </c>
      <c r="D471" s="141">
        <f t="shared" si="7"/>
        <v>0.09260572466</v>
      </c>
      <c r="E471" s="141">
        <f t="shared" si="8"/>
        <v>0.0116316521</v>
      </c>
      <c r="F471" s="140">
        <f t="shared" si="9"/>
        <v>0.8818584082</v>
      </c>
      <c r="G471" s="141">
        <f t="shared" si="10"/>
        <v>0.0754173094</v>
      </c>
      <c r="H471" s="142">
        <f t="shared" si="11"/>
        <v>1</v>
      </c>
      <c r="I471" s="142">
        <f t="shared" si="12"/>
        <v>1</v>
      </c>
      <c r="J471" s="142">
        <f t="shared" si="13"/>
        <v>0</v>
      </c>
      <c r="K471" s="142">
        <f t="shared" si="14"/>
        <v>0</v>
      </c>
      <c r="L471" s="139">
        <f>Assumptions!$C$6*Assumptions!$C$7*(1+$G471-0.05*(1-1))^1+Assumptions!$C$6*Assumptions!$C$8*(1+Assumptions!$C$11)^1+Assumptions!$C$16*1+Assumptions!$C$6*Assumptions!$C$9*(1+Assumptions!$C$12)^1</f>
        <v>751.8534663</v>
      </c>
      <c r="M471" s="139">
        <f>Assumptions!$C$6*Assumptions!$C$7*(1+$G471-0.05*(1-$H471))^2+Assumptions!$C$6*Assumptions!$C$8*(1+Assumptions!$C$11)^2+Assumptions!$C$16*$H471+Assumptions!$C$6*Assumptions!$C$9*(1+Assumptions!$C$12)^2</f>
        <v>785.7507963</v>
      </c>
      <c r="N471" s="139">
        <f>Assumptions!$C$6*Assumptions!$C$7*(1+$G471-0.05*(1-$I471))^3+Assumptions!$C$6*Assumptions!$C$8*(1+Assumptions!$C$11)^3+Assumptions!$C$16*$I471+Assumptions!$C$6*Assumptions!$C$9*(1+Assumptions!$C$12)^3</f>
        <v>821.8389636</v>
      </c>
      <c r="O471" s="139">
        <f>Assumptions!$C$6*Assumptions!$C$7*(1+$G471-0.05*(1-$J471))^4+Assumptions!$C$6*Assumptions!$C$8*(1+Assumptions!$C$11)^4+Assumptions!$C$16*$J471+Assumptions!$C$6*Assumptions!$C$9*(1+Assumptions!$C$12)^4</f>
        <v>722.2074167</v>
      </c>
      <c r="P471" s="139">
        <f>Assumptions!$C$6*Assumptions!$C$7*(1+$G471-0.05*(1-$K471))^5+Assumptions!$C$6*Assumptions!$C$8*(1+Assumptions!$C$11)^5+Assumptions!$C$16*$K471+Assumptions!$C$6*Assumptions!$C$9*(1+Assumptions!$C$12)^5</f>
        <v>738.6676105</v>
      </c>
      <c r="Q471" s="139">
        <f>($L471*(1-(Assumptions!$C$25+0.06*(1-1))-Assumptions!$C$27)-Assumptions!$C$28)-MAX(0,($L471*(1-(Assumptions!$C$25+0.06*(1-1))-Assumptions!$C$27)-Assumptions!$C$28)*Assumptions!$C$31)+Assumptions!$C$28-Assumptions!$C$29-$L471*Assumptions!$C$30</f>
        <v>94.14849526</v>
      </c>
      <c r="R471" s="139">
        <f>($M471*(1-(Assumptions!$C$25+0.06*(1-$H471))-Assumptions!$C$27)-Assumptions!$C$28)-MAX(0,($M471*(1-(Assumptions!$C$25+0.06*(1-$H471))-Assumptions!$C$27)-Assumptions!$C$28)*Assumptions!$C$31)+Assumptions!$C$28-Assumptions!$C$29-$M471*Assumptions!$C$30</f>
        <v>101.4364212</v>
      </c>
      <c r="S471" s="139">
        <f>($N471*(1-(Assumptions!$C$25+0.06*(1-$I471))-Assumptions!$C$27)-Assumptions!$C$28)-MAX(0,($N471*(1-(Assumptions!$C$25+0.06*(1-$I471))-Assumptions!$C$27)-Assumptions!$C$28)*Assumptions!$C$31)+Assumptions!$C$28-Assumptions!$C$29-$N471*Assumptions!$C$30</f>
        <v>109.1953772</v>
      </c>
      <c r="T471" s="139">
        <f>($O471*(1-(Assumptions!$C$25+0.06*(1-$J471))-Assumptions!$C$27)-Assumptions!$C$28)-MAX(0,($O471*(1-(Assumptions!$C$25+0.06*(1-$J471))-Assumptions!$C$27)-Assumptions!$C$28)*Assumptions!$C$31)+Assumptions!$C$28-Assumptions!$C$29-$O471*Assumptions!$C$30</f>
        <v>46.10770584</v>
      </c>
      <c r="U471" s="139">
        <f>($P471*(1-(Assumptions!$C$25+0.06*(1-$K471))-Assumptions!$C$27)-Assumptions!$C$28)-MAX(0,($P471*(1-(Assumptions!$C$25+0.06*(1-$K471))-Assumptions!$C$27)-Assumptions!$C$28)*Assumptions!$C$31)+Assumptions!$C$28-Assumptions!$C$29-$P471*Assumptions!$C$30</f>
        <v>49.89355042</v>
      </c>
      <c r="V471" s="143">
        <f>(($Q471/(1+$D471)^1+$R471/(1+$D471)^2+$S471/(1+$D471)^3+$T471/(1+$D471)^4+$U471/(1+$D471)^5+$U471*(1+$E471)/($D471-$E471)/(1+$D471)^5)-Assumptions!$C$37)/Assumptions!$C$40/Assumptions!$C$38</f>
        <v>0.2174846885</v>
      </c>
    </row>
    <row r="472" ht="12.0" customHeight="1">
      <c r="B472" s="139">
        <v>420.0</v>
      </c>
      <c r="C472" s="140">
        <f t="shared" si="6"/>
        <v>0.9779710021</v>
      </c>
      <c r="D472" s="141">
        <f t="shared" si="7"/>
        <v>0.1114845672</v>
      </c>
      <c r="E472" s="141">
        <f t="shared" si="8"/>
        <v>0.0285459809</v>
      </c>
      <c r="F472" s="140">
        <f t="shared" si="9"/>
        <v>0.6817639106</v>
      </c>
      <c r="G472" s="141">
        <f t="shared" si="10"/>
        <v>0.06606623805</v>
      </c>
      <c r="H472" s="142">
        <f t="shared" si="11"/>
        <v>1</v>
      </c>
      <c r="I472" s="142">
        <f t="shared" si="12"/>
        <v>0</v>
      </c>
      <c r="J472" s="142">
        <f t="shared" si="13"/>
        <v>1</v>
      </c>
      <c r="K472" s="142">
        <f t="shared" si="14"/>
        <v>0</v>
      </c>
      <c r="L472" s="139">
        <f>Assumptions!$C$6*Assumptions!$C$7*(1+$G472-0.05*(1-1))^1+Assumptions!$C$6*Assumptions!$C$8*(1+Assumptions!$C$11)^1+Assumptions!$C$16*1+Assumptions!$C$6*Assumptions!$C$9*(1+Assumptions!$C$12)^1</f>
        <v>748.7058957</v>
      </c>
      <c r="M472" s="139">
        <f>Assumptions!$C$6*Assumptions!$C$7*(1+$G472-0.05*(1-$H472))^2+Assumptions!$C$6*Assumptions!$C$8*(1+Assumptions!$C$11)^2+Assumptions!$C$16*$H472+Assumptions!$C$6*Assumptions!$C$9*(1+Assumptions!$C$12)^2</f>
        <v>779.0103256</v>
      </c>
      <c r="N472" s="139">
        <f>Assumptions!$C$6*Assumptions!$C$7*(1+$G472-0.05*(1-$I472))^3+Assumptions!$C$6*Assumptions!$C$8*(1+Assumptions!$C$11)^3+Assumptions!$C$16*$I472+Assumptions!$C$6*Assumptions!$C$9*(1+Assumptions!$C$12)^3</f>
        <v>696.2804039</v>
      </c>
      <c r="O472" s="139">
        <f>Assumptions!$C$6*Assumptions!$C$7*(1+$G472-0.05*(1-$J472))^4+Assumptions!$C$6*Assumptions!$C$8*(1+Assumptions!$C$11)^4+Assumptions!$C$16*$J472+Assumptions!$C$6*Assumptions!$C$9*(1+Assumptions!$C$12)^4</f>
        <v>844.8198519</v>
      </c>
      <c r="P472" s="139">
        <f>Assumptions!$C$6*Assumptions!$C$7*(1+$G472-0.05*(1-$K472))^5+Assumptions!$C$6*Assumptions!$C$8*(1+Assumptions!$C$11)^5+Assumptions!$C$16*$K472+Assumptions!$C$6*Assumptions!$C$9*(1+Assumptions!$C$12)^5</f>
        <v>721.5821274</v>
      </c>
      <c r="Q472" s="139">
        <f>($L472*(1-(Assumptions!$C$25+0.06*(1-1))-Assumptions!$C$27)-Assumptions!$C$28)-MAX(0,($L472*(1-(Assumptions!$C$25+0.06*(1-1))-Assumptions!$C$27)-Assumptions!$C$28)*Assumptions!$C$31)+Assumptions!$C$28-Assumptions!$C$29-$L472*Assumptions!$C$30</f>
        <v>93.47176758</v>
      </c>
      <c r="R472" s="139">
        <f>($M472*(1-(Assumptions!$C$25+0.06*(1-$H472))-Assumptions!$C$27)-Assumptions!$C$28)-MAX(0,($M472*(1-(Assumptions!$C$25+0.06*(1-$H472))-Assumptions!$C$27)-Assumptions!$C$28)*Assumptions!$C$31)+Assumptions!$C$28-Assumptions!$C$29-$M472*Assumptions!$C$30</f>
        <v>99.98722</v>
      </c>
      <c r="S472" s="139">
        <f>($N472*(1-(Assumptions!$C$25+0.06*(1-$I472))-Assumptions!$C$27)-Assumptions!$C$28)-MAX(0,($N472*(1-(Assumptions!$C$25+0.06*(1-$I472))-Assumptions!$C$27)-Assumptions!$C$28)*Assumptions!$C$31)+Assumptions!$C$28-Assumptions!$C$29-$N472*Assumptions!$C$30</f>
        <v>40.1444929</v>
      </c>
      <c r="T472" s="139">
        <f>($O472*(1-(Assumptions!$C$25+0.06*(1-$J472))-Assumptions!$C$27)-Assumptions!$C$28)-MAX(0,($O472*(1-(Assumptions!$C$25+0.06*(1-$J472))-Assumptions!$C$27)-Assumptions!$C$28)*Assumptions!$C$31)+Assumptions!$C$28-Assumptions!$C$29-$O472*Assumptions!$C$30</f>
        <v>114.1362682</v>
      </c>
      <c r="U472" s="139">
        <f>($P472*(1-(Assumptions!$C$25+0.06*(1-$K472))-Assumptions!$C$27)-Assumptions!$C$28)-MAX(0,($P472*(1-(Assumptions!$C$25+0.06*(1-$K472))-Assumptions!$C$27)-Assumptions!$C$28)*Assumptions!$C$31)+Assumptions!$C$28-Assumptions!$C$29-$P472*Assumptions!$C$30</f>
        <v>45.9638893</v>
      </c>
      <c r="V472" s="143">
        <f>(($Q472/(1+$D472)^1+$R472/(1+$D472)^2+$S472/(1+$D472)^3+$T472/(1+$D472)^4+$U472/(1+$D472)^5+$U472*(1+$E472)/($D472-$E472)/(1+$D472)^5)-Assumptions!$C$37)/Assumptions!$C$40/Assumptions!$C$38</f>
        <v>-0.4645820315</v>
      </c>
    </row>
    <row r="473" ht="12.0" customHeight="1">
      <c r="B473" s="139">
        <v>421.0</v>
      </c>
      <c r="C473" s="140">
        <f t="shared" si="6"/>
        <v>0.364472084</v>
      </c>
      <c r="D473" s="141">
        <f t="shared" si="7"/>
        <v>0.0961155763</v>
      </c>
      <c r="E473" s="141">
        <f t="shared" si="8"/>
        <v>0.0294338069</v>
      </c>
      <c r="F473" s="140">
        <f t="shared" si="9"/>
        <v>0.7939361423</v>
      </c>
      <c r="G473" s="141">
        <f t="shared" si="10"/>
        <v>0.07074084779</v>
      </c>
      <c r="H473" s="142">
        <f t="shared" si="11"/>
        <v>1</v>
      </c>
      <c r="I473" s="142">
        <f t="shared" si="12"/>
        <v>1</v>
      </c>
      <c r="J473" s="142">
        <f t="shared" si="13"/>
        <v>1</v>
      </c>
      <c r="K473" s="142">
        <f t="shared" si="14"/>
        <v>0</v>
      </c>
      <c r="L473" s="139">
        <f>Assumptions!$C$6*Assumptions!$C$7*(1+$G473-0.05*(1-1))^1+Assumptions!$C$6*Assumptions!$C$8*(1+Assumptions!$C$11)^1+Assumptions!$C$16*1+Assumptions!$C$6*Assumptions!$C$9*(1+Assumptions!$C$12)^1</f>
        <v>750.2793694</v>
      </c>
      <c r="M473" s="139">
        <f>Assumptions!$C$6*Assumptions!$C$7*(1+$G473-0.05*(1-$H473))^2+Assumptions!$C$6*Assumptions!$C$8*(1+Assumptions!$C$11)^2+Assumptions!$C$16*$H473+Assumptions!$C$6*Assumptions!$C$9*(1+Assumptions!$C$12)^2</f>
        <v>782.3725352</v>
      </c>
      <c r="N473" s="139">
        <f>Assumptions!$C$6*Assumptions!$C$7*(1+$G473-0.05*(1-$I473))^3+Assumptions!$C$6*Assumptions!$C$8*(1+Assumptions!$C$11)^3+Assumptions!$C$16*$I473+Assumptions!$C$6*Assumptions!$C$9*(1+Assumptions!$C$12)^3</f>
        <v>816.4012431</v>
      </c>
      <c r="O473" s="139">
        <f>Assumptions!$C$6*Assumptions!$C$7*(1+$G473-0.05*(1-$J473))^4+Assumptions!$C$6*Assumptions!$C$8*(1+Assumptions!$C$11)^4+Assumptions!$C$16*$J473+Assumptions!$C$6*Assumptions!$C$9*(1+Assumptions!$C$12)^4</f>
        <v>852.49572</v>
      </c>
      <c r="P473" s="139">
        <f>Assumptions!$C$6*Assumptions!$C$7*(1+$G473-0.05*(1-$K473))^5+Assumptions!$C$6*Assumptions!$C$8*(1+Assumptions!$C$11)^5+Assumptions!$C$16*$K473+Assumptions!$C$6*Assumptions!$C$9*(1+Assumptions!$C$12)^5</f>
        <v>730.0449192</v>
      </c>
      <c r="Q473" s="139">
        <f>($L473*(1-(Assumptions!$C$25+0.06*(1-1))-Assumptions!$C$27)-Assumptions!$C$28)-MAX(0,($L473*(1-(Assumptions!$C$25+0.06*(1-1))-Assumptions!$C$27)-Assumptions!$C$28)*Assumptions!$C$31)+Assumptions!$C$28-Assumptions!$C$29-$L473*Assumptions!$C$30</f>
        <v>93.81006441</v>
      </c>
      <c r="R473" s="139">
        <f>($M473*(1-(Assumptions!$C$25+0.06*(1-$H473))-Assumptions!$C$27)-Assumptions!$C$28)-MAX(0,($M473*(1-(Assumptions!$C$25+0.06*(1-$H473))-Assumptions!$C$27)-Assumptions!$C$28)*Assumptions!$C$31)+Assumptions!$C$28-Assumptions!$C$29-$M473*Assumptions!$C$30</f>
        <v>100.7100951</v>
      </c>
      <c r="S473" s="139">
        <f>($N473*(1-(Assumptions!$C$25+0.06*(1-$I473))-Assumptions!$C$27)-Assumptions!$C$28)-MAX(0,($N473*(1-(Assumptions!$C$25+0.06*(1-$I473))-Assumptions!$C$27)-Assumptions!$C$28)*Assumptions!$C$31)+Assumptions!$C$28-Assumptions!$C$29-$N473*Assumptions!$C$30</f>
        <v>108.0262673</v>
      </c>
      <c r="T473" s="139">
        <f>($O473*(1-(Assumptions!$C$25+0.06*(1-$J473))-Assumptions!$C$27)-Assumptions!$C$28)-MAX(0,($O473*(1-(Assumptions!$C$25+0.06*(1-$J473))-Assumptions!$C$27)-Assumptions!$C$28)*Assumptions!$C$31)+Assumptions!$C$28-Assumptions!$C$29-$O473*Assumptions!$C$30</f>
        <v>115.7865798</v>
      </c>
      <c r="U473" s="139">
        <f>($P473*(1-(Assumptions!$C$25+0.06*(1-$K473))-Assumptions!$C$27)-Assumptions!$C$28)-MAX(0,($P473*(1-(Assumptions!$C$25+0.06*(1-$K473))-Assumptions!$C$27)-Assumptions!$C$28)*Assumptions!$C$31)+Assumptions!$C$28-Assumptions!$C$29-$P473*Assumptions!$C$30</f>
        <v>47.91033141</v>
      </c>
      <c r="V473" s="143">
        <f>(($Q473/(1+$D473)^1+$R473/(1+$D473)^2+$S473/(1+$D473)^3+$T473/(1+$D473)^4+$U473/(1+$D473)^5+$U473*(1+$E473)/($D473-$E473)/(1+$D473)^5)-Assumptions!$C$37)/Assumptions!$C$40/Assumptions!$C$38</f>
        <v>1.074436219</v>
      </c>
    </row>
    <row r="474" ht="12.0" customHeight="1">
      <c r="B474" s="139">
        <v>422.0</v>
      </c>
      <c r="C474" s="140">
        <f t="shared" si="6"/>
        <v>0.4536998733</v>
      </c>
      <c r="D474" s="141">
        <f t="shared" si="7"/>
        <v>0.09749359057</v>
      </c>
      <c r="E474" s="141">
        <f t="shared" si="8"/>
        <v>0.02576557358</v>
      </c>
      <c r="F474" s="140">
        <f t="shared" si="9"/>
        <v>0.3982282733</v>
      </c>
      <c r="G474" s="141">
        <f t="shared" si="10"/>
        <v>0.05677332426</v>
      </c>
      <c r="H474" s="142">
        <f t="shared" si="11"/>
        <v>0</v>
      </c>
      <c r="I474" s="142">
        <f t="shared" si="12"/>
        <v>1</v>
      </c>
      <c r="J474" s="142">
        <f t="shared" si="13"/>
        <v>1</v>
      </c>
      <c r="K474" s="142">
        <f t="shared" si="14"/>
        <v>0</v>
      </c>
      <c r="L474" s="139">
        <f>Assumptions!$C$6*Assumptions!$C$7*(1+$G474-0.05*(1-1))^1+Assumptions!$C$6*Assumptions!$C$8*(1+Assumptions!$C$11)^1+Assumptions!$C$16*1+Assumptions!$C$6*Assumptions!$C$9*(1+Assumptions!$C$12)^1</f>
        <v>745.5779009</v>
      </c>
      <c r="M474" s="139">
        <f>Assumptions!$C$6*Assumptions!$C$7*(1+$G474-0.05*(1-$H474))^2+Assumptions!$C$6*Assumptions!$C$8*(1+Assumptions!$C$11)^2+Assumptions!$C$16*$H474+Assumptions!$C$6*Assumptions!$C$9*(1+Assumptions!$C$12)^2</f>
        <v>677.6406044</v>
      </c>
      <c r="N474" s="139">
        <f>Assumptions!$C$6*Assumptions!$C$7*(1+$G474-0.05*(1-$I474))^3+Assumptions!$C$6*Assumptions!$C$8*(1+Assumptions!$C$11)^3+Assumptions!$C$16*$I474+Assumptions!$C$6*Assumptions!$C$9*(1+Assumptions!$C$12)^3</f>
        <v>800.4407631</v>
      </c>
      <c r="O474" s="139">
        <f>Assumptions!$C$6*Assumptions!$C$7*(1+$G474-0.05*(1-$J474))^4+Assumptions!$C$6*Assumptions!$C$8*(1+Assumptions!$C$11)^4+Assumptions!$C$16*$J474+Assumptions!$C$6*Assumptions!$C$9*(1+Assumptions!$C$12)^4</f>
        <v>829.8576378</v>
      </c>
      <c r="P474" s="139">
        <f>Assumptions!$C$6*Assumptions!$C$7*(1+$G474-0.05*(1-$K474))^5+Assumptions!$C$6*Assumptions!$C$8*(1+Assumptions!$C$11)^5+Assumptions!$C$16*$K474+Assumptions!$C$6*Assumptions!$C$9*(1+Assumptions!$C$12)^5</f>
        <v>705.2147111</v>
      </c>
      <c r="Q474" s="139">
        <f>($L474*(1-(Assumptions!$C$25+0.06*(1-1))-Assumptions!$C$27)-Assumptions!$C$28)-MAX(0,($L474*(1-(Assumptions!$C$25+0.06*(1-1))-Assumptions!$C$27)-Assumptions!$C$28)*Assumptions!$C$31)+Assumptions!$C$28-Assumptions!$C$29-$L474*Assumptions!$C$30</f>
        <v>92.7992487</v>
      </c>
      <c r="R474" s="139">
        <f>($M474*(1-(Assumptions!$C$25+0.06*(1-$H474))-Assumptions!$C$27)-Assumptions!$C$28)-MAX(0,($M474*(1-(Assumptions!$C$25+0.06*(1-$H474))-Assumptions!$C$27)-Assumptions!$C$28)*Assumptions!$C$31)+Assumptions!$C$28-Assumptions!$C$29-$M474*Assumptions!$C$30</f>
        <v>35.85733901</v>
      </c>
      <c r="S474" s="139">
        <f>($N474*(1-(Assumptions!$C$25+0.06*(1-$I474))-Assumptions!$C$27)-Assumptions!$C$28)-MAX(0,($N474*(1-(Assumptions!$C$25+0.06*(1-$I474))-Assumptions!$C$27)-Assumptions!$C$28)*Assumptions!$C$31)+Assumptions!$C$28-Assumptions!$C$29-$N474*Assumptions!$C$30</f>
        <v>104.5947641</v>
      </c>
      <c r="T474" s="139">
        <f>($O474*(1-(Assumptions!$C$25+0.06*(1-$J474))-Assumptions!$C$27)-Assumptions!$C$28)-MAX(0,($O474*(1-(Assumptions!$C$25+0.06*(1-$J474))-Assumptions!$C$27)-Assumptions!$C$28)*Assumptions!$C$31)+Assumptions!$C$28-Assumptions!$C$29-$O474*Assumptions!$C$30</f>
        <v>110.9193921</v>
      </c>
      <c r="U474" s="139">
        <f>($P474*(1-(Assumptions!$C$25+0.06*(1-$K474))-Assumptions!$C$27)-Assumptions!$C$28)-MAX(0,($P474*(1-(Assumptions!$C$25+0.06*(1-$K474))-Assumptions!$C$27)-Assumptions!$C$28)*Assumptions!$C$31)+Assumptions!$C$28-Assumptions!$C$29-$P474*Assumptions!$C$30</f>
        <v>42.19938355</v>
      </c>
      <c r="V474" s="143">
        <f>(($Q474/(1+$D474)^1+$R474/(1+$D474)^2+$S474/(1+$D474)^3+$T474/(1+$D474)^4+$U474/(1+$D474)^5+$U474*(1+$E474)/($D474-$E474)/(1+$D474)^5)-Assumptions!$C$37)/Assumptions!$C$40/Assumptions!$C$38</f>
        <v>-0.1270515008</v>
      </c>
    </row>
    <row r="475" ht="12.0" customHeight="1">
      <c r="B475" s="139">
        <v>423.0</v>
      </c>
      <c r="C475" s="140">
        <f t="shared" si="6"/>
        <v>0.3107665746</v>
      </c>
      <c r="D475" s="141">
        <f t="shared" si="7"/>
        <v>0.09526400842</v>
      </c>
      <c r="E475" s="141">
        <f t="shared" si="8"/>
        <v>0.01173985488</v>
      </c>
      <c r="F475" s="140">
        <f t="shared" si="9"/>
        <v>0.7150939239</v>
      </c>
      <c r="G475" s="141">
        <f t="shared" si="10"/>
        <v>0.06735422916</v>
      </c>
      <c r="H475" s="142">
        <f t="shared" si="11"/>
        <v>1</v>
      </c>
      <c r="I475" s="142">
        <f t="shared" si="12"/>
        <v>0</v>
      </c>
      <c r="J475" s="142">
        <f t="shared" si="13"/>
        <v>0</v>
      </c>
      <c r="K475" s="142">
        <f t="shared" si="14"/>
        <v>1</v>
      </c>
      <c r="L475" s="139">
        <f>Assumptions!$C$6*Assumptions!$C$7*(1+$G475-0.05*(1-1))^1+Assumptions!$C$6*Assumptions!$C$8*(1+Assumptions!$C$11)^1+Assumptions!$C$16*1+Assumptions!$C$6*Assumptions!$C$9*(1+Assumptions!$C$12)^1</f>
        <v>749.1394335</v>
      </c>
      <c r="M475" s="139">
        <f>Assumptions!$C$6*Assumptions!$C$7*(1+$G475-0.05*(1-$H475))^2+Assumptions!$C$6*Assumptions!$C$8*(1+Assumptions!$C$11)^2+Assumptions!$C$16*$H475+Assumptions!$C$6*Assumptions!$C$9*(1+Assumptions!$C$12)^2</f>
        <v>779.935244</v>
      </c>
      <c r="N475" s="139">
        <f>Assumptions!$C$6*Assumptions!$C$7*(1+$G475-0.05*(1-$I475))^3+Assumptions!$C$6*Assumptions!$C$8*(1+Assumptions!$C$11)^3+Assumptions!$C$16*$I475+Assumptions!$C$6*Assumptions!$C$9*(1+Assumptions!$C$12)^3</f>
        <v>697.6248478</v>
      </c>
      <c r="O475" s="139">
        <f>Assumptions!$C$6*Assumptions!$C$7*(1+$G475-0.05*(1-$J475))^4+Assumptions!$C$6*Assumptions!$C$8*(1+Assumptions!$C$11)^4+Assumptions!$C$16*$J475+Assumptions!$C$6*Assumptions!$C$9*(1+Assumptions!$C$12)^4</f>
        <v>710.6396037</v>
      </c>
      <c r="P475" s="139">
        <f>Assumptions!$C$6*Assumptions!$C$7*(1+$G475-0.05*(1-$K475))^5+Assumptions!$C$6*Assumptions!$C$8*(1+Assumptions!$C$11)^5+Assumptions!$C$16*$K475+Assumptions!$C$6*Assumptions!$C$9*(1+Assumptions!$C$12)^5</f>
        <v>883.3506831</v>
      </c>
      <c r="Q475" s="139">
        <f>($L475*(1-(Assumptions!$C$25+0.06*(1-1))-Assumptions!$C$27)-Assumptions!$C$28)-MAX(0,($L475*(1-(Assumptions!$C$25+0.06*(1-1))-Assumptions!$C$27)-Assumptions!$C$28)*Assumptions!$C$31)+Assumptions!$C$28-Assumptions!$C$29-$L475*Assumptions!$C$30</f>
        <v>93.56497821</v>
      </c>
      <c r="R475" s="139">
        <f>($M475*(1-(Assumptions!$C$25+0.06*(1-$H475))-Assumptions!$C$27)-Assumptions!$C$28)-MAX(0,($M475*(1-(Assumptions!$C$25+0.06*(1-$H475))-Assumptions!$C$27)-Assumptions!$C$28)*Assumptions!$C$31)+Assumptions!$C$28-Assumptions!$C$29-$M475*Assumptions!$C$30</f>
        <v>100.1860775</v>
      </c>
      <c r="S475" s="139">
        <f>($N475*(1-(Assumptions!$C$25+0.06*(1-$I475))-Assumptions!$C$27)-Assumptions!$C$28)-MAX(0,($N475*(1-(Assumptions!$C$25+0.06*(1-$I475))-Assumptions!$C$27)-Assumptions!$C$28)*Assumptions!$C$31)+Assumptions!$C$28-Assumptions!$C$29-$N475*Assumptions!$C$30</f>
        <v>40.45371499</v>
      </c>
      <c r="T475" s="139">
        <f>($O475*(1-(Assumptions!$C$25+0.06*(1-$J475))-Assumptions!$C$27)-Assumptions!$C$28)-MAX(0,($O475*(1-(Assumptions!$C$25+0.06*(1-$J475))-Assumptions!$C$27)-Assumptions!$C$28)*Assumptions!$C$31)+Assumptions!$C$28-Assumptions!$C$29-$O475*Assumptions!$C$30</f>
        <v>43.44710885</v>
      </c>
      <c r="U475" s="139">
        <f>($P475*(1-(Assumptions!$C$25+0.06*(1-$K475))-Assumptions!$C$27)-Assumptions!$C$28)-MAX(0,($P475*(1-(Assumptions!$C$25+0.06*(1-$K475))-Assumptions!$C$27)-Assumptions!$C$28)*Assumptions!$C$31)+Assumptions!$C$28-Assumptions!$C$29-$P475*Assumptions!$C$30</f>
        <v>122.4203969</v>
      </c>
      <c r="V475" s="143">
        <f>(($Q475/(1+$D475)^1+$R475/(1+$D475)^2+$S475/(1+$D475)^3+$T475/(1+$D475)^4+$U475/(1+$D475)^5+$U475*(1+$E475)/($D475-$E475)/(1+$D475)^5)-Assumptions!$C$37)/Assumptions!$C$40/Assumptions!$C$38</f>
        <v>4.344752337</v>
      </c>
    </row>
    <row r="476" ht="12.0" customHeight="1">
      <c r="B476" s="139">
        <v>424.0</v>
      </c>
      <c r="C476" s="140">
        <f t="shared" si="6"/>
        <v>0.7542377646</v>
      </c>
      <c r="D476" s="141">
        <f t="shared" si="7"/>
        <v>0.103258083</v>
      </c>
      <c r="E476" s="141">
        <f t="shared" si="8"/>
        <v>0.01747267526</v>
      </c>
      <c r="F476" s="140">
        <f t="shared" si="9"/>
        <v>0.0463647589</v>
      </c>
      <c r="G476" s="141">
        <f t="shared" si="10"/>
        <v>0.03913545653</v>
      </c>
      <c r="H476" s="142">
        <f t="shared" si="11"/>
        <v>0</v>
      </c>
      <c r="I476" s="142">
        <f t="shared" si="12"/>
        <v>1</v>
      </c>
      <c r="J476" s="142">
        <f t="shared" si="13"/>
        <v>0</v>
      </c>
      <c r="K476" s="142">
        <f t="shared" si="14"/>
        <v>0</v>
      </c>
      <c r="L476" s="139">
        <f>Assumptions!$C$6*Assumptions!$C$7*(1+$G476-0.05*(1-1))^1+Assumptions!$C$6*Assumptions!$C$8*(1+Assumptions!$C$11)^1+Assumptions!$C$16*1+Assumptions!$C$6*Assumptions!$C$9*(1+Assumptions!$C$12)^1</f>
        <v>739.6409947</v>
      </c>
      <c r="M476" s="139">
        <f>Assumptions!$C$6*Assumptions!$C$7*(1+$G476-0.05*(1-$H476))^2+Assumptions!$C$6*Assumptions!$C$8*(1+Assumptions!$C$11)^2+Assumptions!$C$16*$H476+Assumptions!$C$6*Assumptions!$C$9*(1+Assumptions!$C$12)^2</f>
        <v>665.791081</v>
      </c>
      <c r="N476" s="139">
        <f>Assumptions!$C$6*Assumptions!$C$7*(1+$G476-0.05*(1-$I476))^3+Assumptions!$C$6*Assumptions!$C$8*(1+Assumptions!$C$11)^3+Assumptions!$C$16*$I476+Assumptions!$C$6*Assumptions!$C$9*(1+Assumptions!$C$12)^3</f>
        <v>780.8804202</v>
      </c>
      <c r="O476" s="139">
        <f>Assumptions!$C$6*Assumptions!$C$7*(1+$G476-0.05*(1-$J476))^4+Assumptions!$C$6*Assumptions!$C$8*(1+Assumptions!$C$11)^4+Assumptions!$C$16*$J476+Assumptions!$C$6*Assumptions!$C$9*(1+Assumptions!$C$12)^4</f>
        <v>672.2672074</v>
      </c>
      <c r="P476" s="139">
        <f>Assumptions!$C$6*Assumptions!$C$7*(1+$G476-0.05*(1-$K476))^5+Assumptions!$C$6*Assumptions!$C$8*(1+Assumptions!$C$11)^5+Assumptions!$C$16*$K476+Assumptions!$C$6*Assumptions!$C$9*(1+Assumptions!$C$12)^5</f>
        <v>675.7677288</v>
      </c>
      <c r="Q476" s="139">
        <f>($L476*(1-(Assumptions!$C$25+0.06*(1-1))-Assumptions!$C$27)-Assumptions!$C$28)-MAX(0,($L476*(1-(Assumptions!$C$25+0.06*(1-1))-Assumptions!$C$27)-Assumptions!$C$28)*Assumptions!$C$31)+Assumptions!$C$28-Assumptions!$C$29-$L476*Assumptions!$C$30</f>
        <v>91.52281385</v>
      </c>
      <c r="R476" s="139">
        <f>($M476*(1-(Assumptions!$C$25+0.06*(1-$H476))-Assumptions!$C$27)-Assumptions!$C$28)-MAX(0,($M476*(1-(Assumptions!$C$25+0.06*(1-$H476))-Assumptions!$C$27)-Assumptions!$C$28)*Assumptions!$C$31)+Assumptions!$C$28-Assumptions!$C$29-$M476*Assumptions!$C$30</f>
        <v>33.13194864</v>
      </c>
      <c r="S476" s="139">
        <f>($N476*(1-(Assumptions!$C$25+0.06*(1-$I476))-Assumptions!$C$27)-Assumptions!$C$28)-MAX(0,($N476*(1-(Assumptions!$C$25+0.06*(1-$I476))-Assumptions!$C$27)-Assumptions!$C$28)*Assumptions!$C$31)+Assumptions!$C$28-Assumptions!$C$29-$N476*Assumptions!$C$30</f>
        <v>100.3892904</v>
      </c>
      <c r="T476" s="139">
        <f>($O476*(1-(Assumptions!$C$25+0.06*(1-$J476))-Assumptions!$C$27)-Assumptions!$C$28)-MAX(0,($O476*(1-(Assumptions!$C$25+0.06*(1-$J476))-Assumptions!$C$27)-Assumptions!$C$28)*Assumptions!$C$31)+Assumptions!$C$28-Assumptions!$C$29-$O476*Assumptions!$C$30</f>
        <v>34.6214577</v>
      </c>
      <c r="U476" s="139">
        <f>($P476*(1-(Assumptions!$C$25+0.06*(1-$K476))-Assumptions!$C$27)-Assumptions!$C$28)-MAX(0,($P476*(1-(Assumptions!$C$25+0.06*(1-$K476))-Assumptions!$C$27)-Assumptions!$C$28)*Assumptions!$C$31)+Assumptions!$C$28-Assumptions!$C$29-$P476*Assumptions!$C$30</f>
        <v>35.42657762</v>
      </c>
      <c r="V476" s="143">
        <f>(($Q476/(1+$D476)^1+$R476/(1+$D476)^2+$S476/(1+$D476)^3+$T476/(1+$D476)^4+$U476/(1+$D476)^5+$U476*(1+$E476)/($D476-$E476)/(1+$D476)^5)-Assumptions!$C$37)/Assumptions!$C$40/Assumptions!$C$38</f>
        <v>-1.597090506</v>
      </c>
    </row>
    <row r="477" ht="12.0" customHeight="1">
      <c r="B477" s="139">
        <v>425.0</v>
      </c>
      <c r="C477" s="140">
        <f t="shared" si="6"/>
        <v>0.3106743369</v>
      </c>
      <c r="D477" s="141">
        <f t="shared" si="7"/>
        <v>0.09526248509</v>
      </c>
      <c r="E477" s="141">
        <f t="shared" si="8"/>
        <v>0.02996338818</v>
      </c>
      <c r="F477" s="140">
        <f t="shared" si="9"/>
        <v>0.09372623987</v>
      </c>
      <c r="G477" s="141">
        <f t="shared" si="10"/>
        <v>0.0429887348</v>
      </c>
      <c r="H477" s="142">
        <f t="shared" si="11"/>
        <v>1</v>
      </c>
      <c r="I477" s="142">
        <f t="shared" si="12"/>
        <v>1</v>
      </c>
      <c r="J477" s="142">
        <f t="shared" si="13"/>
        <v>1</v>
      </c>
      <c r="K477" s="142">
        <f t="shared" si="14"/>
        <v>0</v>
      </c>
      <c r="L477" s="139">
        <f>Assumptions!$C$6*Assumptions!$C$7*(1+$G477-0.05*(1-1))^1+Assumptions!$C$6*Assumptions!$C$8*(1+Assumptions!$C$11)^1+Assumptions!$C$16*1+Assumptions!$C$6*Assumptions!$C$9*(1+Assumptions!$C$12)^1</f>
        <v>740.9380081</v>
      </c>
      <c r="M477" s="139">
        <f>Assumptions!$C$6*Assumptions!$C$7*(1+$G477-0.05*(1-$H477))^2+Assumptions!$C$6*Assumptions!$C$8*(1+Assumptions!$C$11)^2+Assumptions!$C$16*$H477+Assumptions!$C$6*Assumptions!$C$9*(1+Assumptions!$C$12)^2</f>
        <v>762.6274236</v>
      </c>
      <c r="N477" s="139">
        <f>Assumptions!$C$6*Assumptions!$C$7*(1+$G477-0.05*(1-$I477))^3+Assumptions!$C$6*Assumptions!$C$8*(1+Assumptions!$C$11)^3+Assumptions!$C$16*$I477+Assumptions!$C$6*Assumptions!$C$9*(1+Assumptions!$C$12)^3</f>
        <v>785.0975747</v>
      </c>
      <c r="O477" s="139">
        <f>Assumptions!$C$6*Assumptions!$C$7*(1+$G477-0.05*(1-$J477))^4+Assumptions!$C$6*Assumptions!$C$8*(1+Assumptions!$C$11)^4+Assumptions!$C$16*$J477+Assumptions!$C$6*Assumptions!$C$9*(1+Assumptions!$C$12)^4</f>
        <v>808.3789908</v>
      </c>
      <c r="P477" s="139">
        <f>Assumptions!$C$6*Assumptions!$C$7*(1+$G477-0.05*(1-$K477))^5+Assumptions!$C$6*Assumptions!$C$8*(1+Assumptions!$C$11)^5+Assumptions!$C$16*$K477+Assumptions!$C$6*Assumptions!$C$9*(1+Assumptions!$C$12)^5</f>
        <v>682.0240817</v>
      </c>
      <c r="Q477" s="139">
        <f>($L477*(1-(Assumptions!$C$25+0.06*(1-1))-Assumptions!$C$27)-Assumptions!$C$28)-MAX(0,($L477*(1-(Assumptions!$C$25+0.06*(1-1))-Assumptions!$C$27)-Assumptions!$C$28)*Assumptions!$C$31)+Assumptions!$C$28-Assumptions!$C$29-$L477*Assumptions!$C$30</f>
        <v>91.80167175</v>
      </c>
      <c r="R477" s="139">
        <f>($M477*(1-(Assumptions!$C$25+0.06*(1-$H477))-Assumptions!$C$27)-Assumptions!$C$28)-MAX(0,($M477*(1-(Assumptions!$C$25+0.06*(1-$H477))-Assumptions!$C$27)-Assumptions!$C$28)*Assumptions!$C$31)+Assumptions!$C$28-Assumptions!$C$29-$M477*Assumptions!$C$30</f>
        <v>96.46489608</v>
      </c>
      <c r="S477" s="139">
        <f>($N477*(1-(Assumptions!$C$25+0.06*(1-$I477))-Assumptions!$C$27)-Assumptions!$C$28)-MAX(0,($N477*(1-(Assumptions!$C$25+0.06*(1-$I477))-Assumptions!$C$27)-Assumptions!$C$28)*Assumptions!$C$31)+Assumptions!$C$28-Assumptions!$C$29-$N477*Assumptions!$C$30</f>
        <v>101.2959786</v>
      </c>
      <c r="T477" s="139">
        <f>($O477*(1-(Assumptions!$C$25+0.06*(1-$J477))-Assumptions!$C$27)-Assumptions!$C$28)-MAX(0,($O477*(1-(Assumptions!$C$25+0.06*(1-$J477))-Assumptions!$C$27)-Assumptions!$C$28)*Assumptions!$C$31)+Assumptions!$C$28-Assumptions!$C$29-$O477*Assumptions!$C$30</f>
        <v>106.301483</v>
      </c>
      <c r="U477" s="139">
        <f>($P477*(1-(Assumptions!$C$25+0.06*(1-$K477))-Assumptions!$C$27)-Assumptions!$C$28)-MAX(0,($P477*(1-(Assumptions!$C$25+0.06*(1-$K477))-Assumptions!$C$27)-Assumptions!$C$28)*Assumptions!$C$31)+Assumptions!$C$28-Assumptions!$C$29-$P477*Assumptions!$C$30</f>
        <v>36.86553878</v>
      </c>
      <c r="V477" s="143">
        <f>(($Q477/(1+$D477)^1+$R477/(1+$D477)^2+$S477/(1+$D477)^3+$T477/(1+$D477)^4+$U477/(1+$D477)^5+$U477*(1+$E477)/($D477-$E477)/(1+$D477)^5)-Assumptions!$C$37)/Assumptions!$C$40/Assumptions!$C$38</f>
        <v>0.1234440102</v>
      </c>
    </row>
    <row r="478" ht="12.0" customHeight="1">
      <c r="B478" s="139">
        <v>426.0</v>
      </c>
      <c r="C478" s="140">
        <f t="shared" si="6"/>
        <v>0.6499072347</v>
      </c>
      <c r="D478" s="141">
        <f t="shared" si="7"/>
        <v>0.1009856487</v>
      </c>
      <c r="E478" s="141">
        <f t="shared" si="8"/>
        <v>0.01964822314</v>
      </c>
      <c r="F478" s="140">
        <f t="shared" si="9"/>
        <v>0.1131239087</v>
      </c>
      <c r="G478" s="141">
        <f t="shared" si="10"/>
        <v>0.04426965437</v>
      </c>
      <c r="H478" s="142">
        <f t="shared" si="11"/>
        <v>1</v>
      </c>
      <c r="I478" s="142">
        <f t="shared" si="12"/>
        <v>1</v>
      </c>
      <c r="J478" s="142">
        <f t="shared" si="13"/>
        <v>0</v>
      </c>
      <c r="K478" s="142">
        <f t="shared" si="14"/>
        <v>0</v>
      </c>
      <c r="L478" s="139">
        <f>Assumptions!$C$6*Assumptions!$C$7*(1+$G478-0.05*(1-1))^1+Assumptions!$C$6*Assumptions!$C$8*(1+Assumptions!$C$11)^1+Assumptions!$C$16*1+Assumptions!$C$6*Assumptions!$C$9*(1+Assumptions!$C$12)^1</f>
        <v>741.3691657</v>
      </c>
      <c r="M478" s="139">
        <f>Assumptions!$C$6*Assumptions!$C$7*(1+$G478-0.05*(1-$H478))^2+Assumptions!$C$6*Assumptions!$C$8*(1+Assumptions!$C$11)^2+Assumptions!$C$16*$H478+Assumptions!$C$6*Assumptions!$C$9*(1+Assumptions!$C$12)^2</f>
        <v>763.5273608</v>
      </c>
      <c r="N478" s="139">
        <f>Assumptions!$C$6*Assumptions!$C$7*(1+$G478-0.05*(1-$I478))^3+Assumptions!$C$6*Assumptions!$C$8*(1+Assumptions!$C$11)^3+Assumptions!$C$16*$I478+Assumptions!$C$6*Assumptions!$C$9*(1+Assumptions!$C$12)^3</f>
        <v>786.5063759</v>
      </c>
      <c r="O478" s="139">
        <f>Assumptions!$C$6*Assumptions!$C$7*(1+$G478-0.05*(1-$J478))^4+Assumptions!$C$6*Assumptions!$C$8*(1+Assumptions!$C$11)^4+Assumptions!$C$16*$J478+Assumptions!$C$6*Assumptions!$C$9*(1+Assumptions!$C$12)^4</f>
        <v>679.0092875</v>
      </c>
      <c r="P478" s="139">
        <f>Assumptions!$C$6*Assumptions!$C$7*(1+$G478-0.05*(1-$K478))^5+Assumptions!$C$6*Assumptions!$C$8*(1+Assumptions!$C$11)^5+Assumptions!$C$16*$K478+Assumptions!$C$6*Assumptions!$C$9*(1+Assumptions!$C$12)^5</f>
        <v>684.1254574</v>
      </c>
      <c r="Q478" s="139">
        <f>($L478*(1-(Assumptions!$C$25+0.06*(1-1))-Assumptions!$C$27)-Assumptions!$C$28)-MAX(0,($L478*(1-(Assumptions!$C$25+0.06*(1-1))-Assumptions!$C$27)-Assumptions!$C$28)*Assumptions!$C$31)+Assumptions!$C$28-Assumptions!$C$29-$L478*Assumptions!$C$30</f>
        <v>91.89437062</v>
      </c>
      <c r="R478" s="139">
        <f>($M478*(1-(Assumptions!$C$25+0.06*(1-$H478))-Assumptions!$C$27)-Assumptions!$C$28)-MAX(0,($M478*(1-(Assumptions!$C$25+0.06*(1-$H478))-Assumptions!$C$27)-Assumptions!$C$28)*Assumptions!$C$31)+Assumptions!$C$28-Assumptions!$C$29-$M478*Assumptions!$C$30</f>
        <v>96.65838257</v>
      </c>
      <c r="S478" s="139">
        <f>($N478*(1-(Assumptions!$C$25+0.06*(1-$I478))-Assumptions!$C$27)-Assumptions!$C$28)-MAX(0,($N478*(1-(Assumptions!$C$25+0.06*(1-$I478))-Assumptions!$C$27)-Assumptions!$C$28)*Assumptions!$C$31)+Assumptions!$C$28-Assumptions!$C$29-$N478*Assumptions!$C$30</f>
        <v>101.5988708</v>
      </c>
      <c r="T478" s="139">
        <f>($O478*(1-(Assumptions!$C$25+0.06*(1-$J478))-Assumptions!$C$27)-Assumptions!$C$28)-MAX(0,($O478*(1-(Assumptions!$C$25+0.06*(1-$J478))-Assumptions!$C$27)-Assumptions!$C$28)*Assumptions!$C$31)+Assumptions!$C$28-Assumptions!$C$29-$O478*Assumptions!$C$30</f>
        <v>36.17213613</v>
      </c>
      <c r="U478" s="139">
        <f>($P478*(1-(Assumptions!$C$25+0.06*(1-$K478))-Assumptions!$C$27)-Assumptions!$C$28)-MAX(0,($P478*(1-(Assumptions!$C$25+0.06*(1-$K478))-Assumptions!$C$27)-Assumptions!$C$28)*Assumptions!$C$31)+Assumptions!$C$28-Assumptions!$C$29-$P478*Assumptions!$C$30</f>
        <v>37.3488552</v>
      </c>
      <c r="V478" s="143">
        <f>(($Q478/(1+$D478)^1+$R478/(1+$D478)^2+$S478/(1+$D478)^3+$T478/(1+$D478)^4+$U478/(1+$D478)^5+$U478*(1+$E478)/($D478-$E478)/(1+$D478)^5)-Assumptions!$C$37)/Assumptions!$C$40/Assumptions!$C$38</f>
        <v>-0.8993404924</v>
      </c>
    </row>
    <row r="479" ht="12.0" customHeight="1">
      <c r="B479" s="139">
        <v>427.0</v>
      </c>
      <c r="C479" s="140">
        <f t="shared" si="6"/>
        <v>0.9402314279</v>
      </c>
      <c r="D479" s="141">
        <f t="shared" si="7"/>
        <v>0.1092094759</v>
      </c>
      <c r="E479" s="141">
        <f t="shared" si="8"/>
        <v>0.02279029245</v>
      </c>
      <c r="F479" s="140">
        <f t="shared" si="9"/>
        <v>0.5294070903</v>
      </c>
      <c r="G479" s="141">
        <f t="shared" si="10"/>
        <v>0.06089558045</v>
      </c>
      <c r="H479" s="142">
        <f t="shared" si="11"/>
        <v>1</v>
      </c>
      <c r="I479" s="142">
        <f t="shared" si="12"/>
        <v>1</v>
      </c>
      <c r="J479" s="142">
        <f t="shared" si="13"/>
        <v>1</v>
      </c>
      <c r="K479" s="142">
        <f t="shared" si="14"/>
        <v>1</v>
      </c>
      <c r="L479" s="139">
        <f>Assumptions!$C$6*Assumptions!$C$7*(1+$G479-0.05*(1-1))^1+Assumptions!$C$6*Assumptions!$C$8*(1+Assumptions!$C$11)^1+Assumptions!$C$16*1+Assumptions!$C$6*Assumptions!$C$9*(1+Assumptions!$C$12)^1</f>
        <v>746.9654524</v>
      </c>
      <c r="M479" s="139">
        <f>Assumptions!$C$6*Assumptions!$C$7*(1+$G479-0.05*(1-$H479))^2+Assumptions!$C$6*Assumptions!$C$8*(1+Assumptions!$C$11)^2+Assumptions!$C$16*$H479+Assumptions!$C$6*Assumptions!$C$9*(1+Assumptions!$C$12)^2</f>
        <v>775.308469</v>
      </c>
      <c r="N479" s="139">
        <f>Assumptions!$C$6*Assumptions!$C$7*(1+$G479-0.05*(1-$I479))^3+Assumptions!$C$6*Assumptions!$C$8*(1+Assumptions!$C$11)^3+Assumptions!$C$16*$I479+Assumptions!$C$6*Assumptions!$C$9*(1+Assumptions!$C$12)^3</f>
        <v>805.1076472</v>
      </c>
      <c r="O479" s="139">
        <f>Assumptions!$C$6*Assumptions!$C$7*(1+$G479-0.05*(1-$J479))^4+Assumptions!$C$6*Assumptions!$C$8*(1+Assumptions!$C$11)^4+Assumptions!$C$16*$J479+Assumptions!$C$6*Assumptions!$C$9*(1+Assumptions!$C$12)^4</f>
        <v>836.4462648</v>
      </c>
      <c r="P479" s="139">
        <f>Assumptions!$C$6*Assumptions!$C$7*(1+$G479-0.05*(1-$K479))^5+Assumptions!$C$6*Assumptions!$C$8*(1+Assumptions!$C$11)^5+Assumptions!$C$16*$K479+Assumptions!$C$6*Assumptions!$C$9*(1+Assumptions!$C$12)^5</f>
        <v>869.4125627</v>
      </c>
      <c r="Q479" s="139">
        <f>($L479*(1-(Assumptions!$C$25+0.06*(1-1))-Assumptions!$C$27)-Assumptions!$C$28)-MAX(0,($L479*(1-(Assumptions!$C$25+0.06*(1-1))-Assumptions!$C$27)-Assumptions!$C$28)*Assumptions!$C$31)+Assumptions!$C$28-Assumptions!$C$29-$L479*Assumptions!$C$30</f>
        <v>93.09757226</v>
      </c>
      <c r="R479" s="139">
        <f>($M479*(1-(Assumptions!$C$25+0.06*(1-$H479))-Assumptions!$C$27)-Assumptions!$C$28)-MAX(0,($M479*(1-(Assumptions!$C$25+0.06*(1-$H479))-Assumptions!$C$27)-Assumptions!$C$28)*Assumptions!$C$31)+Assumptions!$C$28-Assumptions!$C$29-$M479*Assumptions!$C$30</f>
        <v>99.19132084</v>
      </c>
      <c r="S479" s="139">
        <f>($N479*(1-(Assumptions!$C$25+0.06*(1-$I479))-Assumptions!$C$27)-Assumptions!$C$28)-MAX(0,($N479*(1-(Assumptions!$C$25+0.06*(1-$I479))-Assumptions!$C$27)-Assumptions!$C$28)*Assumptions!$C$31)+Assumptions!$C$28-Assumptions!$C$29-$N479*Assumptions!$C$30</f>
        <v>105.5981442</v>
      </c>
      <c r="T479" s="139">
        <f>($O479*(1-(Assumptions!$C$25+0.06*(1-$J479))-Assumptions!$C$27)-Assumptions!$C$28)-MAX(0,($O479*(1-(Assumptions!$C$25+0.06*(1-$J479))-Assumptions!$C$27)-Assumptions!$C$28)*Assumptions!$C$31)+Assumptions!$C$28-Assumptions!$C$29-$O479*Assumptions!$C$30</f>
        <v>112.3359469</v>
      </c>
      <c r="U479" s="139">
        <f>($P479*(1-(Assumptions!$C$25+0.06*(1-$K479))-Assumptions!$C$27)-Assumptions!$C$28)-MAX(0,($P479*(1-(Assumptions!$C$25+0.06*(1-$K479))-Assumptions!$C$27)-Assumptions!$C$28)*Assumptions!$C$31)+Assumptions!$C$28-Assumptions!$C$29-$P479*Assumptions!$C$30</f>
        <v>119.423701</v>
      </c>
      <c r="V479" s="143">
        <f>(($Q479/(1+$D479)^1+$R479/(1+$D479)^2+$S479/(1+$D479)^3+$T479/(1+$D479)^4+$U479/(1+$D479)^5+$U479*(1+$E479)/($D479-$E479)/(1+$D479)^5)-Assumptions!$C$37)/Assumptions!$C$40/Assumptions!$C$38</f>
        <v>4.19343066</v>
      </c>
    </row>
    <row r="480" ht="12.0" customHeight="1">
      <c r="B480" s="139">
        <v>428.0</v>
      </c>
      <c r="C480" s="140">
        <f t="shared" si="6"/>
        <v>0.08282677937</v>
      </c>
      <c r="D480" s="141">
        <f t="shared" si="7"/>
        <v>0.09029889405</v>
      </c>
      <c r="E480" s="141">
        <f t="shared" si="8"/>
        <v>0.01831714409</v>
      </c>
      <c r="F480" s="140">
        <f t="shared" si="9"/>
        <v>0.8149636777</v>
      </c>
      <c r="G480" s="141">
        <f t="shared" si="10"/>
        <v>0.07174992109</v>
      </c>
      <c r="H480" s="142">
        <f t="shared" si="11"/>
        <v>0</v>
      </c>
      <c r="I480" s="142">
        <f t="shared" si="12"/>
        <v>1</v>
      </c>
      <c r="J480" s="142">
        <f t="shared" si="13"/>
        <v>1</v>
      </c>
      <c r="K480" s="142">
        <f t="shared" si="14"/>
        <v>1</v>
      </c>
      <c r="L480" s="139">
        <f>Assumptions!$C$6*Assumptions!$C$7*(1+$G480-0.05*(1-1))^1+Assumptions!$C$6*Assumptions!$C$8*(1+Assumptions!$C$11)^1+Assumptions!$C$16*1+Assumptions!$C$6*Assumptions!$C$9*(1+Assumptions!$C$12)^1</f>
        <v>750.6190234</v>
      </c>
      <c r="M480" s="139">
        <f>Assumptions!$C$6*Assumptions!$C$7*(1+$G480-0.05*(1-$H480))^2+Assumptions!$C$6*Assumptions!$C$8*(1+Assumptions!$C$11)^2+Assumptions!$C$16*$H480+Assumptions!$C$6*Assumptions!$C$9*(1+Assumptions!$C$12)^2</f>
        <v>687.8666386</v>
      </c>
      <c r="N480" s="139">
        <f>Assumptions!$C$6*Assumptions!$C$7*(1+$G480-0.05*(1-$I480))^3+Assumptions!$C$6*Assumptions!$C$8*(1+Assumptions!$C$11)^3+Assumptions!$C$16*$I480+Assumptions!$C$6*Assumptions!$C$9*(1+Assumptions!$C$12)^3</f>
        <v>817.5705703</v>
      </c>
      <c r="O480" s="139">
        <f>Assumptions!$C$6*Assumptions!$C$7*(1+$G480-0.05*(1-$J480))^4+Assumptions!$C$6*Assumptions!$C$8*(1+Assumptions!$C$11)^4+Assumptions!$C$16*$J480+Assumptions!$C$6*Assumptions!$C$9*(1+Assumptions!$C$12)^4</f>
        <v>854.165902</v>
      </c>
      <c r="P480" s="139">
        <f>Assumptions!$C$6*Assumptions!$C$7*(1+$G480-0.05*(1-$K480))^5+Assumptions!$C$6*Assumptions!$C$8*(1+Assumptions!$C$11)^5+Assumptions!$C$16*$K480+Assumptions!$C$6*Assumptions!$C$9*(1+Assumptions!$C$12)^5</f>
        <v>893.0317399</v>
      </c>
      <c r="Q480" s="139">
        <f>($L480*(1-(Assumptions!$C$25+0.06*(1-1))-Assumptions!$C$27)-Assumptions!$C$28)-MAX(0,($L480*(1-(Assumptions!$C$25+0.06*(1-1))-Assumptions!$C$27)-Assumptions!$C$28)*Assumptions!$C$31)+Assumptions!$C$28-Assumptions!$C$29-$L480*Assumptions!$C$30</f>
        <v>93.88309004</v>
      </c>
      <c r="R480" s="139">
        <f>($M480*(1-(Assumptions!$C$25+0.06*(1-$H480))-Assumptions!$C$27)-Assumptions!$C$28)-MAX(0,($M480*(1-(Assumptions!$C$25+0.06*(1-$H480))-Assumptions!$C$27)-Assumptions!$C$28)*Assumptions!$C$31)+Assumptions!$C$28-Assumptions!$C$29-$M480*Assumptions!$C$30</f>
        <v>38.20932687</v>
      </c>
      <c r="S480" s="139">
        <f>($N480*(1-(Assumptions!$C$25+0.06*(1-$I480))-Assumptions!$C$27)-Assumptions!$C$28)-MAX(0,($N480*(1-(Assumptions!$C$25+0.06*(1-$I480))-Assumptions!$C$27)-Assumptions!$C$28)*Assumptions!$C$31)+Assumptions!$C$28-Assumptions!$C$29-$N480*Assumptions!$C$30</f>
        <v>108.2776726</v>
      </c>
      <c r="T480" s="139">
        <f>($O480*(1-(Assumptions!$C$25+0.06*(1-$J480))-Assumptions!$C$27)-Assumptions!$C$28)-MAX(0,($O480*(1-(Assumptions!$C$25+0.06*(1-$J480))-Assumptions!$C$27)-Assumptions!$C$28)*Assumptions!$C$31)+Assumptions!$C$28-Assumptions!$C$29-$O480*Assumptions!$C$30</f>
        <v>116.1456689</v>
      </c>
      <c r="U480" s="139">
        <f>($P480*(1-(Assumptions!$C$25+0.06*(1-$K480))-Assumptions!$C$27)-Assumptions!$C$28)-MAX(0,($P480*(1-(Assumptions!$C$25+0.06*(1-$K480))-Assumptions!$C$27)-Assumptions!$C$28)*Assumptions!$C$31)+Assumptions!$C$28-Assumptions!$C$29-$P480*Assumptions!$C$30</f>
        <v>124.5018241</v>
      </c>
      <c r="V480" s="143">
        <f>(($Q480/(1+$D480)^1+$R480/(1+$D480)^2+$S480/(1+$D480)^3+$T480/(1+$D480)^4+$U480/(1+$D480)^5+$U480*(1+$E480)/($D480-$E480)/(1+$D480)^5)-Assumptions!$C$37)/Assumptions!$C$40/Assumptions!$C$38</f>
        <v>6.370006192</v>
      </c>
    </row>
    <row r="481" ht="12.0" customHeight="1">
      <c r="B481" s="139">
        <v>429.0</v>
      </c>
      <c r="C481" s="140">
        <f t="shared" si="6"/>
        <v>0.7515461042</v>
      </c>
      <c r="D481" s="141">
        <f t="shared" si="7"/>
        <v>0.1031939577</v>
      </c>
      <c r="E481" s="141">
        <f t="shared" si="8"/>
        <v>0.02003431378</v>
      </c>
      <c r="F481" s="140">
        <f t="shared" si="9"/>
        <v>0.5081976326</v>
      </c>
      <c r="G481" s="141">
        <f t="shared" si="10"/>
        <v>0.06024694535</v>
      </c>
      <c r="H481" s="142">
        <f t="shared" si="11"/>
        <v>1</v>
      </c>
      <c r="I481" s="142">
        <f t="shared" si="12"/>
        <v>1</v>
      </c>
      <c r="J481" s="142">
        <f t="shared" si="13"/>
        <v>1</v>
      </c>
      <c r="K481" s="142">
        <f t="shared" si="14"/>
        <v>1</v>
      </c>
      <c r="L481" s="139">
        <f>Assumptions!$C$6*Assumptions!$C$7*(1+$G481-0.05*(1-1))^1+Assumptions!$C$6*Assumptions!$C$8*(1+Assumptions!$C$11)^1+Assumptions!$C$16*1+Assumptions!$C$6*Assumptions!$C$9*(1+Assumptions!$C$12)^1</f>
        <v>746.7471218</v>
      </c>
      <c r="M481" s="139">
        <f>Assumptions!$C$6*Assumptions!$C$7*(1+$G481-0.05*(1-$H481))^2+Assumptions!$C$6*Assumptions!$C$8*(1+Assumptions!$C$11)^2+Assumptions!$C$16*$H481+Assumptions!$C$6*Assumptions!$C$9*(1+Assumptions!$C$12)^2</f>
        <v>774.8453587</v>
      </c>
      <c r="N481" s="139">
        <f>Assumptions!$C$6*Assumptions!$C$7*(1+$G481-0.05*(1-$I481))^3+Assumptions!$C$6*Assumptions!$C$8*(1+Assumptions!$C$11)^3+Assumptions!$C$16*$I481+Assumptions!$C$6*Assumptions!$C$9*(1+Assumptions!$C$12)^3</f>
        <v>804.3709051</v>
      </c>
      <c r="O481" s="139">
        <f>Assumptions!$C$6*Assumptions!$C$7*(1+$G481-0.05*(1-$J481))^4+Assumptions!$C$6*Assumptions!$C$8*(1+Assumptions!$C$11)^4+Assumptions!$C$16*$J481+Assumptions!$C$6*Assumptions!$C$9*(1+Assumptions!$C$12)^4</f>
        <v>835.4044413</v>
      </c>
      <c r="P481" s="139">
        <f>Assumptions!$C$6*Assumptions!$C$7*(1+$G481-0.05*(1-$K481))^5+Assumptions!$C$6*Assumptions!$C$8*(1+Assumptions!$C$11)^5+Assumptions!$C$16*$K481+Assumptions!$C$6*Assumptions!$C$9*(1+Assumptions!$C$12)^5</f>
        <v>868.0314025</v>
      </c>
      <c r="Q481" s="139">
        <f>($L481*(1-(Assumptions!$C$25+0.06*(1-1))-Assumptions!$C$27)-Assumptions!$C$28)-MAX(0,($L481*(1-(Assumptions!$C$25+0.06*(1-1))-Assumptions!$C$27)-Assumptions!$C$28)*Assumptions!$C$31)+Assumptions!$C$28-Assumptions!$C$29-$L481*Assumptions!$C$30</f>
        <v>93.05063119</v>
      </c>
      <c r="R481" s="139">
        <f>($M481*(1-(Assumptions!$C$25+0.06*(1-$H481))-Assumptions!$C$27)-Assumptions!$C$28)-MAX(0,($M481*(1-(Assumptions!$C$25+0.06*(1-$H481))-Assumptions!$C$27)-Assumptions!$C$28)*Assumptions!$C$31)+Assumptions!$C$28-Assumptions!$C$29-$M481*Assumptions!$C$30</f>
        <v>99.09175213</v>
      </c>
      <c r="S481" s="139">
        <f>($N481*(1-(Assumptions!$C$25+0.06*(1-$I481))-Assumptions!$C$27)-Assumptions!$C$28)-MAX(0,($N481*(1-(Assumptions!$C$25+0.06*(1-$I481))-Assumptions!$C$27)-Assumptions!$C$28)*Assumptions!$C$31)+Assumptions!$C$28-Assumptions!$C$29-$N481*Assumptions!$C$30</f>
        <v>105.4397446</v>
      </c>
      <c r="T481" s="139">
        <f>($O481*(1-(Assumptions!$C$25+0.06*(1-$J481))-Assumptions!$C$27)-Assumptions!$C$28)-MAX(0,($O481*(1-(Assumptions!$C$25+0.06*(1-$J481))-Assumptions!$C$27)-Assumptions!$C$28)*Assumptions!$C$31)+Assumptions!$C$28-Assumptions!$C$29-$O481*Assumptions!$C$30</f>
        <v>112.1119549</v>
      </c>
      <c r="U481" s="139">
        <f>($P481*(1-(Assumptions!$C$25+0.06*(1-$K481))-Assumptions!$C$27)-Assumptions!$C$28)-MAX(0,($P481*(1-(Assumptions!$C$25+0.06*(1-$K481))-Assumptions!$C$27)-Assumptions!$C$28)*Assumptions!$C$31)+Assumptions!$C$28-Assumptions!$C$29-$P481*Assumptions!$C$30</f>
        <v>119.1267515</v>
      </c>
      <c r="V481" s="143">
        <f>(($Q481/(1+$D481)^1+$R481/(1+$D481)^2+$S481/(1+$D481)^3+$T481/(1+$D481)^4+$U481/(1+$D481)^5+$U481*(1+$E481)/($D481-$E481)/(1+$D481)^5)-Assumptions!$C$37)/Assumptions!$C$40/Assumptions!$C$38</f>
        <v>4.646715392</v>
      </c>
    </row>
    <row r="482" ht="12.0" customHeight="1">
      <c r="B482" s="139">
        <v>430.0</v>
      </c>
      <c r="C482" s="140">
        <f t="shared" si="6"/>
        <v>0.3663442992</v>
      </c>
      <c r="D482" s="141">
        <f t="shared" si="7"/>
        <v>0.0961440889</v>
      </c>
      <c r="E482" s="141">
        <f t="shared" si="8"/>
        <v>0.01287738413</v>
      </c>
      <c r="F482" s="140">
        <f t="shared" si="9"/>
        <v>0.9801628553</v>
      </c>
      <c r="G482" s="141">
        <f t="shared" si="10"/>
        <v>0.08402447823</v>
      </c>
      <c r="H482" s="142">
        <f t="shared" si="11"/>
        <v>1</v>
      </c>
      <c r="I482" s="142">
        <f t="shared" si="12"/>
        <v>0</v>
      </c>
      <c r="J482" s="142">
        <f t="shared" si="13"/>
        <v>0</v>
      </c>
      <c r="K482" s="142">
        <f t="shared" si="14"/>
        <v>1</v>
      </c>
      <c r="L482" s="139">
        <f>Assumptions!$C$6*Assumptions!$C$7*(1+$G482-0.05*(1-1))^1+Assumptions!$C$6*Assumptions!$C$8*(1+Assumptions!$C$11)^1+Assumptions!$C$16*1+Assumptions!$C$6*Assumptions!$C$9*(1+Assumptions!$C$12)^1</f>
        <v>754.7506394</v>
      </c>
      <c r="M482" s="139">
        <f>Assumptions!$C$6*Assumptions!$C$7*(1+$G482-0.05*(1-$H482))^2+Assumptions!$C$6*Assumptions!$C$8*(1+Assumptions!$C$11)^2+Assumptions!$C$16*$H482+Assumptions!$C$6*Assumptions!$C$9*(1+Assumptions!$C$12)^2</f>
        <v>792.0070728</v>
      </c>
      <c r="N482" s="139">
        <f>Assumptions!$C$6*Assumptions!$C$7*(1+$G482-0.05*(1-$I482))^3+Assumptions!$C$6*Assumptions!$C$8*(1+Assumptions!$C$11)^3+Assumptions!$C$16*$I482+Assumptions!$C$6*Assumptions!$C$9*(1+Assumptions!$C$12)^3</f>
        <v>715.3348539</v>
      </c>
      <c r="O482" s="139">
        <f>Assumptions!$C$6*Assumptions!$C$7*(1+$G482-0.05*(1-$J482))^4+Assumptions!$C$6*Assumptions!$C$8*(1+Assumptions!$C$11)^4+Assumptions!$C$16*$J482+Assumptions!$C$6*Assumptions!$C$9*(1+Assumptions!$C$12)^4</f>
        <v>734.8606229</v>
      </c>
      <c r="P482" s="139">
        <f>Assumptions!$C$6*Assumptions!$C$7*(1+$G482-0.05*(1-$K482))^5+Assumptions!$C$6*Assumptions!$C$8*(1+Assumptions!$C$11)^5+Assumptions!$C$16*$K482+Assumptions!$C$6*Assumptions!$C$9*(1+Assumptions!$C$12)^5</f>
        <v>920.9193543</v>
      </c>
      <c r="Q482" s="139">
        <f>($L482*(1-(Assumptions!$C$25+0.06*(1-1))-Assumptions!$C$27)-Assumptions!$C$28)-MAX(0,($L482*(1-(Assumptions!$C$25+0.06*(1-1))-Assumptions!$C$27)-Assumptions!$C$28)*Assumptions!$C$31)+Assumptions!$C$28-Assumptions!$C$29-$L482*Assumptions!$C$30</f>
        <v>94.77138747</v>
      </c>
      <c r="R482" s="139">
        <f>($M482*(1-(Assumptions!$C$25+0.06*(1-$H482))-Assumptions!$C$27)-Assumptions!$C$28)-MAX(0,($M482*(1-(Assumptions!$C$25+0.06*(1-$H482))-Assumptions!$C$27)-Assumptions!$C$28)*Assumptions!$C$31)+Assumptions!$C$28-Assumptions!$C$29-$M482*Assumptions!$C$30</f>
        <v>102.7815206</v>
      </c>
      <c r="S482" s="139">
        <f>($N482*(1-(Assumptions!$C$25+0.06*(1-$I482))-Assumptions!$C$27)-Assumptions!$C$28)-MAX(0,($N482*(1-(Assumptions!$C$25+0.06*(1-$I482))-Assumptions!$C$27)-Assumptions!$C$28)*Assumptions!$C$31)+Assumptions!$C$28-Assumptions!$C$29-$N482*Assumptions!$C$30</f>
        <v>44.52701639</v>
      </c>
      <c r="T482" s="139">
        <f>($O482*(1-(Assumptions!$C$25+0.06*(1-$J482))-Assumptions!$C$27)-Assumptions!$C$28)-MAX(0,($O482*(1-(Assumptions!$C$25+0.06*(1-$J482))-Assumptions!$C$27)-Assumptions!$C$28)*Assumptions!$C$31)+Assumptions!$C$28-Assumptions!$C$29-$O482*Assumptions!$C$30</f>
        <v>49.01794327</v>
      </c>
      <c r="U482" s="139">
        <f>($P482*(1-(Assumptions!$C$25+0.06*(1-$K482))-Assumptions!$C$27)-Assumptions!$C$28)-MAX(0,($P482*(1-(Assumptions!$C$25+0.06*(1-$K482))-Assumptions!$C$27)-Assumptions!$C$28)*Assumptions!$C$31)+Assumptions!$C$28-Assumptions!$C$29-$P482*Assumptions!$C$30</f>
        <v>130.4976612</v>
      </c>
      <c r="V482" s="143">
        <f>(($Q482/(1+$D482)^1+$R482/(1+$D482)^2+$S482/(1+$D482)^3+$T482/(1+$D482)^4+$U482/(1+$D482)^5+$U482*(1+$E482)/($D482-$E482)/(1+$D482)^5)-Assumptions!$C$37)/Assumptions!$C$40/Assumptions!$C$38</f>
        <v>4.944902942</v>
      </c>
    </row>
    <row r="483" ht="12.0" customHeight="1">
      <c r="B483" s="139">
        <v>431.0</v>
      </c>
      <c r="C483" s="140">
        <f t="shared" si="6"/>
        <v>0.1595578939</v>
      </c>
      <c r="D483" s="141">
        <f t="shared" si="7"/>
        <v>0.09235459897</v>
      </c>
      <c r="E483" s="141">
        <f t="shared" si="8"/>
        <v>0.0199289052</v>
      </c>
      <c r="F483" s="140">
        <f t="shared" si="9"/>
        <v>0.9147227236</v>
      </c>
      <c r="G483" s="141">
        <f t="shared" si="10"/>
        <v>0.07761052473</v>
      </c>
      <c r="H483" s="142">
        <f t="shared" si="11"/>
        <v>1</v>
      </c>
      <c r="I483" s="142">
        <f t="shared" si="12"/>
        <v>1</v>
      </c>
      <c r="J483" s="142">
        <f t="shared" si="13"/>
        <v>0</v>
      </c>
      <c r="K483" s="142">
        <f t="shared" si="14"/>
        <v>0</v>
      </c>
      <c r="L483" s="139">
        <f>Assumptions!$C$6*Assumptions!$C$7*(1+$G483-0.05*(1-1))^1+Assumptions!$C$6*Assumptions!$C$8*(1+Assumptions!$C$11)^1+Assumptions!$C$16*1+Assumptions!$C$6*Assumptions!$C$9*(1+Assumptions!$C$12)^1</f>
        <v>752.5917026</v>
      </c>
      <c r="M483" s="139">
        <f>Assumptions!$C$6*Assumptions!$C$7*(1+$G483-0.05*(1-$H483))^2+Assumptions!$C$6*Assumptions!$C$8*(1+Assumptions!$C$11)^2+Assumptions!$C$16*$H483+Assumptions!$C$6*Assumptions!$C$9*(1+Assumptions!$C$12)^2</f>
        <v>787.3402395</v>
      </c>
      <c r="N483" s="139">
        <f>Assumptions!$C$6*Assumptions!$C$7*(1+$G483-0.05*(1-$I483))^3+Assumptions!$C$6*Assumptions!$C$8*(1+Assumptions!$C$11)^3+Assumptions!$C$16*$I483+Assumptions!$C$6*Assumptions!$C$9*(1+Assumptions!$C$12)^3</f>
        <v>824.4055512</v>
      </c>
      <c r="O483" s="139">
        <f>Assumptions!$C$6*Assumptions!$C$7*(1+$G483-0.05*(1-$J483))^4+Assumptions!$C$6*Assumptions!$C$8*(1+Assumptions!$C$11)^4+Assumptions!$C$16*$J483+Assumptions!$C$6*Assumptions!$C$9*(1+Assumptions!$C$12)^4</f>
        <v>725.4015306</v>
      </c>
      <c r="P483" s="139">
        <f>Assumptions!$C$6*Assumptions!$C$7*(1+$G483-0.05*(1-$K483))^5+Assumptions!$C$6*Assumptions!$C$8*(1+Assumptions!$C$11)^5+Assumptions!$C$16*$K483+Assumptions!$C$6*Assumptions!$C$9*(1+Assumptions!$C$12)^5</f>
        <v>742.7661181</v>
      </c>
      <c r="Q483" s="139">
        <f>($L483*(1-(Assumptions!$C$25+0.06*(1-1))-Assumptions!$C$27)-Assumptions!$C$28)-MAX(0,($L483*(1-(Assumptions!$C$25+0.06*(1-1))-Assumptions!$C$27)-Assumptions!$C$28)*Assumptions!$C$31)+Assumptions!$C$28-Assumptions!$C$29-$L483*Assumptions!$C$30</f>
        <v>94.30721606</v>
      </c>
      <c r="R483" s="139">
        <f>($M483*(1-(Assumptions!$C$25+0.06*(1-$H483))-Assumptions!$C$27)-Assumptions!$C$28)-MAX(0,($M483*(1-(Assumptions!$C$25+0.06*(1-$H483))-Assumptions!$C$27)-Assumptions!$C$28)*Assumptions!$C$31)+Assumptions!$C$28-Assumptions!$C$29-$M483*Assumptions!$C$30</f>
        <v>101.7781515</v>
      </c>
      <c r="S483" s="139">
        <f>($N483*(1-(Assumptions!$C$25+0.06*(1-$I483))-Assumptions!$C$27)-Assumptions!$C$28)-MAX(0,($N483*(1-(Assumptions!$C$25+0.06*(1-$I483))-Assumptions!$C$27)-Assumptions!$C$28)*Assumptions!$C$31)+Assumptions!$C$28-Assumptions!$C$29-$N483*Assumptions!$C$30</f>
        <v>109.7471935</v>
      </c>
      <c r="T483" s="139">
        <f>($O483*(1-(Assumptions!$C$25+0.06*(1-$J483))-Assumptions!$C$27)-Assumptions!$C$28)-MAX(0,($O483*(1-(Assumptions!$C$25+0.06*(1-$J483))-Assumptions!$C$27)-Assumptions!$C$28)*Assumptions!$C$31)+Assumptions!$C$28-Assumptions!$C$29-$O483*Assumptions!$C$30</f>
        <v>46.84235203</v>
      </c>
      <c r="U483" s="139">
        <f>($P483*(1-(Assumptions!$C$25+0.06*(1-$K483))-Assumptions!$C$27)-Assumptions!$C$28)-MAX(0,($P483*(1-(Assumptions!$C$25+0.06*(1-$K483))-Assumptions!$C$27)-Assumptions!$C$28)*Assumptions!$C$31)+Assumptions!$C$28-Assumptions!$C$29-$P483*Assumptions!$C$30</f>
        <v>50.83620717</v>
      </c>
      <c r="V483" s="143">
        <f>(($Q483/(1+$D483)^1+$R483/(1+$D483)^2+$S483/(1+$D483)^3+$T483/(1+$D483)^4+$U483/(1+$D483)^5+$U483*(1+$E483)/($D483-$E483)/(1+$D483)^5)-Assumptions!$C$37)/Assumptions!$C$40/Assumptions!$C$38</f>
        <v>0.7023803108</v>
      </c>
    </row>
    <row r="484" ht="12.0" customHeight="1">
      <c r="B484" s="139">
        <v>432.0</v>
      </c>
      <c r="C484" s="140">
        <f t="shared" si="6"/>
        <v>0.02930373152</v>
      </c>
      <c r="D484" s="141">
        <f t="shared" si="7"/>
        <v>0.08815181931</v>
      </c>
      <c r="E484" s="141">
        <f t="shared" si="8"/>
        <v>0.02898905874</v>
      </c>
      <c r="F484" s="140">
        <f t="shared" si="9"/>
        <v>0.1134683016</v>
      </c>
      <c r="G484" s="141">
        <f t="shared" si="10"/>
        <v>0.04429135903</v>
      </c>
      <c r="H484" s="142">
        <f t="shared" si="11"/>
        <v>1</v>
      </c>
      <c r="I484" s="142">
        <f t="shared" si="12"/>
        <v>0</v>
      </c>
      <c r="J484" s="142">
        <f t="shared" si="13"/>
        <v>1</v>
      </c>
      <c r="K484" s="142">
        <f t="shared" si="14"/>
        <v>0</v>
      </c>
      <c r="L484" s="139">
        <f>Assumptions!$C$6*Assumptions!$C$7*(1+$G484-0.05*(1-1))^1+Assumptions!$C$6*Assumptions!$C$8*(1+Assumptions!$C$11)^1+Assumptions!$C$16*1+Assumptions!$C$6*Assumptions!$C$9*(1+Assumptions!$C$12)^1</f>
        <v>741.3764714</v>
      </c>
      <c r="M484" s="139">
        <f>Assumptions!$C$6*Assumptions!$C$7*(1+$G484-0.05*(1-$H484))^2+Assumptions!$C$6*Assumptions!$C$8*(1+Assumptions!$C$11)^2+Assumptions!$C$16*$H484+Assumptions!$C$6*Assumptions!$C$9*(1+Assumptions!$C$12)^2</f>
        <v>763.5426194</v>
      </c>
      <c r="N484" s="139">
        <f>Assumptions!$C$6*Assumptions!$C$7*(1+$G484-0.05*(1-$I484))^3+Assumptions!$C$6*Assumptions!$C$8*(1+Assumptions!$C$11)^3+Assumptions!$C$16*$I484+Assumptions!$C$6*Assumptions!$C$9*(1+Assumptions!$C$12)^3</f>
        <v>674.0629269</v>
      </c>
      <c r="O484" s="139">
        <f>Assumptions!$C$6*Assumptions!$C$7*(1+$G484-0.05*(1-$J484))^4+Assumptions!$C$6*Assumptions!$C$8*(1+Assumptions!$C$11)^4+Assumptions!$C$16*$J484+Assumptions!$C$6*Assumptions!$C$9*(1+Assumptions!$C$12)^4</f>
        <v>810.3726257</v>
      </c>
      <c r="P484" s="139">
        <f>Assumptions!$C$6*Assumptions!$C$7*(1+$G484-0.05*(1-$K484))^5+Assumptions!$C$6*Assumptions!$C$8*(1+Assumptions!$C$11)^5+Assumptions!$C$16*$K484+Assumptions!$C$6*Assumptions!$C$9*(1+Assumptions!$C$12)^5</f>
        <v>684.1611578</v>
      </c>
      <c r="Q484" s="139">
        <f>($L484*(1-(Assumptions!$C$25+0.06*(1-1))-Assumptions!$C$27)-Assumptions!$C$28)-MAX(0,($L484*(1-(Assumptions!$C$25+0.06*(1-1))-Assumptions!$C$27)-Assumptions!$C$28)*Assumptions!$C$31)+Assumptions!$C$28-Assumptions!$C$29-$L484*Assumptions!$C$30</f>
        <v>91.89594136</v>
      </c>
      <c r="R484" s="139">
        <f>($M484*(1-(Assumptions!$C$25+0.06*(1-$H484))-Assumptions!$C$27)-Assumptions!$C$28)-MAX(0,($M484*(1-(Assumptions!$C$25+0.06*(1-$H484))-Assumptions!$C$27)-Assumptions!$C$28)*Assumptions!$C$31)+Assumptions!$C$28-Assumptions!$C$29-$M484*Assumptions!$C$30</f>
        <v>96.66166316</v>
      </c>
      <c r="S484" s="139">
        <f>($N484*(1-(Assumptions!$C$25+0.06*(1-$I484))-Assumptions!$C$27)-Assumptions!$C$28)-MAX(0,($N484*(1-(Assumptions!$C$25+0.06*(1-$I484))-Assumptions!$C$27)-Assumptions!$C$28)*Assumptions!$C$31)+Assumptions!$C$28-Assumptions!$C$29-$N484*Assumptions!$C$30</f>
        <v>35.03447318</v>
      </c>
      <c r="T484" s="139">
        <f>($O484*(1-(Assumptions!$C$25+0.06*(1-$J484))-Assumptions!$C$27)-Assumptions!$C$28)-MAX(0,($O484*(1-(Assumptions!$C$25+0.06*(1-$J484))-Assumptions!$C$27)-Assumptions!$C$28)*Assumptions!$C$31)+Assumptions!$C$28-Assumptions!$C$29-$O484*Assumptions!$C$30</f>
        <v>106.7301145</v>
      </c>
      <c r="U484" s="139">
        <f>($P484*(1-(Assumptions!$C$25+0.06*(1-$K484))-Assumptions!$C$27)-Assumptions!$C$28)-MAX(0,($P484*(1-(Assumptions!$C$25+0.06*(1-$K484))-Assumptions!$C$27)-Assumptions!$C$28)*Assumptions!$C$31)+Assumptions!$C$28-Assumptions!$C$29-$P484*Assumptions!$C$30</f>
        <v>37.35706628</v>
      </c>
      <c r="V484" s="143">
        <f>(($Q484/(1+$D484)^1+$R484/(1+$D484)^2+$S484/(1+$D484)^3+$T484/(1+$D484)^4+$U484/(1+$D484)^5+$U484*(1+$E484)/($D484-$E484)/(1+$D484)^5)-Assumptions!$C$37)/Assumptions!$C$40/Assumptions!$C$38</f>
        <v>0.2190526023</v>
      </c>
    </row>
    <row r="485" ht="12.0" customHeight="1">
      <c r="B485" s="139">
        <v>433.0</v>
      </c>
      <c r="C485" s="140">
        <f t="shared" si="6"/>
        <v>0.6530837699</v>
      </c>
      <c r="D485" s="141">
        <f t="shared" si="7"/>
        <v>0.1010493726</v>
      </c>
      <c r="E485" s="141">
        <f t="shared" si="8"/>
        <v>0.02101495114</v>
      </c>
      <c r="F485" s="140">
        <f t="shared" si="9"/>
        <v>0.3070506902</v>
      </c>
      <c r="G485" s="141">
        <f t="shared" si="10"/>
        <v>0.05350938626</v>
      </c>
      <c r="H485" s="142">
        <f t="shared" si="11"/>
        <v>1</v>
      </c>
      <c r="I485" s="142">
        <f t="shared" si="12"/>
        <v>1</v>
      </c>
      <c r="J485" s="142">
        <f t="shared" si="13"/>
        <v>1</v>
      </c>
      <c r="K485" s="142">
        <f t="shared" si="14"/>
        <v>1</v>
      </c>
      <c r="L485" s="139">
        <f>Assumptions!$C$6*Assumptions!$C$7*(1+$G485-0.05*(1-1))^1+Assumptions!$C$6*Assumptions!$C$8*(1+Assumptions!$C$11)^1+Assumptions!$C$16*1+Assumptions!$C$6*Assumptions!$C$9*(1+Assumptions!$C$12)^1</f>
        <v>744.4792594</v>
      </c>
      <c r="M485" s="139">
        <f>Assumptions!$C$6*Assumptions!$C$7*(1+$G485-0.05*(1-$H485))^2+Assumptions!$C$6*Assumptions!$C$8*(1+Assumptions!$C$11)^2+Assumptions!$C$16*$H485+Assumptions!$C$6*Assumptions!$C$9*(1+Assumptions!$C$12)^2</f>
        <v>770.0516503</v>
      </c>
      <c r="N485" s="139">
        <f>Assumptions!$C$6*Assumptions!$C$7*(1+$G485-0.05*(1-$I485))^3+Assumptions!$C$6*Assumptions!$C$8*(1+Assumptions!$C$11)^3+Assumptions!$C$16*$I485+Assumptions!$C$6*Assumptions!$C$9*(1+Assumptions!$C$12)^3</f>
        <v>796.7713306</v>
      </c>
      <c r="O485" s="139">
        <f>Assumptions!$C$6*Assumptions!$C$7*(1+$G485-0.05*(1-$J485))^4+Assumptions!$C$6*Assumptions!$C$8*(1+Assumptions!$C$11)^4+Assumptions!$C$16*$J485+Assumptions!$C$6*Assumptions!$C$9*(1+Assumptions!$C$12)^4</f>
        <v>824.6952696</v>
      </c>
      <c r="P485" s="139">
        <f>Assumptions!$C$6*Assumptions!$C$7*(1+$G485-0.05*(1-$K485))^5+Assumptions!$C$6*Assumptions!$C$8*(1+Assumptions!$C$11)^5+Assumptions!$C$16*$K485+Assumptions!$C$6*Assumptions!$C$9*(1+Assumptions!$C$12)^5</f>
        <v>853.8833967</v>
      </c>
      <c r="Q485" s="139">
        <f>($L485*(1-(Assumptions!$C$25+0.06*(1-1))-Assumptions!$C$27)-Assumptions!$C$28)-MAX(0,($L485*(1-(Assumptions!$C$25+0.06*(1-1))-Assumptions!$C$27)-Assumptions!$C$28)*Assumptions!$C$31)+Assumptions!$C$28-Assumptions!$C$29-$L485*Assumptions!$C$30</f>
        <v>92.56304077</v>
      </c>
      <c r="R485" s="139">
        <f>($M485*(1-(Assumptions!$C$25+0.06*(1-$H485))-Assumptions!$C$27)-Assumptions!$C$28)-MAX(0,($M485*(1-(Assumptions!$C$25+0.06*(1-$H485))-Assumptions!$C$27)-Assumptions!$C$28)*Assumptions!$C$31)+Assumptions!$C$28-Assumptions!$C$29-$M485*Assumptions!$C$30</f>
        <v>98.06110481</v>
      </c>
      <c r="S485" s="139">
        <f>($N485*(1-(Assumptions!$C$25+0.06*(1-$I485))-Assumptions!$C$27)-Assumptions!$C$28)-MAX(0,($N485*(1-(Assumptions!$C$25+0.06*(1-$I485))-Assumptions!$C$27)-Assumptions!$C$28)*Assumptions!$C$31)+Assumptions!$C$28-Assumptions!$C$29-$N485*Assumptions!$C$30</f>
        <v>103.8058361</v>
      </c>
      <c r="T485" s="139">
        <f>($O485*(1-(Assumptions!$C$25+0.06*(1-$J485))-Assumptions!$C$27)-Assumptions!$C$28)-MAX(0,($O485*(1-(Assumptions!$C$25+0.06*(1-$J485))-Assumptions!$C$27)-Assumptions!$C$28)*Assumptions!$C$31)+Assumptions!$C$28-Assumptions!$C$29-$O485*Assumptions!$C$30</f>
        <v>109.809483</v>
      </c>
      <c r="U485" s="139">
        <f>($P485*(1-(Assumptions!$C$25+0.06*(1-$K485))-Assumptions!$C$27)-Assumptions!$C$28)-MAX(0,($P485*(1-(Assumptions!$C$25+0.06*(1-$K485))-Assumptions!$C$27)-Assumptions!$C$28)*Assumptions!$C$31)+Assumptions!$C$28-Assumptions!$C$29-$P485*Assumptions!$C$30</f>
        <v>116.0849303</v>
      </c>
      <c r="V485" s="143">
        <f>(($Q485/(1+$D485)^1+$R485/(1+$D485)^2+$S485/(1+$D485)^3+$T485/(1+$D485)^4+$U485/(1+$D485)^5+$U485*(1+$E485)/($D485-$E485)/(1+$D485)^5)-Assumptions!$C$37)/Assumptions!$C$40/Assumptions!$C$38</f>
        <v>4.78099612</v>
      </c>
    </row>
    <row r="486" ht="12.0" customHeight="1">
      <c r="B486" s="139">
        <v>434.0</v>
      </c>
      <c r="C486" s="140">
        <f t="shared" si="6"/>
        <v>0.4781552657</v>
      </c>
      <c r="D486" s="141">
        <f t="shared" si="7"/>
        <v>0.0978899183</v>
      </c>
      <c r="E486" s="141">
        <f t="shared" si="8"/>
        <v>0.02134824151</v>
      </c>
      <c r="F486" s="140">
        <f t="shared" si="9"/>
        <v>0.9253692619</v>
      </c>
      <c r="G486" s="141">
        <f t="shared" si="10"/>
        <v>0.07840968816</v>
      </c>
      <c r="H486" s="142">
        <f t="shared" si="11"/>
        <v>0</v>
      </c>
      <c r="I486" s="142">
        <f t="shared" si="12"/>
        <v>1</v>
      </c>
      <c r="J486" s="142">
        <f t="shared" si="13"/>
        <v>0</v>
      </c>
      <c r="K486" s="142">
        <f t="shared" si="14"/>
        <v>1</v>
      </c>
      <c r="L486" s="139">
        <f>Assumptions!$C$6*Assumptions!$C$7*(1+$G486-0.05*(1-1))^1+Assumptions!$C$6*Assumptions!$C$8*(1+Assumptions!$C$11)^1+Assumptions!$C$16*1+Assumptions!$C$6*Assumptions!$C$9*(1+Assumptions!$C$12)^1</f>
        <v>752.860701</v>
      </c>
      <c r="M486" s="139">
        <f>Assumptions!$C$6*Assumptions!$C$7*(1+$G486-0.05*(1-$H486))^2+Assumptions!$C$6*Assumptions!$C$8*(1+Assumptions!$C$11)^2+Assumptions!$C$16*$H486+Assumptions!$C$6*Assumptions!$C$9*(1+Assumptions!$C$12)^2</f>
        <v>692.4624354</v>
      </c>
      <c r="N486" s="139">
        <f>Assumptions!$C$6*Assumptions!$C$7*(1+$G486-0.05*(1-$I486))^3+Assumptions!$C$6*Assumptions!$C$8*(1+Assumptions!$C$11)^3+Assumptions!$C$16*$I486+Assumptions!$C$6*Assumptions!$C$9*(1+Assumptions!$C$12)^3</f>
        <v>825.3433651</v>
      </c>
      <c r="O486" s="139">
        <f>Assumptions!$C$6*Assumptions!$C$7*(1+$G486-0.05*(1-$J486))^4+Assumptions!$C$6*Assumptions!$C$8*(1+Assumptions!$C$11)^4+Assumptions!$C$16*$J486+Assumptions!$C$6*Assumptions!$C$9*(1+Assumptions!$C$12)^4</f>
        <v>726.5704967</v>
      </c>
      <c r="P486" s="139">
        <f>Assumptions!$C$6*Assumptions!$C$7*(1+$G486-0.05*(1-$K486))^5+Assumptions!$C$6*Assumptions!$C$8*(1+Assumptions!$C$11)^5+Assumptions!$C$16*$K486+Assumptions!$C$6*Assumptions!$C$9*(1+Assumptions!$C$12)^5</f>
        <v>908.0049288</v>
      </c>
      <c r="Q486" s="139">
        <f>($L486*(1-(Assumptions!$C$25+0.06*(1-1))-Assumptions!$C$27)-Assumptions!$C$28)-MAX(0,($L486*(1-(Assumptions!$C$25+0.06*(1-1))-Assumptions!$C$27)-Assumptions!$C$28)*Assumptions!$C$31)+Assumptions!$C$28-Assumptions!$C$29-$L486*Assumptions!$C$30</f>
        <v>94.36505072</v>
      </c>
      <c r="R486" s="139">
        <f>($M486*(1-(Assumptions!$C$25+0.06*(1-$H486))-Assumptions!$C$27)-Assumptions!$C$28)-MAX(0,($M486*(1-(Assumptions!$C$25+0.06*(1-$H486))-Assumptions!$C$27)-Assumptions!$C$28)*Assumptions!$C$31)+Assumptions!$C$28-Assumptions!$C$29-$M486*Assumptions!$C$30</f>
        <v>39.26636015</v>
      </c>
      <c r="S486" s="139">
        <f>($N486*(1-(Assumptions!$C$25+0.06*(1-$I486))-Assumptions!$C$27)-Assumptions!$C$28)-MAX(0,($N486*(1-(Assumptions!$C$25+0.06*(1-$I486))-Assumptions!$C$27)-Assumptions!$C$28)*Assumptions!$C$31)+Assumptions!$C$28-Assumptions!$C$29-$N486*Assumptions!$C$30</f>
        <v>109.9488235</v>
      </c>
      <c r="T486" s="139">
        <f>($O486*(1-(Assumptions!$C$25+0.06*(1-$J486))-Assumptions!$C$27)-Assumptions!$C$28)-MAX(0,($O486*(1-(Assumptions!$C$25+0.06*(1-$J486))-Assumptions!$C$27)-Assumptions!$C$28)*Assumptions!$C$31)+Assumptions!$C$28-Assumptions!$C$29-$O486*Assumptions!$C$30</f>
        <v>47.11121424</v>
      </c>
      <c r="U486" s="139">
        <f>($P486*(1-(Assumptions!$C$25+0.06*(1-$K486))-Assumptions!$C$27)-Assumptions!$C$28)-MAX(0,($P486*(1-(Assumptions!$C$25+0.06*(1-$K486))-Assumptions!$C$27)-Assumptions!$C$28)*Assumptions!$C$31)+Assumptions!$C$28-Assumptions!$C$29-$P486*Assumptions!$C$30</f>
        <v>127.7210597</v>
      </c>
      <c r="V486" s="143">
        <f>(($Q486/(1+$D486)^1+$R486/(1+$D486)^2+$S486/(1+$D486)^3+$T486/(1+$D486)^4+$U486/(1+$D486)^5+$U486*(1+$E486)/($D486-$E486)/(1+$D486)^5)-Assumptions!$C$37)/Assumptions!$C$40/Assumptions!$C$38</f>
        <v>5.391231449</v>
      </c>
    </row>
    <row r="487" ht="12.0" customHeight="1">
      <c r="B487" s="139">
        <v>435.0</v>
      </c>
      <c r="C487" s="140">
        <f t="shared" si="6"/>
        <v>0.9020960372</v>
      </c>
      <c r="D487" s="141">
        <f t="shared" si="7"/>
        <v>0.1075889189</v>
      </c>
      <c r="E487" s="141">
        <f t="shared" si="8"/>
        <v>0.02347300233</v>
      </c>
      <c r="F487" s="140">
        <f t="shared" si="9"/>
        <v>0.7667088758</v>
      </c>
      <c r="G487" s="141">
        <f t="shared" si="10"/>
        <v>0.06950795219</v>
      </c>
      <c r="H487" s="142">
        <f t="shared" si="11"/>
        <v>0</v>
      </c>
      <c r="I487" s="142">
        <f t="shared" si="12"/>
        <v>1</v>
      </c>
      <c r="J487" s="142">
        <f t="shared" si="13"/>
        <v>0</v>
      </c>
      <c r="K487" s="142">
        <f t="shared" si="14"/>
        <v>0</v>
      </c>
      <c r="L487" s="139">
        <f>Assumptions!$C$6*Assumptions!$C$7*(1+$G487-0.05*(1-1))^1+Assumptions!$C$6*Assumptions!$C$8*(1+Assumptions!$C$11)^1+Assumptions!$C$16*1+Assumptions!$C$6*Assumptions!$C$9*(1+Assumptions!$C$12)^1</f>
        <v>749.8643767</v>
      </c>
      <c r="M487" s="139">
        <f>Assumptions!$C$6*Assumptions!$C$7*(1+$G487-0.05*(1-$H487))^2+Assumptions!$C$6*Assumptions!$C$8*(1+Assumptions!$C$11)^2+Assumptions!$C$16*$H487+Assumptions!$C$6*Assumptions!$C$9*(1+Assumptions!$C$12)^2</f>
        <v>686.32621</v>
      </c>
      <c r="N487" s="139">
        <f>Assumptions!$C$6*Assumptions!$C$7*(1+$G487-0.05*(1-$I487))^3+Assumptions!$C$6*Assumptions!$C$8*(1+Assumptions!$C$11)^3+Assumptions!$C$16*$I487+Assumptions!$C$6*Assumptions!$C$9*(1+Assumptions!$C$12)^3</f>
        <v>814.9755362</v>
      </c>
      <c r="O487" s="139">
        <f>Assumptions!$C$6*Assumptions!$C$7*(1+$G487-0.05*(1-$J487))^4+Assumptions!$C$6*Assumptions!$C$8*(1+Assumptions!$C$11)^4+Assumptions!$C$16*$J487+Assumptions!$C$6*Assumptions!$C$9*(1+Assumptions!$C$12)^4</f>
        <v>713.7026911</v>
      </c>
      <c r="P487" s="139">
        <f>Assumptions!$C$6*Assumptions!$C$7*(1+$G487-0.05*(1-$K487))^5+Assumptions!$C$6*Assumptions!$C$8*(1+Assumptions!$C$11)^5+Assumptions!$C$16*$K487+Assumptions!$C$6*Assumptions!$C$9*(1+Assumptions!$C$12)^5</f>
        <v>727.7978146</v>
      </c>
      <c r="Q487" s="139">
        <f>($L487*(1-(Assumptions!$C$25+0.06*(1-1))-Assumptions!$C$27)-Assumptions!$C$28)-MAX(0,($L487*(1-(Assumptions!$C$25+0.06*(1-1))-Assumptions!$C$27)-Assumptions!$C$28)*Assumptions!$C$31)+Assumptions!$C$28-Assumptions!$C$29-$L487*Assumptions!$C$30</f>
        <v>93.72084099</v>
      </c>
      <c r="R487" s="139">
        <f>($M487*(1-(Assumptions!$C$25+0.06*(1-$H487))-Assumptions!$C$27)-Assumptions!$C$28)-MAX(0,($M487*(1-(Assumptions!$C$25+0.06*(1-$H487))-Assumptions!$C$27)-Assumptions!$C$28)*Assumptions!$C$31)+Assumptions!$C$28-Assumptions!$C$29-$M487*Assumptions!$C$30</f>
        <v>37.85502829</v>
      </c>
      <c r="S487" s="139">
        <f>($N487*(1-(Assumptions!$C$25+0.06*(1-$I487))-Assumptions!$C$27)-Assumptions!$C$28)-MAX(0,($N487*(1-(Assumptions!$C$25+0.06*(1-$I487))-Assumptions!$C$27)-Assumptions!$C$28)*Assumptions!$C$31)+Assumptions!$C$28-Assumptions!$C$29-$N487*Assumptions!$C$30</f>
        <v>107.7197403</v>
      </c>
      <c r="T487" s="139">
        <f>($O487*(1-(Assumptions!$C$25+0.06*(1-$J487))-Assumptions!$C$27)-Assumptions!$C$28)-MAX(0,($O487*(1-(Assumptions!$C$25+0.06*(1-$J487))-Assumptions!$C$27)-Assumptions!$C$28)*Assumptions!$C$31)+Assumptions!$C$28-Assumptions!$C$29-$O487*Assumptions!$C$30</f>
        <v>44.15161895</v>
      </c>
      <c r="U487" s="139">
        <f>($P487*(1-(Assumptions!$C$25+0.06*(1-$K487))-Assumptions!$C$27)-Assumptions!$C$28)-MAX(0,($P487*(1-(Assumptions!$C$25+0.06*(1-$K487))-Assumptions!$C$27)-Assumptions!$C$28)*Assumptions!$C$31)+Assumptions!$C$28-Assumptions!$C$29-$P487*Assumptions!$C$30</f>
        <v>47.39349736</v>
      </c>
      <c r="V487" s="143">
        <f>(($Q487/(1+$D487)^1+$R487/(1+$D487)^2+$S487/(1+$D487)^3+$T487/(1+$D487)^4+$U487/(1+$D487)^5+$U487*(1+$E487)/($D487-$E487)/(1+$D487)^5)-Assumptions!$C$37)/Assumptions!$C$40/Assumptions!$C$38</f>
        <v>-0.7274550375</v>
      </c>
    </row>
    <row r="488" ht="12.0" customHeight="1">
      <c r="B488" s="139">
        <v>436.0</v>
      </c>
      <c r="C488" s="140">
        <f t="shared" si="6"/>
        <v>0.2114764824</v>
      </c>
      <c r="D488" s="141">
        <f t="shared" si="7"/>
        <v>0.0934670259</v>
      </c>
      <c r="E488" s="141">
        <f t="shared" si="8"/>
        <v>0.02796455109</v>
      </c>
      <c r="F488" s="140">
        <f t="shared" si="9"/>
        <v>0.6918227287</v>
      </c>
      <c r="G488" s="141">
        <f t="shared" si="10"/>
        <v>0.06644752479</v>
      </c>
      <c r="H488" s="142">
        <f t="shared" si="11"/>
        <v>1</v>
      </c>
      <c r="I488" s="142">
        <f t="shared" si="12"/>
        <v>0</v>
      </c>
      <c r="J488" s="142">
        <f t="shared" si="13"/>
        <v>1</v>
      </c>
      <c r="K488" s="142">
        <f t="shared" si="14"/>
        <v>1</v>
      </c>
      <c r="L488" s="139">
        <f>Assumptions!$C$6*Assumptions!$C$7*(1+$G488-0.05*(1-1))^1+Assumptions!$C$6*Assumptions!$C$8*(1+Assumptions!$C$11)^1+Assumptions!$C$16*1+Assumptions!$C$6*Assumptions!$C$9*(1+Assumptions!$C$12)^1</f>
        <v>748.8342368</v>
      </c>
      <c r="M488" s="139">
        <f>Assumptions!$C$6*Assumptions!$C$7*(1+$G488-0.05*(1-$H488))^2+Assumptions!$C$6*Assumptions!$C$8*(1+Assumptions!$C$11)^2+Assumptions!$C$16*$H488+Assumptions!$C$6*Assumptions!$C$9*(1+Assumptions!$C$12)^2</f>
        <v>779.2840148</v>
      </c>
      <c r="N488" s="139">
        <f>Assumptions!$C$6*Assumptions!$C$7*(1+$G488-0.05*(1-$I488))^3+Assumptions!$C$6*Assumptions!$C$8*(1+Assumptions!$C$11)^3+Assumptions!$C$16*$I488+Assumptions!$C$6*Assumptions!$C$9*(1+Assumptions!$C$12)^3</f>
        <v>696.6780476</v>
      </c>
      <c r="O488" s="139">
        <f>Assumptions!$C$6*Assumptions!$C$7*(1+$G488-0.05*(1-$J488))^4+Assumptions!$C$6*Assumptions!$C$8*(1+Assumptions!$C$11)^4+Assumptions!$C$16*$J488+Assumptions!$C$6*Assumptions!$C$9*(1+Assumptions!$C$12)^4</f>
        <v>845.4421685</v>
      </c>
      <c r="P488" s="139">
        <f>Assumptions!$C$6*Assumptions!$C$7*(1+$G488-0.05*(1-$K488))^5+Assumptions!$C$6*Assumptions!$C$8*(1+Assumptions!$C$11)^5+Assumptions!$C$16*$K488+Assumptions!$C$6*Assumptions!$C$9*(1+Assumptions!$C$12)^5</f>
        <v>881.3735028</v>
      </c>
      <c r="Q488" s="139">
        <f>($L488*(1-(Assumptions!$C$25+0.06*(1-1))-Assumptions!$C$27)-Assumptions!$C$28)-MAX(0,($L488*(1-(Assumptions!$C$25+0.06*(1-1))-Assumptions!$C$27)-Assumptions!$C$28)*Assumptions!$C$31)+Assumptions!$C$28-Assumptions!$C$29-$L488*Assumptions!$C$30</f>
        <v>93.49936092</v>
      </c>
      <c r="R488" s="139">
        <f>($M488*(1-(Assumptions!$C$25+0.06*(1-$H488))-Assumptions!$C$27)-Assumptions!$C$28)-MAX(0,($M488*(1-(Assumptions!$C$25+0.06*(1-$H488))-Assumptions!$C$27)-Assumptions!$C$28)*Assumptions!$C$31)+Assumptions!$C$28-Assumptions!$C$29-$M488*Assumptions!$C$30</f>
        <v>100.0460632</v>
      </c>
      <c r="S488" s="139">
        <f>($N488*(1-(Assumptions!$C$25+0.06*(1-$I488))-Assumptions!$C$27)-Assumptions!$C$28)-MAX(0,($N488*(1-(Assumptions!$C$25+0.06*(1-$I488))-Assumptions!$C$27)-Assumptions!$C$28)*Assumptions!$C$31)+Assumptions!$C$28-Assumptions!$C$29-$N488*Assumptions!$C$30</f>
        <v>40.23595094</v>
      </c>
      <c r="T488" s="139">
        <f>($O488*(1-(Assumptions!$C$25+0.06*(1-$J488))-Assumptions!$C$27)-Assumptions!$C$28)-MAX(0,($O488*(1-(Assumptions!$C$25+0.06*(1-$J488))-Assumptions!$C$27)-Assumptions!$C$28)*Assumptions!$C$31)+Assumptions!$C$28-Assumptions!$C$29-$O488*Assumptions!$C$30</f>
        <v>114.2700662</v>
      </c>
      <c r="U488" s="139">
        <f>($P488*(1-(Assumptions!$C$25+0.06*(1-$K488))-Assumptions!$C$27)-Assumptions!$C$28)-MAX(0,($P488*(1-(Assumptions!$C$25+0.06*(1-$K488))-Assumptions!$C$27)-Assumptions!$C$28)*Assumptions!$C$31)+Assumptions!$C$28-Assumptions!$C$29-$P488*Assumptions!$C$30</f>
        <v>121.9953031</v>
      </c>
      <c r="V488" s="143">
        <f>(($Q488/(1+$D488)^1+$R488/(1+$D488)^2+$S488/(1+$D488)^3+$T488/(1+$D488)^4+$U488/(1+$D488)^5+$U488*(1+$E488)/($D488-$E488)/(1+$D488)^5)-Assumptions!$C$37)/Assumptions!$C$40/Assumptions!$C$38</f>
        <v>6.95286772</v>
      </c>
    </row>
    <row r="489" ht="12.0" customHeight="1">
      <c r="B489" s="139">
        <v>437.0</v>
      </c>
      <c r="C489" s="140">
        <f t="shared" si="6"/>
        <v>0.8846346497</v>
      </c>
      <c r="D489" s="141">
        <f t="shared" si="7"/>
        <v>0.1069551282</v>
      </c>
      <c r="E489" s="141">
        <f t="shared" si="8"/>
        <v>0.02494283328</v>
      </c>
      <c r="F489" s="140">
        <f t="shared" si="9"/>
        <v>0.744752566</v>
      </c>
      <c r="G489" s="141">
        <f t="shared" si="10"/>
        <v>0.06856532293</v>
      </c>
      <c r="H489" s="142">
        <f t="shared" si="11"/>
        <v>1</v>
      </c>
      <c r="I489" s="142">
        <f t="shared" si="12"/>
        <v>1</v>
      </c>
      <c r="J489" s="142">
        <f t="shared" si="13"/>
        <v>0</v>
      </c>
      <c r="K489" s="142">
        <f t="shared" si="14"/>
        <v>0</v>
      </c>
      <c r="L489" s="139">
        <f>Assumptions!$C$6*Assumptions!$C$7*(1+$G489-0.05*(1-1))^1+Assumptions!$C$6*Assumptions!$C$8*(1+Assumptions!$C$11)^1+Assumptions!$C$16*1+Assumptions!$C$6*Assumptions!$C$9*(1+Assumptions!$C$12)^1</f>
        <v>749.5470877</v>
      </c>
      <c r="M489" s="139">
        <f>Assumptions!$C$6*Assumptions!$C$7*(1+$G489-0.05*(1-$H489))^2+Assumptions!$C$6*Assumptions!$C$8*(1+Assumptions!$C$11)^2+Assumptions!$C$16*$H489+Assumptions!$C$6*Assumptions!$C$9*(1+Assumptions!$C$12)^2</f>
        <v>780.8059605</v>
      </c>
      <c r="N489" s="139">
        <f>Assumptions!$C$6*Assumptions!$C$7*(1+$G489-0.05*(1-$I489))^3+Assumptions!$C$6*Assumptions!$C$8*(1+Assumptions!$C$11)^3+Assumptions!$C$16*$I489+Assumptions!$C$6*Assumptions!$C$9*(1+Assumptions!$C$12)^3</f>
        <v>813.8877051</v>
      </c>
      <c r="O489" s="139">
        <f>Assumptions!$C$6*Assumptions!$C$7*(1+$G489-0.05*(1-$J489))^4+Assumptions!$C$6*Assumptions!$C$8*(1+Assumptions!$C$11)^4+Assumptions!$C$16*$J489+Assumptions!$C$6*Assumptions!$C$9*(1+Assumptions!$C$12)^4</f>
        <v>712.3596648</v>
      </c>
      <c r="P489" s="139">
        <f>Assumptions!$C$6*Assumptions!$C$7*(1+$G489-0.05*(1-$K489))^5+Assumptions!$C$6*Assumptions!$C$8*(1+Assumptions!$C$11)^5+Assumptions!$C$16*$K489+Assumptions!$C$6*Assumptions!$C$9*(1+Assumptions!$C$12)^5</f>
        <v>726.087073</v>
      </c>
      <c r="Q489" s="139">
        <f>($L489*(1-(Assumptions!$C$25+0.06*(1-1))-Assumptions!$C$27)-Assumptions!$C$28)-MAX(0,($L489*(1-(Assumptions!$C$25+0.06*(1-1))-Assumptions!$C$27)-Assumptions!$C$28)*Assumptions!$C$31)+Assumptions!$C$28-Assumptions!$C$29-$L489*Assumptions!$C$30</f>
        <v>93.65262386</v>
      </c>
      <c r="R489" s="139">
        <f>($M489*(1-(Assumptions!$C$25+0.06*(1-$H489))-Assumptions!$C$27)-Assumptions!$C$28)-MAX(0,($M489*(1-(Assumptions!$C$25+0.06*(1-$H489))-Assumptions!$C$27)-Assumptions!$C$28)*Assumptions!$C$31)+Assumptions!$C$28-Assumptions!$C$29-$M489*Assumptions!$C$30</f>
        <v>100.3732815</v>
      </c>
      <c r="S489" s="139">
        <f>($N489*(1-(Assumptions!$C$25+0.06*(1-$I489))-Assumptions!$C$27)-Assumptions!$C$28)-MAX(0,($N489*(1-(Assumptions!$C$25+0.06*(1-$I489))-Assumptions!$C$27)-Assumptions!$C$28)*Assumptions!$C$31)+Assumptions!$C$28-Assumptions!$C$29-$N489*Assumptions!$C$30</f>
        <v>107.4858566</v>
      </c>
      <c r="T489" s="139">
        <f>($O489*(1-(Assumptions!$C$25+0.06*(1-$J489))-Assumptions!$C$27)-Assumptions!$C$28)-MAX(0,($O489*(1-(Assumptions!$C$25+0.06*(1-$J489))-Assumptions!$C$27)-Assumptions!$C$28)*Assumptions!$C$31)+Assumptions!$C$28-Assumptions!$C$29-$O489*Assumptions!$C$30</f>
        <v>43.84272291</v>
      </c>
      <c r="U489" s="139">
        <f>($P489*(1-(Assumptions!$C$25+0.06*(1-$K489))-Assumptions!$C$27)-Assumptions!$C$28)-MAX(0,($P489*(1-(Assumptions!$C$25+0.06*(1-$K489))-Assumptions!$C$27)-Assumptions!$C$28)*Assumptions!$C$31)+Assumptions!$C$28-Assumptions!$C$29-$P489*Assumptions!$C$30</f>
        <v>47.0000268</v>
      </c>
      <c r="V489" s="143">
        <f>(($Q489/(1+$D489)^1+$R489/(1+$D489)^2+$S489/(1+$D489)^3+$T489/(1+$D489)^4+$U489/(1+$D489)^5+$U489*(1+$E489)/($D489-$E489)/(1+$D489)^5)-Assumptions!$C$37)/Assumptions!$C$40/Assumptions!$C$38</f>
        <v>-0.2736052931</v>
      </c>
    </row>
    <row r="490" ht="12.0" customHeight="1">
      <c r="B490" s="139">
        <v>438.0</v>
      </c>
      <c r="C490" s="140">
        <f t="shared" si="6"/>
        <v>0.952915779</v>
      </c>
      <c r="D490" s="141">
        <f t="shared" si="7"/>
        <v>0.1098605207</v>
      </c>
      <c r="E490" s="141">
        <f t="shared" si="8"/>
        <v>0.02501964515</v>
      </c>
      <c r="F490" s="140">
        <f t="shared" si="9"/>
        <v>0.6902323081</v>
      </c>
      <c r="G490" s="141">
        <f t="shared" si="10"/>
        <v>0.06638682898</v>
      </c>
      <c r="H490" s="142">
        <f t="shared" si="11"/>
        <v>1</v>
      </c>
      <c r="I490" s="142">
        <f t="shared" si="12"/>
        <v>1</v>
      </c>
      <c r="J490" s="142">
        <f t="shared" si="13"/>
        <v>1</v>
      </c>
      <c r="K490" s="142">
        <f t="shared" si="14"/>
        <v>0</v>
      </c>
      <c r="L490" s="139">
        <f>Assumptions!$C$6*Assumptions!$C$7*(1+$G490-0.05*(1-1))^1+Assumptions!$C$6*Assumptions!$C$8*(1+Assumptions!$C$11)^1+Assumptions!$C$16*1+Assumptions!$C$6*Assumptions!$C$9*(1+Assumptions!$C$12)^1</f>
        <v>748.8138066</v>
      </c>
      <c r="M490" s="139">
        <f>Assumptions!$C$6*Assumptions!$C$7*(1+$G490-0.05*(1-$H490))^2+Assumptions!$C$6*Assumptions!$C$8*(1+Assumptions!$C$11)^2+Assumptions!$C$16*$H490+Assumptions!$C$6*Assumptions!$C$9*(1+Assumptions!$C$12)^2</f>
        <v>779.2404405</v>
      </c>
      <c r="N490" s="139">
        <f>Assumptions!$C$6*Assumptions!$C$7*(1+$G490-0.05*(1-$I490))^3+Assumptions!$C$6*Assumptions!$C$8*(1+Assumptions!$C$11)^3+Assumptions!$C$16*$I490+Assumptions!$C$6*Assumptions!$C$9*(1+Assumptions!$C$12)^3</f>
        <v>811.3809715</v>
      </c>
      <c r="O490" s="139">
        <f>Assumptions!$C$6*Assumptions!$C$7*(1+$G490-0.05*(1-$J490))^4+Assumptions!$C$6*Assumptions!$C$8*(1+Assumptions!$C$11)^4+Assumptions!$C$16*$J490+Assumptions!$C$6*Assumptions!$C$9*(1+Assumptions!$C$12)^4</f>
        <v>845.3430592</v>
      </c>
      <c r="P490" s="139">
        <f>Assumptions!$C$6*Assumptions!$C$7*(1+$G490-0.05*(1-$K490))^5+Assumptions!$C$6*Assumptions!$C$8*(1+Assumptions!$C$11)^5+Assumptions!$C$16*$K490+Assumptions!$C$6*Assumptions!$C$9*(1+Assumptions!$C$12)^5</f>
        <v>722.157564</v>
      </c>
      <c r="Q490" s="139">
        <f>($L490*(1-(Assumptions!$C$25+0.06*(1-1))-Assumptions!$C$27)-Assumptions!$C$28)-MAX(0,($L490*(1-(Assumptions!$C$25+0.06*(1-1))-Assumptions!$C$27)-Assumptions!$C$28)*Assumptions!$C$31)+Assumptions!$C$28-Assumptions!$C$29-$L490*Assumptions!$C$30</f>
        <v>93.49496843</v>
      </c>
      <c r="R490" s="139">
        <f>($M490*(1-(Assumptions!$C$25+0.06*(1-$H490))-Assumptions!$C$27)-Assumptions!$C$28)-MAX(0,($M490*(1-(Assumptions!$C$25+0.06*(1-$H490))-Assumptions!$C$27)-Assumptions!$C$28)*Assumptions!$C$31)+Assumptions!$C$28-Assumptions!$C$29-$M490*Assumptions!$C$30</f>
        <v>100.0366947</v>
      </c>
      <c r="S490" s="139">
        <f>($N490*(1-(Assumptions!$C$25+0.06*(1-$I490))-Assumptions!$C$27)-Assumptions!$C$28)-MAX(0,($N490*(1-(Assumptions!$C$25+0.06*(1-$I490))-Assumptions!$C$27)-Assumptions!$C$28)*Assumptions!$C$31)+Assumptions!$C$28-Assumptions!$C$29-$N490*Assumptions!$C$30</f>
        <v>106.9469089</v>
      </c>
      <c r="T490" s="139">
        <f>($O490*(1-(Assumptions!$C$25+0.06*(1-$J490))-Assumptions!$C$27)-Assumptions!$C$28)-MAX(0,($O490*(1-(Assumptions!$C$25+0.06*(1-$J490))-Assumptions!$C$27)-Assumptions!$C$28)*Assumptions!$C$31)+Assumptions!$C$28-Assumptions!$C$29-$O490*Assumptions!$C$30</f>
        <v>114.2487577</v>
      </c>
      <c r="U490" s="139">
        <f>($P490*(1-(Assumptions!$C$25+0.06*(1-$K490))-Assumptions!$C$27)-Assumptions!$C$28)-MAX(0,($P490*(1-(Assumptions!$C$25+0.06*(1-$K490))-Assumptions!$C$27)-Assumptions!$C$28)*Assumptions!$C$31)+Assumptions!$C$28-Assumptions!$C$29-$P490*Assumptions!$C$30</f>
        <v>46.09623972</v>
      </c>
      <c r="V490" s="143">
        <f>(($Q490/(1+$D490)^1+$R490/(1+$D490)^2+$S490/(1+$D490)^3+$T490/(1+$D490)^4+$U490/(1+$D490)^5+$U490*(1+$E490)/($D490-$E490)/(1+$D490)^5)-Assumptions!$C$37)/Assumptions!$C$40/Assumptions!$C$38</f>
        <v>-0.1142234457</v>
      </c>
    </row>
    <row r="491" ht="12.0" customHeight="1">
      <c r="B491" s="139">
        <v>439.0</v>
      </c>
      <c r="C491" s="140">
        <f t="shared" si="6"/>
        <v>0.9524132931</v>
      </c>
      <c r="D491" s="141">
        <f t="shared" si="7"/>
        <v>0.109833169</v>
      </c>
      <c r="E491" s="141">
        <f t="shared" si="8"/>
        <v>0.01134194701</v>
      </c>
      <c r="F491" s="140">
        <f t="shared" si="9"/>
        <v>0.4666548098</v>
      </c>
      <c r="G491" s="141">
        <f t="shared" si="10"/>
        <v>0.0589823853</v>
      </c>
      <c r="H491" s="142">
        <f t="shared" si="11"/>
        <v>0</v>
      </c>
      <c r="I491" s="142">
        <f t="shared" si="12"/>
        <v>1</v>
      </c>
      <c r="J491" s="142">
        <f t="shared" si="13"/>
        <v>1</v>
      </c>
      <c r="K491" s="142">
        <f t="shared" si="14"/>
        <v>1</v>
      </c>
      <c r="L491" s="139">
        <f>Assumptions!$C$6*Assumptions!$C$7*(1+$G491-0.05*(1-1))^1+Assumptions!$C$6*Assumptions!$C$8*(1+Assumptions!$C$11)^1+Assumptions!$C$16*1+Assumptions!$C$6*Assumptions!$C$9*(1+Assumptions!$C$12)^1</f>
        <v>746.3214709</v>
      </c>
      <c r="M491" s="139">
        <f>Assumptions!$C$6*Assumptions!$C$7*(1+$G491-0.05*(1-$H491))^2+Assumptions!$C$6*Assumptions!$C$8*(1+Assumptions!$C$11)^2+Assumptions!$C$16*$H491+Assumptions!$C$6*Assumptions!$C$9*(1+Assumptions!$C$12)^2</f>
        <v>679.1394598</v>
      </c>
      <c r="N491" s="139">
        <f>Assumptions!$C$6*Assumptions!$C$7*(1+$G491-0.05*(1-$I491))^3+Assumptions!$C$6*Assumptions!$C$8*(1+Assumptions!$C$11)^3+Assumptions!$C$16*$I491+Assumptions!$C$6*Assumptions!$C$9*(1+Assumptions!$C$12)^3</f>
        <v>802.9371638</v>
      </c>
      <c r="O491" s="139">
        <f>Assumptions!$C$6*Assumptions!$C$7*(1+$G491-0.05*(1-$J491))^4+Assumptions!$C$6*Assumptions!$C$8*(1+Assumptions!$C$11)^4+Assumptions!$C$16*$J491+Assumptions!$C$6*Assumptions!$C$9*(1+Assumptions!$C$12)^4</f>
        <v>833.3788231</v>
      </c>
      <c r="P491" s="139">
        <f>Assumptions!$C$6*Assumptions!$C$7*(1+$G491-0.05*(1-$K491))^5+Assumptions!$C$6*Assumptions!$C$8*(1+Assumptions!$C$11)^5+Assumptions!$C$16*$K491+Assumptions!$C$6*Assumptions!$C$9*(1+Assumptions!$C$12)^5</f>
        <v>865.3484331</v>
      </c>
      <c r="Q491" s="139">
        <f>($L491*(1-(Assumptions!$C$25+0.06*(1-1))-Assumptions!$C$27)-Assumptions!$C$28)-MAX(0,($L491*(1-(Assumptions!$C$25+0.06*(1-1))-Assumptions!$C$27)-Assumptions!$C$28)*Assumptions!$C$31)+Assumptions!$C$28-Assumptions!$C$29-$L491*Assumptions!$C$30</f>
        <v>92.95911624</v>
      </c>
      <c r="R491" s="139">
        <f>($M491*(1-(Assumptions!$C$25+0.06*(1-$H491))-Assumptions!$C$27)-Assumptions!$C$28)-MAX(0,($M491*(1-(Assumptions!$C$25+0.06*(1-$H491))-Assumptions!$C$27)-Assumptions!$C$28)*Assumptions!$C$31)+Assumptions!$C$28-Assumptions!$C$29-$M491*Assumptions!$C$30</f>
        <v>36.20207575</v>
      </c>
      <c r="S491" s="139">
        <f>($N491*(1-(Assumptions!$C$25+0.06*(1-$I491))-Assumptions!$C$27)-Assumptions!$C$28)-MAX(0,($N491*(1-(Assumptions!$C$25+0.06*(1-$I491))-Assumptions!$C$27)-Assumptions!$C$28)*Assumptions!$C$31)+Assumptions!$C$28-Assumptions!$C$29-$N491*Assumptions!$C$30</f>
        <v>105.1314902</v>
      </c>
      <c r="T491" s="139">
        <f>($O491*(1-(Assumptions!$C$25+0.06*(1-$J491))-Assumptions!$C$27)-Assumptions!$C$28)-MAX(0,($O491*(1-(Assumptions!$C$25+0.06*(1-$J491))-Assumptions!$C$27)-Assumptions!$C$28)*Assumptions!$C$31)+Assumptions!$C$28-Assumptions!$C$29-$O491*Assumptions!$C$30</f>
        <v>111.676447</v>
      </c>
      <c r="U491" s="139">
        <f>($P491*(1-(Assumptions!$C$25+0.06*(1-$K491))-Assumptions!$C$27)-Assumptions!$C$28)-MAX(0,($P491*(1-(Assumptions!$C$25+0.06*(1-$K491))-Assumptions!$C$27)-Assumptions!$C$28)*Assumptions!$C$31)+Assumptions!$C$28-Assumptions!$C$29-$P491*Assumptions!$C$30</f>
        <v>118.5499131</v>
      </c>
      <c r="V491" s="143">
        <f>(($Q491/(1+$D491)^1+$R491/(1+$D491)^2+$S491/(1+$D491)^3+$T491/(1+$D491)^4+$U491/(1+$D491)^5+$U491*(1+$E491)/($D491-$E491)/(1+$D491)^5)-Assumptions!$C$37)/Assumptions!$C$40/Assumptions!$C$38</f>
        <v>2.851025861</v>
      </c>
    </row>
    <row r="492" ht="12.0" customHeight="1">
      <c r="B492" s="139">
        <v>440.0</v>
      </c>
      <c r="C492" s="140">
        <f t="shared" si="6"/>
        <v>0.4974361803</v>
      </c>
      <c r="D492" s="141">
        <f t="shared" si="7"/>
        <v>0.09820898148</v>
      </c>
      <c r="E492" s="141">
        <f t="shared" si="8"/>
        <v>0.01580581539</v>
      </c>
      <c r="F492" s="140">
        <f t="shared" si="9"/>
        <v>0.9864474011</v>
      </c>
      <c r="G492" s="141">
        <f t="shared" si="10"/>
        <v>0.08506090312</v>
      </c>
      <c r="H492" s="142">
        <f t="shared" si="11"/>
        <v>0</v>
      </c>
      <c r="I492" s="142">
        <f t="shared" si="12"/>
        <v>1</v>
      </c>
      <c r="J492" s="142">
        <f t="shared" si="13"/>
        <v>0</v>
      </c>
      <c r="K492" s="142">
        <f t="shared" si="14"/>
        <v>0</v>
      </c>
      <c r="L492" s="139">
        <f>Assumptions!$C$6*Assumptions!$C$7*(1+$G492-0.05*(1-1))^1+Assumptions!$C$6*Assumptions!$C$8*(1+Assumptions!$C$11)^1+Assumptions!$C$16*1+Assumptions!$C$6*Assumptions!$C$9*(1+Assumptions!$C$12)^1</f>
        <v>755.0995</v>
      </c>
      <c r="M492" s="139">
        <f>Assumptions!$C$6*Assumptions!$C$7*(1+$G492-0.05*(1-$H492))^2+Assumptions!$C$6*Assumptions!$C$8*(1+Assumptions!$C$11)^2+Assumptions!$C$16*$H492+Assumptions!$C$6*Assumptions!$C$9*(1+Assumptions!$C$12)^2</f>
        <v>697.0821312</v>
      </c>
      <c r="N492" s="139">
        <f>Assumptions!$C$6*Assumptions!$C$7*(1+$G492-0.05*(1-$I492))^3+Assumptions!$C$6*Assumptions!$C$8*(1+Assumptions!$C$11)^3+Assumptions!$C$16*$I492+Assumptions!$C$6*Assumptions!$C$9*(1+Assumptions!$C$12)^3</f>
        <v>833.20259</v>
      </c>
      <c r="O492" s="139">
        <f>Assumptions!$C$6*Assumptions!$C$7*(1+$G492-0.05*(1-$J492))^4+Assumptions!$C$6*Assumptions!$C$8*(1+Assumptions!$C$11)^4+Assumptions!$C$16*$J492+Assumptions!$C$6*Assumptions!$C$9*(1+Assumptions!$C$12)^4</f>
        <v>736.4057254</v>
      </c>
      <c r="P492" s="139">
        <f>Assumptions!$C$6*Assumptions!$C$7*(1+$G492-0.05*(1-$K492))^5+Assumptions!$C$6*Assumptions!$C$8*(1+Assumptions!$C$11)^5+Assumptions!$C$16*$K492+Assumptions!$C$6*Assumptions!$C$9*(1+Assumptions!$C$12)^5</f>
        <v>756.9525771</v>
      </c>
      <c r="Q492" s="139">
        <f>($L492*(1-(Assumptions!$C$25+0.06*(1-1))-Assumptions!$C$27)-Assumptions!$C$28)-MAX(0,($L492*(1-(Assumptions!$C$25+0.06*(1-1))-Assumptions!$C$27)-Assumptions!$C$28)*Assumptions!$C$31)+Assumptions!$C$28-Assumptions!$C$29-$L492*Assumptions!$C$30</f>
        <v>94.8463925</v>
      </c>
      <c r="R492" s="139">
        <f>($M492*(1-(Assumptions!$C$25+0.06*(1-$H492))-Assumptions!$C$27)-Assumptions!$C$28)-MAX(0,($M492*(1-(Assumptions!$C$25+0.06*(1-$H492))-Assumptions!$C$27)-Assumptions!$C$28)*Assumptions!$C$31)+Assumptions!$C$28-Assumptions!$C$29-$M492*Assumptions!$C$30</f>
        <v>40.32889018</v>
      </c>
      <c r="S492" s="139">
        <f>($N492*(1-(Assumptions!$C$25+0.06*(1-$I492))-Assumptions!$C$27)-Assumptions!$C$28)-MAX(0,($N492*(1-(Assumptions!$C$25+0.06*(1-$I492))-Assumptions!$C$27)-Assumptions!$C$28)*Assumptions!$C$31)+Assumptions!$C$28-Assumptions!$C$29-$N492*Assumptions!$C$30</f>
        <v>111.6385569</v>
      </c>
      <c r="T492" s="139">
        <f>($O492*(1-(Assumptions!$C$25+0.06*(1-$J492))-Assumptions!$C$27)-Assumptions!$C$28)-MAX(0,($O492*(1-(Assumptions!$C$25+0.06*(1-$J492))-Assumptions!$C$27)-Assumptions!$C$28)*Assumptions!$C$31)+Assumptions!$C$28-Assumptions!$C$29-$O492*Assumptions!$C$30</f>
        <v>49.37331684</v>
      </c>
      <c r="U492" s="139">
        <f>($P492*(1-(Assumptions!$C$25+0.06*(1-$K492))-Assumptions!$C$27)-Assumptions!$C$28)-MAX(0,($P492*(1-(Assumptions!$C$25+0.06*(1-$K492))-Assumptions!$C$27)-Assumptions!$C$28)*Assumptions!$C$31)+Assumptions!$C$28-Assumptions!$C$29-$P492*Assumptions!$C$30</f>
        <v>54.09909274</v>
      </c>
      <c r="V492" s="143">
        <f>(($Q492/(1+$D492)^1+$R492/(1+$D492)^2+$S492/(1+$D492)^3+$T492/(1+$D492)^4+$U492/(1+$D492)^5+$U492*(1+$E492)/($D492-$E492)/(1+$D492)^5)-Assumptions!$C$37)/Assumptions!$C$40/Assumptions!$C$38</f>
        <v>-0.01814140936</v>
      </c>
    </row>
    <row r="493" ht="12.0" customHeight="1">
      <c r="B493" s="139">
        <v>441.0</v>
      </c>
      <c r="C493" s="140">
        <f t="shared" si="6"/>
        <v>0.6856408167</v>
      </c>
      <c r="D493" s="141">
        <f t="shared" si="7"/>
        <v>0.1017201091</v>
      </c>
      <c r="E493" s="141">
        <f t="shared" si="8"/>
        <v>0.02802018329</v>
      </c>
      <c r="F493" s="140">
        <f t="shared" si="9"/>
        <v>0.650499359</v>
      </c>
      <c r="G493" s="141">
        <f t="shared" si="10"/>
        <v>0.06491811104</v>
      </c>
      <c r="H493" s="142">
        <f t="shared" si="11"/>
        <v>1</v>
      </c>
      <c r="I493" s="142">
        <f t="shared" si="12"/>
        <v>0</v>
      </c>
      <c r="J493" s="142">
        <f t="shared" si="13"/>
        <v>0</v>
      </c>
      <c r="K493" s="142">
        <f t="shared" si="14"/>
        <v>1</v>
      </c>
      <c r="L493" s="139">
        <f>Assumptions!$C$6*Assumptions!$C$7*(1+$G493-0.05*(1-1))^1+Assumptions!$C$6*Assumptions!$C$8*(1+Assumptions!$C$11)^1+Assumptions!$C$16*1+Assumptions!$C$6*Assumptions!$C$9*(1+Assumptions!$C$12)^1</f>
        <v>748.3194362</v>
      </c>
      <c r="M493" s="139">
        <f>Assumptions!$C$6*Assumptions!$C$7*(1+$G493-0.05*(1-$H493))^2+Assumptions!$C$6*Assumptions!$C$8*(1+Assumptions!$C$11)^2+Assumptions!$C$16*$H493+Assumptions!$C$6*Assumptions!$C$9*(1+Assumptions!$C$12)^2</f>
        <v>778.1867863</v>
      </c>
      <c r="N493" s="139">
        <f>Assumptions!$C$6*Assumptions!$C$7*(1+$G493-0.05*(1-$I493))^3+Assumptions!$C$6*Assumptions!$C$8*(1+Assumptions!$C$11)^3+Assumptions!$C$16*$I493+Assumptions!$C$6*Assumptions!$C$9*(1+Assumptions!$C$12)^3</f>
        <v>695.0848243</v>
      </c>
      <c r="O493" s="139">
        <f>Assumptions!$C$6*Assumptions!$C$7*(1+$G493-0.05*(1-$J493))^4+Assumptions!$C$6*Assumptions!$C$8*(1+Assumptions!$C$11)^4+Assumptions!$C$16*$J493+Assumptions!$C$6*Assumptions!$C$9*(1+Assumptions!$C$12)^4</f>
        <v>707.1982541</v>
      </c>
      <c r="P493" s="139">
        <f>Assumptions!$C$6*Assumptions!$C$7*(1+$G493-0.05*(1-$K493))^5+Assumptions!$C$6*Assumptions!$C$8*(1+Assumptions!$C$11)^5+Assumptions!$C$16*$K493+Assumptions!$C$6*Assumptions!$C$9*(1+Assumptions!$C$12)^5</f>
        <v>878.0536303</v>
      </c>
      <c r="Q493" s="139">
        <f>($L493*(1-(Assumptions!$C$25+0.06*(1-1))-Assumptions!$C$27)-Assumptions!$C$28)-MAX(0,($L493*(1-(Assumptions!$C$25+0.06*(1-1))-Assumptions!$C$27)-Assumptions!$C$28)*Assumptions!$C$31)+Assumptions!$C$28-Assumptions!$C$29-$L493*Assumptions!$C$30</f>
        <v>93.38867878</v>
      </c>
      <c r="R493" s="139">
        <f>($M493*(1-(Assumptions!$C$25+0.06*(1-$H493))-Assumptions!$C$27)-Assumptions!$C$28)-MAX(0,($M493*(1-(Assumptions!$C$25+0.06*(1-$H493))-Assumptions!$C$27)-Assumptions!$C$28)*Assumptions!$C$31)+Assumptions!$C$28-Assumptions!$C$29-$M493*Assumptions!$C$30</f>
        <v>99.81015906</v>
      </c>
      <c r="S493" s="139">
        <f>($N493*(1-(Assumptions!$C$25+0.06*(1-$I493))-Assumptions!$C$27)-Assumptions!$C$28)-MAX(0,($N493*(1-(Assumptions!$C$25+0.06*(1-$I493))-Assumptions!$C$27)-Assumptions!$C$28)*Assumptions!$C$31)+Assumptions!$C$28-Assumptions!$C$29-$N493*Assumptions!$C$30</f>
        <v>39.86950958</v>
      </c>
      <c r="T493" s="139">
        <f>($O493*(1-(Assumptions!$C$25+0.06*(1-$J493))-Assumptions!$C$27)-Assumptions!$C$28)-MAX(0,($O493*(1-(Assumptions!$C$25+0.06*(1-$J493))-Assumptions!$C$27)-Assumptions!$C$28)*Assumptions!$C$31)+Assumptions!$C$28-Assumptions!$C$29-$O493*Assumptions!$C$30</f>
        <v>42.65559843</v>
      </c>
      <c r="U493" s="139">
        <f>($P493*(1-(Assumptions!$C$25+0.06*(1-$K493))-Assumptions!$C$27)-Assumptions!$C$28)-MAX(0,($P493*(1-(Assumptions!$C$25+0.06*(1-$K493))-Assumptions!$C$27)-Assumptions!$C$28)*Assumptions!$C$31)+Assumptions!$C$28-Assumptions!$C$29-$P493*Assumptions!$C$30</f>
        <v>121.2815305</v>
      </c>
      <c r="V493" s="143">
        <f>(($Q493/(1+$D493)^1+$R493/(1+$D493)^2+$S493/(1+$D493)^3+$T493/(1+$D493)^4+$U493/(1+$D493)^5+$U493*(1+$E493)/($D493-$E493)/(1+$D493)^5)-Assumptions!$C$37)/Assumptions!$C$40/Assumptions!$C$38</f>
        <v>5.080665527</v>
      </c>
    </row>
    <row r="494" ht="12.0" customHeight="1">
      <c r="B494" s="139">
        <v>442.0</v>
      </c>
      <c r="C494" s="140">
        <f t="shared" si="6"/>
        <v>0.4101932362</v>
      </c>
      <c r="D494" s="141">
        <f t="shared" si="7"/>
        <v>0.09680984897</v>
      </c>
      <c r="E494" s="141">
        <f t="shared" si="8"/>
        <v>0.02724332822</v>
      </c>
      <c r="F494" s="140">
        <f t="shared" si="9"/>
        <v>0.7686659161</v>
      </c>
      <c r="G494" s="141">
        <f t="shared" si="10"/>
        <v>0.06959408539</v>
      </c>
      <c r="H494" s="142">
        <f t="shared" si="11"/>
        <v>1</v>
      </c>
      <c r="I494" s="142">
        <f t="shared" si="12"/>
        <v>1</v>
      </c>
      <c r="J494" s="142">
        <f t="shared" si="13"/>
        <v>1</v>
      </c>
      <c r="K494" s="142">
        <f t="shared" si="14"/>
        <v>1</v>
      </c>
      <c r="L494" s="139">
        <f>Assumptions!$C$6*Assumptions!$C$7*(1+$G494-0.05*(1-1))^1+Assumptions!$C$6*Assumptions!$C$8*(1+Assumptions!$C$11)^1+Assumptions!$C$16*1+Assumptions!$C$6*Assumptions!$C$9*(1+Assumptions!$C$12)^1</f>
        <v>749.8933691</v>
      </c>
      <c r="M494" s="139">
        <f>Assumptions!$C$6*Assumptions!$C$7*(1+$G494-0.05*(1-$H494))^2+Assumptions!$C$6*Assumptions!$C$8*(1+Assumptions!$C$11)^2+Assumptions!$C$16*$H494+Assumptions!$C$6*Assumptions!$C$9*(1+Assumptions!$C$12)^2</f>
        <v>781.5463654</v>
      </c>
      <c r="N494" s="139">
        <f>Assumptions!$C$6*Assumptions!$C$7*(1+$G494-0.05*(1-$I494))^3+Assumptions!$C$6*Assumptions!$C$8*(1+Assumptions!$C$11)^3+Assumptions!$C$16*$I494+Assumptions!$C$6*Assumptions!$C$9*(1+Assumptions!$C$12)^3</f>
        <v>815.075033</v>
      </c>
      <c r="O494" s="139">
        <f>Assumptions!$C$6*Assumptions!$C$7*(1+$G494-0.05*(1-$J494))^4+Assumptions!$C$6*Assumptions!$C$8*(1+Assumptions!$C$11)^4+Assumptions!$C$16*$J494+Assumptions!$C$6*Assumptions!$C$9*(1+Assumptions!$C$12)^4</f>
        <v>850.6033637</v>
      </c>
      <c r="P494" s="139">
        <f>Assumptions!$C$6*Assumptions!$C$7*(1+$G494-0.05*(1-$K494))^5+Assumptions!$C$6*Assumptions!$C$8*(1+Assumptions!$C$11)^5+Assumptions!$C$16*$K494+Assumptions!$C$6*Assumptions!$C$9*(1+Assumptions!$C$12)^5</f>
        <v>888.2638475</v>
      </c>
      <c r="Q494" s="139">
        <f>($L494*(1-(Assumptions!$C$25+0.06*(1-1))-Assumptions!$C$27)-Assumptions!$C$28)-MAX(0,($L494*(1-(Assumptions!$C$25+0.06*(1-1))-Assumptions!$C$27)-Assumptions!$C$28)*Assumptions!$C$31)+Assumptions!$C$28-Assumptions!$C$29-$L494*Assumptions!$C$30</f>
        <v>93.72707437</v>
      </c>
      <c r="R494" s="139">
        <f>($M494*(1-(Assumptions!$C$25+0.06*(1-$H494))-Assumptions!$C$27)-Assumptions!$C$28)-MAX(0,($M494*(1-(Assumptions!$C$25+0.06*(1-$H494))-Assumptions!$C$27)-Assumptions!$C$28)*Assumptions!$C$31)+Assumptions!$C$28-Assumptions!$C$29-$M494*Assumptions!$C$30</f>
        <v>100.5324686</v>
      </c>
      <c r="S494" s="139">
        <f>($N494*(1-(Assumptions!$C$25+0.06*(1-$I494))-Assumptions!$C$27)-Assumptions!$C$28)-MAX(0,($N494*(1-(Assumptions!$C$25+0.06*(1-$I494))-Assumptions!$C$27)-Assumptions!$C$28)*Assumptions!$C$31)+Assumptions!$C$28-Assumptions!$C$29-$N494*Assumptions!$C$30</f>
        <v>107.7411321</v>
      </c>
      <c r="T494" s="139">
        <f>($O494*(1-(Assumptions!$C$25+0.06*(1-$J494))-Assumptions!$C$27)-Assumptions!$C$28)-MAX(0,($O494*(1-(Assumptions!$C$25+0.06*(1-$J494))-Assumptions!$C$27)-Assumptions!$C$28)*Assumptions!$C$31)+Assumptions!$C$28-Assumptions!$C$29-$O494*Assumptions!$C$30</f>
        <v>115.3797232</v>
      </c>
      <c r="U494" s="139">
        <f>($P494*(1-(Assumptions!$C$25+0.06*(1-$K494))-Assumptions!$C$27)-Assumptions!$C$28)-MAX(0,($P494*(1-(Assumptions!$C$25+0.06*(1-$K494))-Assumptions!$C$27)-Assumptions!$C$28)*Assumptions!$C$31)+Assumptions!$C$28-Assumptions!$C$29-$P494*Assumptions!$C$30</f>
        <v>123.4767272</v>
      </c>
      <c r="V494" s="143">
        <f>(($Q494/(1+$D494)^1+$R494/(1+$D494)^2+$S494/(1+$D494)^3+$T494/(1+$D494)^4+$U494/(1+$D494)^5+$U494*(1+$E494)/($D494-$E494)/(1+$D494)^5)-Assumptions!$C$37)/Assumptions!$C$40/Assumptions!$C$38</f>
        <v>6.751855473</v>
      </c>
    </row>
    <row r="495" ht="12.0" customHeight="1">
      <c r="B495" s="139">
        <v>443.0</v>
      </c>
      <c r="C495" s="140">
        <f t="shared" si="6"/>
        <v>0.3620706118</v>
      </c>
      <c r="D495" s="141">
        <f t="shared" si="7"/>
        <v>0.09607889604</v>
      </c>
      <c r="E495" s="141">
        <f t="shared" si="8"/>
        <v>0.01516430676</v>
      </c>
      <c r="F495" s="140">
        <f t="shared" si="9"/>
        <v>0.06676692364</v>
      </c>
      <c r="G495" s="141">
        <f t="shared" si="10"/>
        <v>0.04096268501</v>
      </c>
      <c r="H495" s="142">
        <f t="shared" si="11"/>
        <v>0</v>
      </c>
      <c r="I495" s="142">
        <f t="shared" si="12"/>
        <v>1</v>
      </c>
      <c r="J495" s="142">
        <f t="shared" si="13"/>
        <v>0</v>
      </c>
      <c r="K495" s="142">
        <f t="shared" si="14"/>
        <v>1</v>
      </c>
      <c r="L495" s="139">
        <f>Assumptions!$C$6*Assumptions!$C$7*(1+$G495-0.05*(1-1))^1+Assumptions!$C$6*Assumptions!$C$8*(1+Assumptions!$C$11)^1+Assumptions!$C$16*1+Assumptions!$C$6*Assumptions!$C$9*(1+Assumptions!$C$12)^1</f>
        <v>740.2560398</v>
      </c>
      <c r="M495" s="139">
        <f>Assumptions!$C$6*Assumptions!$C$7*(1+$G495-0.05*(1-$H495))^2+Assumptions!$C$6*Assumptions!$C$8*(1+Assumptions!$C$11)^2+Assumptions!$C$16*$H495+Assumptions!$C$6*Assumptions!$C$9*(1+Assumptions!$C$12)^2</f>
        <v>667.0089307</v>
      </c>
      <c r="N495" s="139">
        <f>Assumptions!$C$6*Assumptions!$C$7*(1+$G495-0.05*(1-$I495))^3+Assumptions!$C$6*Assumptions!$C$8*(1+Assumptions!$C$11)^3+Assumptions!$C$16*$I495+Assumptions!$C$6*Assumptions!$C$9*(1+Assumptions!$C$12)^3</f>
        <v>782.8763074</v>
      </c>
      <c r="O495" s="139">
        <f>Assumptions!$C$6*Assumptions!$C$7*(1+$G495-0.05*(1-$J495))^4+Assumptions!$C$6*Assumptions!$C$8*(1+Assumptions!$C$11)^4+Assumptions!$C$16*$J495+Assumptions!$C$6*Assumptions!$C$9*(1+Assumptions!$C$12)^4</f>
        <v>674.654675</v>
      </c>
      <c r="P495" s="139">
        <f>Assumptions!$C$6*Assumptions!$C$7*(1+$G495-0.05*(1-$K495))^5+Assumptions!$C$6*Assumptions!$C$8*(1+Assumptions!$C$11)^5+Assumptions!$C$16*$K495+Assumptions!$C$6*Assumptions!$C$9*(1+Assumptions!$C$12)^5</f>
        <v>828.4840145</v>
      </c>
      <c r="Q495" s="139">
        <f>($L495*(1-(Assumptions!$C$25+0.06*(1-1))-Assumptions!$C$27)-Assumptions!$C$28)-MAX(0,($L495*(1-(Assumptions!$C$25+0.06*(1-1))-Assumptions!$C$27)-Assumptions!$C$28)*Assumptions!$C$31)+Assumptions!$C$28-Assumptions!$C$29-$L495*Assumptions!$C$30</f>
        <v>91.65504855</v>
      </c>
      <c r="R495" s="139">
        <f>($M495*(1-(Assumptions!$C$25+0.06*(1-$H495))-Assumptions!$C$27)-Assumptions!$C$28)-MAX(0,($M495*(1-(Assumptions!$C$25+0.06*(1-$H495))-Assumptions!$C$27)-Assumptions!$C$28)*Assumptions!$C$31)+Assumptions!$C$28-Assumptions!$C$29-$M495*Assumptions!$C$30</f>
        <v>33.41205406</v>
      </c>
      <c r="S495" s="139">
        <f>($N495*(1-(Assumptions!$C$25+0.06*(1-$I495))-Assumptions!$C$27)-Assumptions!$C$28)-MAX(0,($N495*(1-(Assumptions!$C$25+0.06*(1-$I495))-Assumptions!$C$27)-Assumptions!$C$28)*Assumptions!$C$31)+Assumptions!$C$28-Assumptions!$C$29-$N495*Assumptions!$C$30</f>
        <v>100.8184061</v>
      </c>
      <c r="T495" s="139">
        <f>($O495*(1-(Assumptions!$C$25+0.06*(1-$J495))-Assumptions!$C$27)-Assumptions!$C$28)-MAX(0,($O495*(1-(Assumptions!$C$25+0.06*(1-$J495))-Assumptions!$C$27)-Assumptions!$C$28)*Assumptions!$C$31)+Assumptions!$C$28-Assumptions!$C$29-$O495*Assumptions!$C$30</f>
        <v>35.17057525</v>
      </c>
      <c r="U495" s="139">
        <f>($P495*(1-(Assumptions!$C$25+0.06*(1-$K495))-Assumptions!$C$27)-Assumptions!$C$28)-MAX(0,($P495*(1-(Assumptions!$C$25+0.06*(1-$K495))-Assumptions!$C$27)-Assumptions!$C$28)*Assumptions!$C$31)+Assumptions!$C$28-Assumptions!$C$29-$P495*Assumptions!$C$30</f>
        <v>110.6240631</v>
      </c>
      <c r="V495" s="143">
        <f>(($Q495/(1+$D495)^1+$R495/(1+$D495)^2+$S495/(1+$D495)^3+$T495/(1+$D495)^4+$U495/(1+$D495)^5+$U495*(1+$E495)/($D495-$E495)/(1+$D495)^5)-Assumptions!$C$37)/Assumptions!$C$40/Assumptions!$C$38</f>
        <v>3.651412062</v>
      </c>
    </row>
    <row r="496" ht="12.0" customHeight="1">
      <c r="B496" s="139">
        <v>444.0</v>
      </c>
      <c r="C496" s="140">
        <f t="shared" si="6"/>
        <v>0.7362147889</v>
      </c>
      <c r="D496" s="141">
        <f t="shared" si="7"/>
        <v>0.102835153</v>
      </c>
      <c r="E496" s="141">
        <f t="shared" si="8"/>
        <v>0.01447782215</v>
      </c>
      <c r="F496" s="140">
        <f t="shared" si="9"/>
        <v>0.6211794568</v>
      </c>
      <c r="G496" s="141">
        <f t="shared" si="10"/>
        <v>0.06388722578</v>
      </c>
      <c r="H496" s="142">
        <f t="shared" si="11"/>
        <v>1</v>
      </c>
      <c r="I496" s="142">
        <f t="shared" si="12"/>
        <v>1</v>
      </c>
      <c r="J496" s="142">
        <f t="shared" si="13"/>
        <v>1</v>
      </c>
      <c r="K496" s="142">
        <f t="shared" si="14"/>
        <v>0</v>
      </c>
      <c r="L496" s="139">
        <f>Assumptions!$C$6*Assumptions!$C$7*(1+$G496-0.05*(1-1))^1+Assumptions!$C$6*Assumptions!$C$8*(1+Assumptions!$C$11)^1+Assumptions!$C$16*1+Assumptions!$C$6*Assumptions!$C$9*(1+Assumptions!$C$12)^1</f>
        <v>747.9724402</v>
      </c>
      <c r="M496" s="139">
        <f>Assumptions!$C$6*Assumptions!$C$7*(1+$G496-0.05*(1-$H496))^2+Assumptions!$C$6*Assumptions!$C$8*(1+Assumptions!$C$11)^2+Assumptions!$C$16*$H496+Assumptions!$C$6*Assumptions!$C$9*(1+Assumptions!$C$12)^2</f>
        <v>777.4480994</v>
      </c>
      <c r="N496" s="139">
        <f>Assumptions!$C$6*Assumptions!$C$7*(1+$G496-0.05*(1-$I496))^3+Assumptions!$C$6*Assumptions!$C$8*(1+Assumptions!$C$11)^3+Assumptions!$C$16*$I496+Assumptions!$C$6*Assumptions!$C$9*(1+Assumptions!$C$12)^3</f>
        <v>808.5173369</v>
      </c>
      <c r="O496" s="139">
        <f>Assumptions!$C$6*Assumptions!$C$7*(1+$G496-0.05*(1-$J496))^4+Assumptions!$C$6*Assumptions!$C$8*(1+Assumptions!$C$11)^4+Assumptions!$C$16*$J496+Assumptions!$C$6*Assumptions!$C$9*(1+Assumptions!$C$12)^4</f>
        <v>841.2761712</v>
      </c>
      <c r="P496" s="139">
        <f>Assumptions!$C$6*Assumptions!$C$7*(1+$G496-0.05*(1-$K496))^5+Assumptions!$C$6*Assumptions!$C$8*(1+Assumptions!$C$11)^5+Assumptions!$C$16*$K496+Assumptions!$C$6*Assumptions!$C$9*(1+Assumptions!$C$12)^5</f>
        <v>717.6901605</v>
      </c>
      <c r="Q496" s="139">
        <f>($L496*(1-(Assumptions!$C$25+0.06*(1-1))-Assumptions!$C$27)-Assumptions!$C$28)-MAX(0,($L496*(1-(Assumptions!$C$25+0.06*(1-1))-Assumptions!$C$27)-Assumptions!$C$28)*Assumptions!$C$31)+Assumptions!$C$28-Assumptions!$C$29-$L496*Assumptions!$C$30</f>
        <v>93.31407464</v>
      </c>
      <c r="R496" s="139">
        <f>($M496*(1-(Assumptions!$C$25+0.06*(1-$H496))-Assumptions!$C$27)-Assumptions!$C$28)-MAX(0,($M496*(1-(Assumptions!$C$25+0.06*(1-$H496))-Assumptions!$C$27)-Assumptions!$C$28)*Assumptions!$C$31)+Assumptions!$C$28-Assumptions!$C$29-$M496*Assumptions!$C$30</f>
        <v>99.65134137</v>
      </c>
      <c r="S496" s="139">
        <f>($N496*(1-(Assumptions!$C$25+0.06*(1-$I496))-Assumptions!$C$27)-Assumptions!$C$28)-MAX(0,($N496*(1-(Assumptions!$C$25+0.06*(1-$I496))-Assumptions!$C$27)-Assumptions!$C$28)*Assumptions!$C$31)+Assumptions!$C$28-Assumptions!$C$29-$N496*Assumptions!$C$30</f>
        <v>106.3312274</v>
      </c>
      <c r="T496" s="139">
        <f>($O496*(1-(Assumptions!$C$25+0.06*(1-$J496))-Assumptions!$C$27)-Assumptions!$C$28)-MAX(0,($O496*(1-(Assumptions!$C$25+0.06*(1-$J496))-Assumptions!$C$27)-Assumptions!$C$28)*Assumptions!$C$31)+Assumptions!$C$28-Assumptions!$C$29-$O496*Assumptions!$C$30</f>
        <v>113.3743768</v>
      </c>
      <c r="U496" s="139">
        <f>($P496*(1-(Assumptions!$C$25+0.06*(1-$K496))-Assumptions!$C$27)-Assumptions!$C$28)-MAX(0,($P496*(1-(Assumptions!$C$25+0.06*(1-$K496))-Assumptions!$C$27)-Assumptions!$C$28)*Assumptions!$C$31)+Assumptions!$C$28-Assumptions!$C$29-$P496*Assumptions!$C$30</f>
        <v>45.06873691</v>
      </c>
      <c r="V496" s="143">
        <f>(($Q496/(1+$D496)^1+$R496/(1+$D496)^2+$S496/(1+$D496)^3+$T496/(1+$D496)^4+$U496/(1+$D496)^5+$U496*(1+$E496)/($D496-$E496)/(1+$D496)^5)-Assumptions!$C$37)/Assumptions!$C$40/Assumptions!$C$38</f>
        <v>-0.1905608557</v>
      </c>
    </row>
    <row r="497" ht="12.0" customHeight="1">
      <c r="B497" s="139">
        <v>445.0</v>
      </c>
      <c r="C497" s="140">
        <f t="shared" si="6"/>
        <v>0.05566251115</v>
      </c>
      <c r="D497" s="141">
        <f t="shared" si="7"/>
        <v>0.08934391428</v>
      </c>
      <c r="E497" s="141">
        <f t="shared" si="8"/>
        <v>0.01340145233</v>
      </c>
      <c r="F497" s="140">
        <f t="shared" si="9"/>
        <v>0.6217561289</v>
      </c>
      <c r="G497" s="141">
        <f t="shared" si="10"/>
        <v>0.06390710886</v>
      </c>
      <c r="H497" s="142">
        <f t="shared" si="11"/>
        <v>0</v>
      </c>
      <c r="I497" s="142">
        <f t="shared" si="12"/>
        <v>0</v>
      </c>
      <c r="J497" s="142">
        <f t="shared" si="13"/>
        <v>1</v>
      </c>
      <c r="K497" s="142">
        <f t="shared" si="14"/>
        <v>0</v>
      </c>
      <c r="L497" s="139">
        <f>Assumptions!$C$6*Assumptions!$C$7*(1+$G497-0.05*(1-1))^1+Assumptions!$C$6*Assumptions!$C$8*(1+Assumptions!$C$11)^1+Assumptions!$C$16*1+Assumptions!$C$6*Assumptions!$C$9*(1+Assumptions!$C$12)^1</f>
        <v>747.9791328</v>
      </c>
      <c r="M497" s="139">
        <f>Assumptions!$C$6*Assumptions!$C$7*(1+$G497-0.05*(1-$H497))^2+Assumptions!$C$6*Assumptions!$C$8*(1+Assumptions!$C$11)^2+Assumptions!$C$16*$H497+Assumptions!$C$6*Assumptions!$C$9*(1+Assumptions!$C$12)^2</f>
        <v>682.4927267</v>
      </c>
      <c r="N497" s="139">
        <f>Assumptions!$C$6*Assumptions!$C$7*(1+$G497-0.05*(1-$I497))^3+Assumptions!$C$6*Assumptions!$C$8*(1+Assumptions!$C$11)^3+Assumptions!$C$16*$I497+Assumptions!$C$6*Assumptions!$C$9*(1+Assumptions!$C$12)^3</f>
        <v>694.0342742</v>
      </c>
      <c r="O497" s="139">
        <f>Assumptions!$C$6*Assumptions!$C$7*(1+$G497-0.05*(1-$J497))^4+Assumptions!$C$6*Assumptions!$C$8*(1+Assumptions!$C$11)^4+Assumptions!$C$16*$J497+Assumptions!$C$6*Assumptions!$C$9*(1+Assumptions!$C$12)^4</f>
        <v>841.3084083</v>
      </c>
      <c r="P497" s="139">
        <f>Assumptions!$C$6*Assumptions!$C$7*(1+$G497-0.05*(1-$K497))^5+Assumptions!$C$6*Assumptions!$C$8*(1+Assumptions!$C$11)^5+Assumptions!$C$16*$K497+Assumptions!$C$6*Assumptions!$C$9*(1+Assumptions!$C$12)^5</f>
        <v>717.725523</v>
      </c>
      <c r="Q497" s="139">
        <f>($L497*(1-(Assumptions!$C$25+0.06*(1-1))-Assumptions!$C$27)-Assumptions!$C$28)-MAX(0,($L497*(1-(Assumptions!$C$25+0.06*(1-1))-Assumptions!$C$27)-Assumptions!$C$28)*Assumptions!$C$31)+Assumptions!$C$28-Assumptions!$C$29-$L497*Assumptions!$C$30</f>
        <v>93.31551356</v>
      </c>
      <c r="R497" s="139">
        <f>($M497*(1-(Assumptions!$C$25+0.06*(1-$H497))-Assumptions!$C$27)-Assumptions!$C$28)-MAX(0,($M497*(1-(Assumptions!$C$25+0.06*(1-$H497))-Assumptions!$C$27)-Assumptions!$C$28)*Assumptions!$C$31)+Assumptions!$C$28-Assumptions!$C$29-$M497*Assumptions!$C$30</f>
        <v>36.97332714</v>
      </c>
      <c r="S497" s="139">
        <f>($N497*(1-(Assumptions!$C$25+0.06*(1-$I497))-Assumptions!$C$27)-Assumptions!$C$28)-MAX(0,($N497*(1-(Assumptions!$C$25+0.06*(1-$I497))-Assumptions!$C$27)-Assumptions!$C$28)*Assumptions!$C$31)+Assumptions!$C$28-Assumptions!$C$29-$N497*Assumptions!$C$30</f>
        <v>39.62788306</v>
      </c>
      <c r="T497" s="139">
        <f>($O497*(1-(Assumptions!$C$25+0.06*(1-$J497))-Assumptions!$C$27)-Assumptions!$C$28)-MAX(0,($O497*(1-(Assumptions!$C$25+0.06*(1-$J497))-Assumptions!$C$27)-Assumptions!$C$28)*Assumptions!$C$31)+Assumptions!$C$28-Assumptions!$C$29-$O497*Assumptions!$C$30</f>
        <v>113.3813078</v>
      </c>
      <c r="U497" s="139">
        <f>($P497*(1-(Assumptions!$C$25+0.06*(1-$K497))-Assumptions!$C$27)-Assumptions!$C$28)-MAX(0,($P497*(1-(Assumptions!$C$25+0.06*(1-$K497))-Assumptions!$C$27)-Assumptions!$C$28)*Assumptions!$C$31)+Assumptions!$C$28-Assumptions!$C$29-$P497*Assumptions!$C$30</f>
        <v>45.07687029</v>
      </c>
      <c r="V497" s="143">
        <f>(($Q497/(1+$D497)^1+$R497/(1+$D497)^2+$S497/(1+$D497)^3+$T497/(1+$D497)^4+$U497/(1+$D497)^5+$U497*(1+$E497)/($D497-$E497)/(1+$D497)^5)-Assumptions!$C$37)/Assumptions!$C$40/Assumptions!$C$38</f>
        <v>-0.3293146087</v>
      </c>
    </row>
    <row r="498" ht="12.0" customHeight="1">
      <c r="B498" s="139">
        <v>446.0</v>
      </c>
      <c r="C498" s="140">
        <f t="shared" si="6"/>
        <v>0.2216735256</v>
      </c>
      <c r="D498" s="141">
        <f t="shared" si="7"/>
        <v>0.09366875569</v>
      </c>
      <c r="E498" s="141">
        <f t="shared" si="8"/>
        <v>0.01730312986</v>
      </c>
      <c r="F498" s="140">
        <f t="shared" si="9"/>
        <v>0.8783093364</v>
      </c>
      <c r="G498" s="141">
        <f t="shared" si="10"/>
        <v>0.07519989208</v>
      </c>
      <c r="H498" s="142">
        <f t="shared" si="11"/>
        <v>1</v>
      </c>
      <c r="I498" s="142">
        <f t="shared" si="12"/>
        <v>0</v>
      </c>
      <c r="J498" s="142">
        <f t="shared" si="13"/>
        <v>1</v>
      </c>
      <c r="K498" s="142">
        <f t="shared" si="14"/>
        <v>1</v>
      </c>
      <c r="L498" s="139">
        <f>Assumptions!$C$6*Assumptions!$C$7*(1+$G498-0.05*(1-1))^1+Assumptions!$C$6*Assumptions!$C$8*(1+Assumptions!$C$11)^1+Assumptions!$C$16*1+Assumptions!$C$6*Assumptions!$C$9*(1+Assumptions!$C$12)^1</f>
        <v>751.7802837</v>
      </c>
      <c r="M498" s="139">
        <f>Assumptions!$C$6*Assumptions!$C$7*(1+$G498-0.05*(1-$H498))^2+Assumptions!$C$6*Assumptions!$C$8*(1+Assumptions!$C$11)^2+Assumptions!$C$16*$H498+Assumptions!$C$6*Assumptions!$C$9*(1+Assumptions!$C$12)^2</f>
        <v>785.5934083</v>
      </c>
      <c r="N498" s="139">
        <f>Assumptions!$C$6*Assumptions!$C$7*(1+$G498-0.05*(1-$I498))^3+Assumptions!$C$6*Assumptions!$C$8*(1+Assumptions!$C$11)^3+Assumptions!$C$16*$I498+Assumptions!$C$6*Assumptions!$C$9*(1+Assumptions!$C$12)^3</f>
        <v>705.8881627</v>
      </c>
      <c r="O498" s="139">
        <f>Assumptions!$C$6*Assumptions!$C$7*(1+$G498-0.05*(1-$J498))^4+Assumptions!$C$6*Assumptions!$C$8*(1+Assumptions!$C$11)^4+Assumptions!$C$16*$J498+Assumptions!$C$6*Assumptions!$C$9*(1+Assumptions!$C$12)^4</f>
        <v>859.9119117</v>
      </c>
      <c r="P498" s="139">
        <f>Assumptions!$C$6*Assumptions!$C$7*(1+$G498-0.05*(1-$K498))^5+Assumptions!$C$6*Assumptions!$C$8*(1+Assumptions!$C$11)^5+Assumptions!$C$16*$K498+Assumptions!$C$6*Assumptions!$C$9*(1+Assumptions!$C$12)^5</f>
        <v>900.7420064</v>
      </c>
      <c r="Q498" s="139">
        <f>($L498*(1-(Assumptions!$C$25+0.06*(1-1))-Assumptions!$C$27)-Assumptions!$C$28)-MAX(0,($L498*(1-(Assumptions!$C$25+0.06*(1-1))-Assumptions!$C$27)-Assumptions!$C$28)*Assumptions!$C$31)+Assumptions!$C$28-Assumptions!$C$29-$L498*Assumptions!$C$30</f>
        <v>94.13276099</v>
      </c>
      <c r="R498" s="139">
        <f>($M498*(1-(Assumptions!$C$25+0.06*(1-$H498))-Assumptions!$C$27)-Assumptions!$C$28)-MAX(0,($M498*(1-(Assumptions!$C$25+0.06*(1-$H498))-Assumptions!$C$27)-Assumptions!$C$28)*Assumptions!$C$31)+Assumptions!$C$28-Assumptions!$C$29-$M498*Assumptions!$C$30</f>
        <v>101.4025828</v>
      </c>
      <c r="S498" s="139">
        <f>($N498*(1-(Assumptions!$C$25+0.06*(1-$I498))-Assumptions!$C$27)-Assumptions!$C$28)-MAX(0,($N498*(1-(Assumptions!$C$25+0.06*(1-$I498))-Assumptions!$C$27)-Assumptions!$C$28)*Assumptions!$C$31)+Assumptions!$C$28-Assumptions!$C$29-$N498*Assumptions!$C$30</f>
        <v>42.35427741</v>
      </c>
      <c r="T498" s="139">
        <f>($O498*(1-(Assumptions!$C$25+0.06*(1-$J498))-Assumptions!$C$27)-Assumptions!$C$28)-MAX(0,($O498*(1-(Assumptions!$C$25+0.06*(1-$J498))-Assumptions!$C$27)-Assumptions!$C$28)*Assumptions!$C$31)+Assumptions!$C$28-Assumptions!$C$29-$O498*Assumptions!$C$30</f>
        <v>117.381061</v>
      </c>
      <c r="U498" s="139">
        <f>($P498*(1-(Assumptions!$C$25+0.06*(1-$K498))-Assumptions!$C$27)-Assumptions!$C$28)-MAX(0,($P498*(1-(Assumptions!$C$25+0.06*(1-$K498))-Assumptions!$C$27)-Assumptions!$C$28)*Assumptions!$C$31)+Assumptions!$C$28-Assumptions!$C$29-$P498*Assumptions!$C$30</f>
        <v>126.1595314</v>
      </c>
      <c r="V498" s="143">
        <f>(($Q498/(1+$D498)^1+$R498/(1+$D498)^2+$S498/(1+$D498)^3+$T498/(1+$D498)^4+$U498/(1+$D498)^5+$U498*(1+$E498)/($D498-$E498)/(1+$D498)^5)-Assumptions!$C$37)/Assumptions!$C$40/Assumptions!$C$38</f>
        <v>5.839677093</v>
      </c>
    </row>
    <row r="499" ht="12.0" customHeight="1">
      <c r="B499" s="139">
        <v>447.0</v>
      </c>
      <c r="C499" s="140">
        <f t="shared" si="6"/>
        <v>0.4749727411</v>
      </c>
      <c r="D499" s="141">
        <f t="shared" si="7"/>
        <v>0.09783782379</v>
      </c>
      <c r="E499" s="141">
        <f t="shared" si="8"/>
        <v>0.01106307022</v>
      </c>
      <c r="F499" s="140">
        <f t="shared" si="9"/>
        <v>0.4938523405</v>
      </c>
      <c r="G499" s="141">
        <f t="shared" si="10"/>
        <v>0.0598149998</v>
      </c>
      <c r="H499" s="142">
        <f t="shared" si="11"/>
        <v>1</v>
      </c>
      <c r="I499" s="142">
        <f t="shared" si="12"/>
        <v>0</v>
      </c>
      <c r="J499" s="142">
        <f t="shared" si="13"/>
        <v>0</v>
      </c>
      <c r="K499" s="142">
        <f t="shared" si="14"/>
        <v>0</v>
      </c>
      <c r="L499" s="139">
        <f>Assumptions!$C$6*Assumptions!$C$7*(1+$G499-0.05*(1-1))^1+Assumptions!$C$6*Assumptions!$C$8*(1+Assumptions!$C$11)^1+Assumptions!$C$16*1+Assumptions!$C$6*Assumptions!$C$9*(1+Assumptions!$C$12)^1</f>
        <v>746.6017289</v>
      </c>
      <c r="M499" s="139">
        <f>Assumptions!$C$6*Assumptions!$C$7*(1+$G499-0.05*(1-$H499))^2+Assumptions!$C$6*Assumptions!$C$8*(1+Assumptions!$C$11)^2+Assumptions!$C$16*$H499+Assumptions!$C$6*Assumptions!$C$9*(1+Assumptions!$C$12)^2</f>
        <v>774.5371169</v>
      </c>
      <c r="N499" s="139">
        <f>Assumptions!$C$6*Assumptions!$C$7*(1+$G499-0.05*(1-$I499))^3+Assumptions!$C$6*Assumptions!$C$8*(1+Assumptions!$C$11)^3+Assumptions!$C$16*$I499+Assumptions!$C$6*Assumptions!$C$9*(1+Assumptions!$C$12)^3</f>
        <v>689.8034506</v>
      </c>
      <c r="O499" s="139">
        <f>Assumptions!$C$6*Assumptions!$C$7*(1+$G499-0.05*(1-$J499))^4+Assumptions!$C$6*Assumptions!$C$8*(1+Assumptions!$C$11)^4+Assumptions!$C$16*$J499+Assumptions!$C$6*Assumptions!$C$9*(1+Assumptions!$C$12)^4</f>
        <v>700.069309</v>
      </c>
      <c r="P499" s="139">
        <f>Assumptions!$C$6*Assumptions!$C$7*(1+$G499-0.05*(1-$K499))^5+Assumptions!$C$6*Assumptions!$C$8*(1+Assumptions!$C$11)^5+Assumptions!$C$16*$K499+Assumptions!$C$6*Assumptions!$C$9*(1+Assumptions!$C$12)^5</f>
        <v>710.5058357</v>
      </c>
      <c r="Q499" s="139">
        <f>($L499*(1-(Assumptions!$C$25+0.06*(1-1))-Assumptions!$C$27)-Assumptions!$C$28)-MAX(0,($L499*(1-(Assumptions!$C$25+0.06*(1-1))-Assumptions!$C$27)-Assumptions!$C$28)*Assumptions!$C$31)+Assumptions!$C$28-Assumptions!$C$29-$L499*Assumptions!$C$30</f>
        <v>93.01937172</v>
      </c>
      <c r="R499" s="139">
        <f>($M499*(1-(Assumptions!$C$25+0.06*(1-$H499))-Assumptions!$C$27)-Assumptions!$C$28)-MAX(0,($M499*(1-(Assumptions!$C$25+0.06*(1-$H499))-Assumptions!$C$27)-Assumptions!$C$28)*Assumptions!$C$31)+Assumptions!$C$28-Assumptions!$C$29-$M499*Assumptions!$C$30</f>
        <v>99.02548012</v>
      </c>
      <c r="S499" s="139">
        <f>($N499*(1-(Assumptions!$C$25+0.06*(1-$I499))-Assumptions!$C$27)-Assumptions!$C$28)-MAX(0,($N499*(1-(Assumptions!$C$25+0.06*(1-$I499))-Assumptions!$C$27)-Assumptions!$C$28)*Assumptions!$C$31)+Assumptions!$C$28-Assumptions!$C$29-$N499*Assumptions!$C$30</f>
        <v>38.65479363</v>
      </c>
      <c r="T499" s="139">
        <f>($O499*(1-(Assumptions!$C$25+0.06*(1-$J499))-Assumptions!$C$27)-Assumptions!$C$28)-MAX(0,($O499*(1-(Assumptions!$C$25+0.06*(1-$J499))-Assumptions!$C$27)-Assumptions!$C$28)*Assumptions!$C$31)+Assumptions!$C$28-Assumptions!$C$29-$O499*Assumptions!$C$30</f>
        <v>41.01594108</v>
      </c>
      <c r="U499" s="139">
        <f>($P499*(1-(Assumptions!$C$25+0.06*(1-$K499))-Assumptions!$C$27)-Assumptions!$C$28)-MAX(0,($P499*(1-(Assumptions!$C$25+0.06*(1-$K499))-Assumptions!$C$27)-Assumptions!$C$28)*Assumptions!$C$31)+Assumptions!$C$28-Assumptions!$C$29-$P499*Assumptions!$C$30</f>
        <v>43.4163422</v>
      </c>
      <c r="V499" s="143">
        <f>(($Q499/(1+$D499)^1+$R499/(1+$D499)^2+$S499/(1+$D499)^3+$T499/(1+$D499)^4+$U499/(1+$D499)^5+$U499*(1+$E499)/($D499-$E499)/(1+$D499)^5)-Assumptions!$C$37)/Assumptions!$C$40/Assumptions!$C$38</f>
        <v>-0.9592943864</v>
      </c>
    </row>
    <row r="500" ht="12.0" customHeight="1">
      <c r="B500" s="139">
        <v>448.0</v>
      </c>
      <c r="C500" s="140">
        <f t="shared" si="6"/>
        <v>0.004000098354</v>
      </c>
      <c r="D500" s="141">
        <f t="shared" si="7"/>
        <v>0.08616448845</v>
      </c>
      <c r="E500" s="141">
        <f t="shared" si="8"/>
        <v>0.02369126404</v>
      </c>
      <c r="F500" s="140">
        <f t="shared" si="9"/>
        <v>0.9116854181</v>
      </c>
      <c r="G500" s="141">
        <f t="shared" si="10"/>
        <v>0.07739181823</v>
      </c>
      <c r="H500" s="142">
        <f t="shared" si="11"/>
        <v>1</v>
      </c>
      <c r="I500" s="142">
        <f t="shared" si="12"/>
        <v>0</v>
      </c>
      <c r="J500" s="142">
        <f t="shared" si="13"/>
        <v>0</v>
      </c>
      <c r="K500" s="142">
        <f t="shared" si="14"/>
        <v>1</v>
      </c>
      <c r="L500" s="139">
        <f>Assumptions!$C$6*Assumptions!$C$7*(1+$G500-0.05*(1-1))^1+Assumptions!$C$6*Assumptions!$C$8*(1+Assumptions!$C$11)^1+Assumptions!$C$16*1+Assumptions!$C$6*Assumptions!$C$9*(1+Assumptions!$C$12)^1</f>
        <v>752.518086</v>
      </c>
      <c r="M500" s="139">
        <f>Assumptions!$C$6*Assumptions!$C$7*(1+$G500-0.05*(1-$H500))^2+Assumptions!$C$6*Assumptions!$C$8*(1+Assumptions!$C$11)^2+Assumptions!$C$16*$H500+Assumptions!$C$6*Assumptions!$C$9*(1+Assumptions!$C$12)^2</f>
        <v>787.1815956</v>
      </c>
      <c r="N500" s="139">
        <f>Assumptions!$C$6*Assumptions!$C$7*(1+$G500-0.05*(1-$I500))^3+Assumptions!$C$6*Assumptions!$C$8*(1+Assumptions!$C$11)^3+Assumptions!$C$16*$I500+Assumptions!$C$6*Assumptions!$C$9*(1+Assumptions!$C$12)^3</f>
        <v>708.219508</v>
      </c>
      <c r="O500" s="139">
        <f>Assumptions!$C$6*Assumptions!$C$7*(1+$G500-0.05*(1-$J500))^4+Assumptions!$C$6*Assumptions!$C$8*(1+Assumptions!$C$11)^4+Assumptions!$C$16*$J500+Assumptions!$C$6*Assumptions!$C$9*(1+Assumptions!$C$12)^4</f>
        <v>725.0820954</v>
      </c>
      <c r="P500" s="139">
        <f>Assumptions!$C$6*Assumptions!$C$7*(1+$G500-0.05*(1-$K500))^5+Assumptions!$C$6*Assumptions!$C$8*(1+Assumptions!$C$11)^5+Assumptions!$C$16*$K500+Assumptions!$C$6*Assumptions!$C$9*(1+Assumptions!$C$12)^5</f>
        <v>905.6923758</v>
      </c>
      <c r="Q500" s="139">
        <f>($L500*(1-(Assumptions!$C$25+0.06*(1-1))-Assumptions!$C$27)-Assumptions!$C$28)-MAX(0,($L500*(1-(Assumptions!$C$25+0.06*(1-1))-Assumptions!$C$27)-Assumptions!$C$28)*Assumptions!$C$31)+Assumptions!$C$28-Assumptions!$C$29-$L500*Assumptions!$C$30</f>
        <v>94.29138849</v>
      </c>
      <c r="R500" s="139">
        <f>($M500*(1-(Assumptions!$C$25+0.06*(1-$H500))-Assumptions!$C$27)-Assumptions!$C$28)-MAX(0,($M500*(1-(Assumptions!$C$25+0.06*(1-$H500))-Assumptions!$C$27)-Assumptions!$C$28)*Assumptions!$C$31)+Assumptions!$C$28-Assumptions!$C$29-$M500*Assumptions!$C$30</f>
        <v>101.744043</v>
      </c>
      <c r="S500" s="139">
        <f>($N500*(1-(Assumptions!$C$25+0.06*(1-$I500))-Assumptions!$C$27)-Assumptions!$C$28)-MAX(0,($N500*(1-(Assumptions!$C$25+0.06*(1-$I500))-Assumptions!$C$27)-Assumptions!$C$28)*Assumptions!$C$31)+Assumptions!$C$28-Assumptions!$C$29-$N500*Assumptions!$C$30</f>
        <v>42.89048683</v>
      </c>
      <c r="T500" s="139">
        <f>($O500*(1-(Assumptions!$C$25+0.06*(1-$J500))-Assumptions!$C$27)-Assumptions!$C$28)-MAX(0,($O500*(1-(Assumptions!$C$25+0.06*(1-$J500))-Assumptions!$C$27)-Assumptions!$C$28)*Assumptions!$C$31)+Assumptions!$C$28-Assumptions!$C$29-$O500*Assumptions!$C$30</f>
        <v>46.76888194</v>
      </c>
      <c r="U500" s="139">
        <f>($P500*(1-(Assumptions!$C$25+0.06*(1-$K500))-Assumptions!$C$27)-Assumptions!$C$28)-MAX(0,($P500*(1-(Assumptions!$C$25+0.06*(1-$K500))-Assumptions!$C$27)-Assumptions!$C$28)*Assumptions!$C$31)+Assumptions!$C$28-Assumptions!$C$29-$P500*Assumptions!$C$30</f>
        <v>127.2238608</v>
      </c>
      <c r="V500" s="143">
        <f>(($Q500/(1+$D500)^1+$R500/(1+$D500)^2+$S500/(1+$D500)^3+$T500/(1+$D500)^4+$U500/(1+$D500)^5+$U500*(1+$E500)/($D500-$E500)/(1+$D500)^5)-Assumptions!$C$37)/Assumptions!$C$40/Assumptions!$C$38</f>
        <v>7.894402498</v>
      </c>
    </row>
    <row r="501" ht="12.0" customHeight="1">
      <c r="B501" s="139">
        <v>449.0</v>
      </c>
      <c r="C501" s="140">
        <f t="shared" si="6"/>
        <v>0.1045771478</v>
      </c>
      <c r="D501" s="141">
        <f t="shared" si="7"/>
        <v>0.09095412908</v>
      </c>
      <c r="E501" s="141">
        <f t="shared" si="8"/>
        <v>0.02889359866</v>
      </c>
      <c r="F501" s="140">
        <f t="shared" si="9"/>
        <v>0.4715513127</v>
      </c>
      <c r="G501" s="141">
        <f t="shared" si="10"/>
        <v>0.05913404131</v>
      </c>
      <c r="H501" s="142">
        <f t="shared" si="11"/>
        <v>1</v>
      </c>
      <c r="I501" s="142">
        <f t="shared" si="12"/>
        <v>0</v>
      </c>
      <c r="J501" s="142">
        <f t="shared" si="13"/>
        <v>0</v>
      </c>
      <c r="K501" s="142">
        <f t="shared" si="14"/>
        <v>0</v>
      </c>
      <c r="L501" s="139">
        <f>Assumptions!$C$6*Assumptions!$C$7*(1+$G501-0.05*(1-1))^1+Assumptions!$C$6*Assumptions!$C$8*(1+Assumptions!$C$11)^1+Assumptions!$C$16*1+Assumptions!$C$6*Assumptions!$C$9*(1+Assumptions!$C$12)^1</f>
        <v>746.3725183</v>
      </c>
      <c r="M501" s="139">
        <f>Assumptions!$C$6*Assumptions!$C$7*(1+$G501-0.05*(1-$H501))^2+Assumptions!$C$6*Assumptions!$C$8*(1+Assumptions!$C$11)^2+Assumptions!$C$16*$H501+Assumptions!$C$6*Assumptions!$C$9*(1+Assumptions!$C$12)^2</f>
        <v>774.0514312</v>
      </c>
      <c r="N501" s="139">
        <f>Assumptions!$C$6*Assumptions!$C$7*(1+$G501-0.05*(1-$I501))^3+Assumptions!$C$6*Assumptions!$C$8*(1+Assumptions!$C$11)^3+Assumptions!$C$16*$I501+Assumptions!$C$6*Assumptions!$C$9*(1+Assumptions!$C$12)^3</f>
        <v>689.102727</v>
      </c>
      <c r="O501" s="139">
        <f>Assumptions!$C$6*Assumptions!$C$7*(1+$G501-0.05*(1-$J501))^4+Assumptions!$C$6*Assumptions!$C$8*(1+Assumptions!$C$11)^4+Assumptions!$C$16*$J501+Assumptions!$C$6*Assumptions!$C$9*(1+Assumptions!$C$12)^4</f>
        <v>699.1261588</v>
      </c>
      <c r="P501" s="139">
        <f>Assumptions!$C$6*Assumptions!$C$7*(1+$G501-0.05*(1-$K501))^5+Assumptions!$C$6*Assumptions!$C$8*(1+Assumptions!$C$11)^5+Assumptions!$C$16*$K501+Assumptions!$C$6*Assumptions!$C$9*(1+Assumptions!$C$12)^5</f>
        <v>709.3157279</v>
      </c>
      <c r="Q501" s="139">
        <f>($L501*(1-(Assumptions!$C$25+0.06*(1-1))-Assumptions!$C$27)-Assumptions!$C$28)-MAX(0,($L501*(1-(Assumptions!$C$25+0.06*(1-1))-Assumptions!$C$27)-Assumptions!$C$28)*Assumptions!$C$31)+Assumptions!$C$28-Assumptions!$C$29-$L501*Assumptions!$C$30</f>
        <v>92.97009144</v>
      </c>
      <c r="R501" s="139">
        <f>($M501*(1-(Assumptions!$C$25+0.06*(1-$H501))-Assumptions!$C$27)-Assumptions!$C$28)-MAX(0,($M501*(1-(Assumptions!$C$25+0.06*(1-$H501))-Assumptions!$C$27)-Assumptions!$C$28)*Assumptions!$C$31)+Assumptions!$C$28-Assumptions!$C$29-$M501*Assumptions!$C$30</f>
        <v>98.92105771</v>
      </c>
      <c r="S501" s="139">
        <f>($N501*(1-(Assumptions!$C$25+0.06*(1-$I501))-Assumptions!$C$27)-Assumptions!$C$28)-MAX(0,($N501*(1-(Assumptions!$C$25+0.06*(1-$I501))-Assumptions!$C$27)-Assumptions!$C$28)*Assumptions!$C$31)+Assumptions!$C$28-Assumptions!$C$29-$N501*Assumptions!$C$30</f>
        <v>38.4936272</v>
      </c>
      <c r="T501" s="139">
        <f>($O501*(1-(Assumptions!$C$25+0.06*(1-$J501))-Assumptions!$C$27)-Assumptions!$C$28)-MAX(0,($O501*(1-(Assumptions!$C$25+0.06*(1-$J501))-Assumptions!$C$27)-Assumptions!$C$28)*Assumptions!$C$31)+Assumptions!$C$28-Assumptions!$C$29-$O501*Assumptions!$C$30</f>
        <v>40.79901652</v>
      </c>
      <c r="U501" s="139">
        <f>($P501*(1-(Assumptions!$C$25+0.06*(1-$K501))-Assumptions!$C$27)-Assumptions!$C$28)-MAX(0,($P501*(1-(Assumptions!$C$25+0.06*(1-$K501))-Assumptions!$C$27)-Assumptions!$C$28)*Assumptions!$C$31)+Assumptions!$C$28-Assumptions!$C$29-$P501*Assumptions!$C$30</f>
        <v>43.14261741</v>
      </c>
      <c r="V501" s="143">
        <f>(($Q501/(1+$D501)^1+$R501/(1+$D501)^2+$S501/(1+$D501)^3+$T501/(1+$D501)^4+$U501/(1+$D501)^5+$U501*(1+$E501)/($D501-$E501)/(1+$D501)^5)-Assumptions!$C$37)/Assumptions!$C$40/Assumptions!$C$38</f>
        <v>0.2016311578</v>
      </c>
    </row>
    <row r="502" ht="12.0" customHeight="1">
      <c r="B502" s="139">
        <v>450.0</v>
      </c>
      <c r="C502" s="140">
        <f t="shared" si="6"/>
        <v>0.4790332724</v>
      </c>
      <c r="D502" s="141">
        <f t="shared" si="7"/>
        <v>0.09790431826</v>
      </c>
      <c r="E502" s="141">
        <f t="shared" si="8"/>
        <v>0.01540312332</v>
      </c>
      <c r="F502" s="140">
        <f t="shared" si="9"/>
        <v>0.6878789004</v>
      </c>
      <c r="G502" s="141">
        <f t="shared" si="10"/>
        <v>0.06629730017</v>
      </c>
      <c r="H502" s="142">
        <f t="shared" si="11"/>
        <v>0</v>
      </c>
      <c r="I502" s="142">
        <f t="shared" si="12"/>
        <v>0</v>
      </c>
      <c r="J502" s="142">
        <f t="shared" si="13"/>
        <v>1</v>
      </c>
      <c r="K502" s="142">
        <f t="shared" si="14"/>
        <v>1</v>
      </c>
      <c r="L502" s="139">
        <f>Assumptions!$C$6*Assumptions!$C$7*(1+$G502-0.05*(1-1))^1+Assumptions!$C$6*Assumptions!$C$8*(1+Assumptions!$C$11)^1+Assumptions!$C$16*1+Assumptions!$C$6*Assumptions!$C$9*(1+Assumptions!$C$12)^1</f>
        <v>748.7836712</v>
      </c>
      <c r="M502" s="139">
        <f>Assumptions!$C$6*Assumptions!$C$7*(1+$G502-0.05*(1-$H502))^2+Assumptions!$C$6*Assumptions!$C$8*(1+Assumptions!$C$11)^2+Assumptions!$C$16*$H502+Assumptions!$C$6*Assumptions!$C$9*(1+Assumptions!$C$12)^2</f>
        <v>684.1261041</v>
      </c>
      <c r="N502" s="139">
        <f>Assumptions!$C$6*Assumptions!$C$7*(1+$G502-0.05*(1-$I502))^3+Assumptions!$C$6*Assumptions!$C$8*(1+Assumptions!$C$11)^3+Assumptions!$C$16*$I502+Assumptions!$C$6*Assumptions!$C$9*(1+Assumptions!$C$12)^3</f>
        <v>696.5213428</v>
      </c>
      <c r="O502" s="139">
        <f>Assumptions!$C$6*Assumptions!$C$7*(1+$G502-0.05*(1-$J502))^4+Assumptions!$C$6*Assumptions!$C$8*(1+Assumptions!$C$11)^4+Assumptions!$C$16*$J502+Assumptions!$C$6*Assumptions!$C$9*(1+Assumptions!$C$12)^4</f>
        <v>845.1968999</v>
      </c>
      <c r="P502" s="139">
        <f>Assumptions!$C$6*Assumptions!$C$7*(1+$G502-0.05*(1-$K502))^5+Assumptions!$C$6*Assumptions!$C$8*(1+Assumptions!$C$11)^5+Assumptions!$C$16*$K502+Assumptions!$C$6*Assumptions!$C$9*(1+Assumptions!$C$12)^5</f>
        <v>881.0465682</v>
      </c>
      <c r="Q502" s="139">
        <f>($L502*(1-(Assumptions!$C$25+0.06*(1-1))-Assumptions!$C$27)-Assumptions!$C$28)-MAX(0,($L502*(1-(Assumptions!$C$25+0.06*(1-1))-Assumptions!$C$27)-Assumptions!$C$28)*Assumptions!$C$31)+Assumptions!$C$28-Assumptions!$C$29-$L502*Assumptions!$C$30</f>
        <v>93.48848932</v>
      </c>
      <c r="R502" s="139">
        <f>($M502*(1-(Assumptions!$C$25+0.06*(1-$H502))-Assumptions!$C$27)-Assumptions!$C$28)-MAX(0,($M502*(1-(Assumptions!$C$25+0.06*(1-$H502))-Assumptions!$C$27)-Assumptions!$C$28)*Assumptions!$C$31)+Assumptions!$C$28-Assumptions!$C$29-$M502*Assumptions!$C$30</f>
        <v>37.34900394</v>
      </c>
      <c r="S502" s="139">
        <f>($N502*(1-(Assumptions!$C$25+0.06*(1-$I502))-Assumptions!$C$27)-Assumptions!$C$28)-MAX(0,($N502*(1-(Assumptions!$C$25+0.06*(1-$I502))-Assumptions!$C$27)-Assumptions!$C$28)*Assumptions!$C$31)+Assumptions!$C$28-Assumptions!$C$29-$N502*Assumptions!$C$30</f>
        <v>40.19990885</v>
      </c>
      <c r="T502" s="139">
        <f>($O502*(1-(Assumptions!$C$25+0.06*(1-$J502))-Assumptions!$C$27)-Assumptions!$C$28)-MAX(0,($O502*(1-(Assumptions!$C$25+0.06*(1-$J502))-Assumptions!$C$27)-Assumptions!$C$28)*Assumptions!$C$31)+Assumptions!$C$28-Assumptions!$C$29-$O502*Assumptions!$C$30</f>
        <v>114.2173335</v>
      </c>
      <c r="U502" s="139">
        <f>($P502*(1-(Assumptions!$C$25+0.06*(1-$K502))-Assumptions!$C$27)-Assumptions!$C$28)-MAX(0,($P502*(1-(Assumptions!$C$25+0.06*(1-$K502))-Assumptions!$C$27)-Assumptions!$C$28)*Assumptions!$C$31)+Assumptions!$C$28-Assumptions!$C$29-$P502*Assumptions!$C$30</f>
        <v>121.9250122</v>
      </c>
      <c r="V502" s="143">
        <f>(($Q502/(1+$D502)^1+$R502/(1+$D502)^2+$S502/(1+$D502)^3+$T502/(1+$D502)^4+$U502/(1+$D502)^5+$U502*(1+$E502)/($D502-$E502)/(1+$D502)^5)-Assumptions!$C$37)/Assumptions!$C$40/Assumptions!$C$38</f>
        <v>4.296454467</v>
      </c>
    </row>
    <row r="503" ht="12.0" customHeight="1">
      <c r="B503" s="139">
        <v>451.0</v>
      </c>
      <c r="C503" s="140">
        <f t="shared" si="6"/>
        <v>0.4942082545</v>
      </c>
      <c r="D503" s="141">
        <f t="shared" si="7"/>
        <v>0.09815514413</v>
      </c>
      <c r="E503" s="141">
        <f t="shared" si="8"/>
        <v>0.0167650349</v>
      </c>
      <c r="F503" s="140">
        <f t="shared" si="9"/>
        <v>0.1290868803</v>
      </c>
      <c r="G503" s="141">
        <f t="shared" si="10"/>
        <v>0.04524324062</v>
      </c>
      <c r="H503" s="142">
        <f t="shared" si="11"/>
        <v>0</v>
      </c>
      <c r="I503" s="142">
        <f t="shared" si="12"/>
        <v>1</v>
      </c>
      <c r="J503" s="142">
        <f t="shared" si="13"/>
        <v>0</v>
      </c>
      <c r="K503" s="142">
        <f t="shared" si="14"/>
        <v>1</v>
      </c>
      <c r="L503" s="139">
        <f>Assumptions!$C$6*Assumptions!$C$7*(1+$G503-0.05*(1-1))^1+Assumptions!$C$6*Assumptions!$C$8*(1+Assumptions!$C$11)^1+Assumptions!$C$16*1+Assumptions!$C$6*Assumptions!$C$9*(1+Assumptions!$C$12)^1</f>
        <v>741.6968748</v>
      </c>
      <c r="M503" s="139">
        <f>Assumptions!$C$6*Assumptions!$C$7*(1+$G503-0.05*(1-$H503))^2+Assumptions!$C$6*Assumptions!$C$8*(1+Assumptions!$C$11)^2+Assumptions!$C$16*$H503+Assumptions!$C$6*Assumptions!$C$9*(1+Assumptions!$C$12)^2</f>
        <v>669.8707258</v>
      </c>
      <c r="N503" s="139">
        <f>Assumptions!$C$6*Assumptions!$C$7*(1+$G503-0.05*(1-$I503))^3+Assumptions!$C$6*Assumptions!$C$8*(1+Assumptions!$C$11)^3+Assumptions!$C$16*$I503+Assumptions!$C$6*Assumptions!$C$9*(1+Assumptions!$C$12)^3</f>
        <v>787.5794753</v>
      </c>
      <c r="O503" s="139">
        <f>Assumptions!$C$6*Assumptions!$C$7*(1+$G503-0.05*(1-$J503))^4+Assumptions!$C$6*Assumptions!$C$8*(1+Assumptions!$C$11)^4+Assumptions!$C$16*$J503+Assumptions!$C$6*Assumptions!$C$9*(1+Assumptions!$C$12)^4</f>
        <v>680.299612</v>
      </c>
      <c r="P503" s="139">
        <f>Assumptions!$C$6*Assumptions!$C$7*(1+$G503-0.05*(1-$K503))^5+Assumptions!$C$6*Assumptions!$C$8*(1+Assumptions!$C$11)^5+Assumptions!$C$16*$K503+Assumptions!$C$6*Assumptions!$C$9*(1+Assumptions!$C$12)^5</f>
        <v>837.0129854</v>
      </c>
      <c r="Q503" s="139">
        <f>($L503*(1-(Assumptions!$C$25+0.06*(1-1))-Assumptions!$C$27)-Assumptions!$C$28)-MAX(0,($L503*(1-(Assumptions!$C$25+0.06*(1-1))-Assumptions!$C$27)-Assumptions!$C$28)*Assumptions!$C$31)+Assumptions!$C$28-Assumptions!$C$29-$L503*Assumptions!$C$30</f>
        <v>91.96482808</v>
      </c>
      <c r="R503" s="139">
        <f>($M503*(1-(Assumptions!$C$25+0.06*(1-$H503))-Assumptions!$C$27)-Assumptions!$C$28)-MAX(0,($M503*(1-(Assumptions!$C$25+0.06*(1-$H503))-Assumptions!$C$27)-Assumptions!$C$28)*Assumptions!$C$31)+Assumptions!$C$28-Assumptions!$C$29-$M503*Assumptions!$C$30</f>
        <v>34.07026692</v>
      </c>
      <c r="S503" s="139">
        <f>($N503*(1-(Assumptions!$C$25+0.06*(1-$I503))-Assumptions!$C$27)-Assumptions!$C$28)-MAX(0,($N503*(1-(Assumptions!$C$25+0.06*(1-$I503))-Assumptions!$C$27)-Assumptions!$C$28)*Assumptions!$C$31)+Assumptions!$C$28-Assumptions!$C$29-$N503*Assumptions!$C$30</f>
        <v>101.8295872</v>
      </c>
      <c r="T503" s="139">
        <f>($O503*(1-(Assumptions!$C$25+0.06*(1-$J503))-Assumptions!$C$27)-Assumptions!$C$28)-MAX(0,($O503*(1-(Assumptions!$C$25+0.06*(1-$J503))-Assumptions!$C$27)-Assumptions!$C$28)*Assumptions!$C$31)+Assumptions!$C$28-Assumptions!$C$29-$O503*Assumptions!$C$30</f>
        <v>36.46891075</v>
      </c>
      <c r="U503" s="139">
        <f>($P503*(1-(Assumptions!$C$25+0.06*(1-$K503))-Assumptions!$C$27)-Assumptions!$C$28)-MAX(0,($P503*(1-(Assumptions!$C$25+0.06*(1-$K503))-Assumptions!$C$27)-Assumptions!$C$28)*Assumptions!$C$31)+Assumptions!$C$28-Assumptions!$C$29-$P503*Assumptions!$C$30</f>
        <v>112.4577919</v>
      </c>
      <c r="V503" s="143">
        <f>(($Q503/(1+$D503)^1+$R503/(1+$D503)^2+$S503/(1+$D503)^3+$T503/(1+$D503)^4+$U503/(1+$D503)^5+$U503*(1+$E503)/($D503-$E503)/(1+$D503)^5)-Assumptions!$C$37)/Assumptions!$C$40/Assumptions!$C$38</f>
        <v>3.686218808</v>
      </c>
    </row>
    <row r="504" ht="12.0" customHeight="1">
      <c r="B504" s="139">
        <v>452.0</v>
      </c>
      <c r="C504" s="140">
        <f t="shared" si="6"/>
        <v>0.9201375442</v>
      </c>
      <c r="D504" s="141">
        <f t="shared" si="7"/>
        <v>0.1083065078</v>
      </c>
      <c r="E504" s="141">
        <f t="shared" si="8"/>
        <v>0.011176641</v>
      </c>
      <c r="F504" s="140">
        <f t="shared" si="9"/>
        <v>0.6346072109</v>
      </c>
      <c r="G504" s="141">
        <f t="shared" si="10"/>
        <v>0.06435420073</v>
      </c>
      <c r="H504" s="142">
        <f t="shared" si="11"/>
        <v>1</v>
      </c>
      <c r="I504" s="142">
        <f t="shared" si="12"/>
        <v>1</v>
      </c>
      <c r="J504" s="142">
        <f t="shared" si="13"/>
        <v>0</v>
      </c>
      <c r="K504" s="142">
        <f t="shared" si="14"/>
        <v>1</v>
      </c>
      <c r="L504" s="139">
        <f>Assumptions!$C$6*Assumptions!$C$7*(1+$G504-0.05*(1-1))^1+Assumptions!$C$6*Assumptions!$C$8*(1+Assumptions!$C$11)^1+Assumptions!$C$16*1+Assumptions!$C$6*Assumptions!$C$9*(1+Assumptions!$C$12)^1</f>
        <v>748.129624</v>
      </c>
      <c r="M504" s="139">
        <f>Assumptions!$C$6*Assumptions!$C$7*(1+$G504-0.05*(1-$H504))^2+Assumptions!$C$6*Assumptions!$C$8*(1+Assumptions!$C$11)^2+Assumptions!$C$16*$H504+Assumptions!$C$6*Assumptions!$C$9*(1+Assumptions!$C$12)^2</f>
        <v>777.7826244</v>
      </c>
      <c r="N504" s="139">
        <f>Assumptions!$C$6*Assumptions!$C$7*(1+$G504-0.05*(1-$I504))^3+Assumptions!$C$6*Assumptions!$C$8*(1+Assumptions!$C$11)^3+Assumptions!$C$16*$I504+Assumptions!$C$6*Assumptions!$C$9*(1+Assumptions!$C$12)^3</f>
        <v>809.0512994</v>
      </c>
      <c r="O504" s="139">
        <f>Assumptions!$C$6*Assumptions!$C$7*(1+$G504-0.05*(1-$J504))^4+Assumptions!$C$6*Assumptions!$C$8*(1+Assumptions!$C$11)^4+Assumptions!$C$16*$J504+Assumptions!$C$6*Assumptions!$C$9*(1+Assumptions!$C$12)^4</f>
        <v>706.4051774</v>
      </c>
      <c r="P504" s="139">
        <f>Assumptions!$C$6*Assumptions!$C$7*(1+$G504-0.05*(1-$K504))^5+Assumptions!$C$6*Assumptions!$C$8*(1+Assumptions!$C$11)^5+Assumptions!$C$16*$K504+Assumptions!$C$6*Assumptions!$C$9*(1+Assumptions!$C$12)^5</f>
        <v>876.8343626</v>
      </c>
      <c r="Q504" s="139">
        <f>($L504*(1-(Assumptions!$C$25+0.06*(1-1))-Assumptions!$C$27)-Assumptions!$C$28)-MAX(0,($L504*(1-(Assumptions!$C$25+0.06*(1-1))-Assumptions!$C$27)-Assumptions!$C$28)*Assumptions!$C$31)+Assumptions!$C$28-Assumptions!$C$29-$L504*Assumptions!$C$30</f>
        <v>93.34786915</v>
      </c>
      <c r="R504" s="139">
        <f>($M504*(1-(Assumptions!$C$25+0.06*(1-$H504))-Assumptions!$C$27)-Assumptions!$C$28)-MAX(0,($M504*(1-(Assumptions!$C$25+0.06*(1-$H504))-Assumptions!$C$27)-Assumptions!$C$28)*Assumptions!$C$31)+Assumptions!$C$28-Assumptions!$C$29-$M504*Assumptions!$C$30</f>
        <v>99.72326425</v>
      </c>
      <c r="S504" s="139">
        <f>($N504*(1-(Assumptions!$C$25+0.06*(1-$I504))-Assumptions!$C$27)-Assumptions!$C$28)-MAX(0,($N504*(1-(Assumptions!$C$25+0.06*(1-$I504))-Assumptions!$C$27)-Assumptions!$C$28)*Assumptions!$C$31)+Assumptions!$C$28-Assumptions!$C$29-$N504*Assumptions!$C$30</f>
        <v>106.4460294</v>
      </c>
      <c r="T504" s="139">
        <f>($O504*(1-(Assumptions!$C$25+0.06*(1-$J504))-Assumptions!$C$27)-Assumptions!$C$28)-MAX(0,($O504*(1-(Assumptions!$C$25+0.06*(1-$J504))-Assumptions!$C$27)-Assumptions!$C$28)*Assumptions!$C$31)+Assumptions!$C$28-Assumptions!$C$29-$O504*Assumptions!$C$30</f>
        <v>42.4731908</v>
      </c>
      <c r="U504" s="139">
        <f>($P504*(1-(Assumptions!$C$25+0.06*(1-$K504))-Assumptions!$C$27)-Assumptions!$C$28)-MAX(0,($P504*(1-(Assumptions!$C$25+0.06*(1-$K504))-Assumptions!$C$27)-Assumptions!$C$28)*Assumptions!$C$31)+Assumptions!$C$28-Assumptions!$C$29-$P504*Assumptions!$C$30</f>
        <v>121.019388</v>
      </c>
      <c r="V504" s="143">
        <f>(($Q504/(1+$D504)^1+$R504/(1+$D504)^2+$S504/(1+$D504)^3+$T504/(1+$D504)^4+$U504/(1+$D504)^5+$U504*(1+$E504)/($D504-$E504)/(1+$D504)^5)-Assumptions!$C$37)/Assumptions!$C$40/Assumptions!$C$38</f>
        <v>3.167060289</v>
      </c>
    </row>
    <row r="505" ht="12.0" customHeight="1">
      <c r="B505" s="139">
        <v>453.0</v>
      </c>
      <c r="C505" s="140">
        <f t="shared" si="6"/>
        <v>0.3852012841</v>
      </c>
      <c r="D505" s="141">
        <f t="shared" si="7"/>
        <v>0.09642846049</v>
      </c>
      <c r="E505" s="141">
        <f t="shared" si="8"/>
        <v>0.01114686059</v>
      </c>
      <c r="F505" s="140">
        <f t="shared" si="9"/>
        <v>0.1900543914</v>
      </c>
      <c r="G505" s="141">
        <f t="shared" si="10"/>
        <v>0.04849588885</v>
      </c>
      <c r="H505" s="142">
        <f t="shared" si="11"/>
        <v>1</v>
      </c>
      <c r="I505" s="142">
        <f t="shared" si="12"/>
        <v>0</v>
      </c>
      <c r="J505" s="142">
        <f t="shared" si="13"/>
        <v>0</v>
      </c>
      <c r="K505" s="142">
        <f t="shared" si="14"/>
        <v>1</v>
      </c>
      <c r="L505" s="139">
        <f>Assumptions!$C$6*Assumptions!$C$7*(1+$G505-0.05*(1-1))^1+Assumptions!$C$6*Assumptions!$C$8*(1+Assumptions!$C$11)^1+Assumptions!$C$16*1+Assumptions!$C$6*Assumptions!$C$9*(1+Assumptions!$C$12)^1</f>
        <v>742.7917162</v>
      </c>
      <c r="M505" s="139">
        <f>Assumptions!$C$6*Assumptions!$C$7*(1+$G505-0.05*(1-$H505))^2+Assumptions!$C$6*Assumptions!$C$8*(1+Assumptions!$C$11)^2+Assumptions!$C$16*$H505+Assumptions!$C$6*Assumptions!$C$9*(1+Assumptions!$C$12)^2</f>
        <v>766.5044255</v>
      </c>
      <c r="N505" s="139">
        <f>Assumptions!$C$6*Assumptions!$C$7*(1+$G505-0.05*(1-$I505))^3+Assumptions!$C$6*Assumptions!$C$8*(1+Assumptions!$C$11)^3+Assumptions!$C$16*$I505+Assumptions!$C$6*Assumptions!$C$9*(1+Assumptions!$C$12)^3</f>
        <v>678.2780991</v>
      </c>
      <c r="O505" s="139">
        <f>Assumptions!$C$6*Assumptions!$C$7*(1+$G505-0.05*(1-$J505))^4+Assumptions!$C$6*Assumptions!$C$8*(1+Assumptions!$C$11)^4+Assumptions!$C$16*$J505+Assumptions!$C$6*Assumptions!$C$9*(1+Assumptions!$C$12)^4</f>
        <v>684.6379898</v>
      </c>
      <c r="P505" s="139">
        <f>Assumptions!$C$6*Assumptions!$C$7*(1+$G505-0.05*(1-$K505))^5+Assumptions!$C$6*Assumptions!$C$8*(1+Assumptions!$C$11)^5+Assumptions!$C$16*$K505+Assumptions!$C$6*Assumptions!$C$9*(1+Assumptions!$C$12)^5</f>
        <v>843.5879528</v>
      </c>
      <c r="Q505" s="139">
        <f>($L505*(1-(Assumptions!$C$25+0.06*(1-1))-Assumptions!$C$27)-Assumptions!$C$28)-MAX(0,($L505*(1-(Assumptions!$C$25+0.06*(1-1))-Assumptions!$C$27)-Assumptions!$C$28)*Assumptions!$C$31)+Assumptions!$C$28-Assumptions!$C$29-$L505*Assumptions!$C$30</f>
        <v>92.20021898</v>
      </c>
      <c r="R505" s="139">
        <f>($M505*(1-(Assumptions!$C$25+0.06*(1-$H505))-Assumptions!$C$27)-Assumptions!$C$28)-MAX(0,($M505*(1-(Assumptions!$C$25+0.06*(1-$H505))-Assumptions!$C$27)-Assumptions!$C$28)*Assumptions!$C$31)+Assumptions!$C$28-Assumptions!$C$29-$M505*Assumptions!$C$30</f>
        <v>97.29845148</v>
      </c>
      <c r="S505" s="139">
        <f>($N505*(1-(Assumptions!$C$25+0.06*(1-$I505))-Assumptions!$C$27)-Assumptions!$C$28)-MAX(0,($N505*(1-(Assumptions!$C$25+0.06*(1-$I505))-Assumptions!$C$27)-Assumptions!$C$28)*Assumptions!$C$31)+Assumptions!$C$28-Assumptions!$C$29-$N505*Assumptions!$C$30</f>
        <v>36.0039628</v>
      </c>
      <c r="T505" s="139">
        <f>($O505*(1-(Assumptions!$C$25+0.06*(1-$J505))-Assumptions!$C$27)-Assumptions!$C$28)-MAX(0,($O505*(1-(Assumptions!$C$25+0.06*(1-$J505))-Assumptions!$C$27)-Assumptions!$C$28)*Assumptions!$C$31)+Assumptions!$C$28-Assumptions!$C$29-$O505*Assumptions!$C$30</f>
        <v>37.46673765</v>
      </c>
      <c r="U505" s="139">
        <f>($P505*(1-(Assumptions!$C$25+0.06*(1-$K505))-Assumptions!$C$27)-Assumptions!$C$28)-MAX(0,($P505*(1-(Assumptions!$C$25+0.06*(1-$K505))-Assumptions!$C$27)-Assumptions!$C$28)*Assumptions!$C$31)+Assumptions!$C$28-Assumptions!$C$29-$P505*Assumptions!$C$30</f>
        <v>113.8714098</v>
      </c>
      <c r="V505" s="143">
        <f>(($Q505/(1+$D505)^1+$R505/(1+$D505)^2+$S505/(1+$D505)^3+$T505/(1+$D505)^4+$U505/(1+$D505)^5+$U505*(1+$E505)/($D505-$E505)/(1+$D505)^5)-Assumptions!$C$37)/Assumptions!$C$40/Assumptions!$C$38</f>
        <v>3.515662657</v>
      </c>
    </row>
    <row r="506" ht="12.0" customHeight="1">
      <c r="B506" s="139">
        <v>454.0</v>
      </c>
      <c r="C506" s="140">
        <f t="shared" si="6"/>
        <v>0.1186503294</v>
      </c>
      <c r="D506" s="141">
        <f t="shared" si="7"/>
        <v>0.09134211808</v>
      </c>
      <c r="E506" s="141">
        <f t="shared" si="8"/>
        <v>0.01483181906</v>
      </c>
      <c r="F506" s="140">
        <f t="shared" si="9"/>
        <v>0.1091950495</v>
      </c>
      <c r="G506" s="141">
        <f t="shared" si="10"/>
        <v>0.04401966794</v>
      </c>
      <c r="H506" s="142">
        <f t="shared" si="11"/>
        <v>1</v>
      </c>
      <c r="I506" s="142">
        <f t="shared" si="12"/>
        <v>1</v>
      </c>
      <c r="J506" s="142">
        <f t="shared" si="13"/>
        <v>0</v>
      </c>
      <c r="K506" s="142">
        <f t="shared" si="14"/>
        <v>1</v>
      </c>
      <c r="L506" s="139">
        <f>Assumptions!$C$6*Assumptions!$C$7*(1+$G506-0.05*(1-1))^1+Assumptions!$C$6*Assumptions!$C$8*(1+Assumptions!$C$11)^1+Assumptions!$C$16*1+Assumptions!$C$6*Assumptions!$C$9*(1+Assumptions!$C$12)^1</f>
        <v>741.2850202</v>
      </c>
      <c r="M506" s="139">
        <f>Assumptions!$C$6*Assumptions!$C$7*(1+$G506-0.05*(1-$H506))^2+Assumptions!$C$6*Assumptions!$C$8*(1+Assumptions!$C$11)^2+Assumptions!$C$16*$H506+Assumptions!$C$6*Assumptions!$C$9*(1+Assumptions!$C$12)^2</f>
        <v>763.3516408</v>
      </c>
      <c r="N506" s="139">
        <f>Assumptions!$C$6*Assumptions!$C$7*(1+$G506-0.05*(1-$I506))^3+Assumptions!$C$6*Assumptions!$C$8*(1+Assumptions!$C$11)^3+Assumptions!$C$16*$I506+Assumptions!$C$6*Assumptions!$C$9*(1+Assumptions!$C$12)^3</f>
        <v>786.2311602</v>
      </c>
      <c r="O506" s="139">
        <f>Assumptions!$C$6*Assumptions!$C$7*(1+$G506-0.05*(1-$J506))^4+Assumptions!$C$6*Assumptions!$C$8*(1+Assumptions!$C$11)^4+Assumptions!$C$16*$J506+Assumptions!$C$6*Assumptions!$C$9*(1+Assumptions!$C$12)^4</f>
        <v>678.6785836</v>
      </c>
      <c r="P506" s="139">
        <f>Assumptions!$C$6*Assumptions!$C$7*(1+$G506-0.05*(1-$K506))^5+Assumptions!$C$6*Assumptions!$C$8*(1+Assumptions!$C$11)^5+Assumptions!$C$16*$K506+Assumptions!$C$6*Assumptions!$C$9*(1+Assumptions!$C$12)^5</f>
        <v>834.560725</v>
      </c>
      <c r="Q506" s="139">
        <f>($L506*(1-(Assumptions!$C$25+0.06*(1-1))-Assumptions!$C$27)-Assumptions!$C$28)-MAX(0,($L506*(1-(Assumptions!$C$25+0.06*(1-1))-Assumptions!$C$27)-Assumptions!$C$28)*Assumptions!$C$31)+Assumptions!$C$28-Assumptions!$C$29-$L506*Assumptions!$C$30</f>
        <v>91.87627935</v>
      </c>
      <c r="R506" s="139">
        <f>($M506*(1-(Assumptions!$C$25+0.06*(1-$H506))-Assumptions!$C$27)-Assumptions!$C$28)-MAX(0,($M506*(1-(Assumptions!$C$25+0.06*(1-$H506))-Assumptions!$C$27)-Assumptions!$C$28)*Assumptions!$C$31)+Assumptions!$C$28-Assumptions!$C$29-$M506*Assumptions!$C$30</f>
        <v>96.62060276</v>
      </c>
      <c r="S506" s="139">
        <f>($N506*(1-(Assumptions!$C$25+0.06*(1-$I506))-Assumptions!$C$27)-Assumptions!$C$28)-MAX(0,($N506*(1-(Assumptions!$C$25+0.06*(1-$I506))-Assumptions!$C$27)-Assumptions!$C$28)*Assumptions!$C$31)+Assumptions!$C$28-Assumptions!$C$29-$N506*Assumptions!$C$30</f>
        <v>101.5396994</v>
      </c>
      <c r="T506" s="139">
        <f>($O506*(1-(Assumptions!$C$25+0.06*(1-$J506))-Assumptions!$C$27)-Assumptions!$C$28)-MAX(0,($O506*(1-(Assumptions!$C$25+0.06*(1-$J506))-Assumptions!$C$27)-Assumptions!$C$28)*Assumptions!$C$31)+Assumptions!$C$28-Assumptions!$C$29-$O506*Assumptions!$C$30</f>
        <v>36.09607424</v>
      </c>
      <c r="U506" s="139">
        <f>($P506*(1-(Assumptions!$C$25+0.06*(1-$K506))-Assumptions!$C$27)-Assumptions!$C$28)-MAX(0,($P506*(1-(Assumptions!$C$25+0.06*(1-$K506))-Assumptions!$C$27)-Assumptions!$C$28)*Assumptions!$C$31)+Assumptions!$C$28-Assumptions!$C$29-$P506*Assumptions!$C$30</f>
        <v>111.9305559</v>
      </c>
      <c r="V506" s="143">
        <f>(($Q506/(1+$D506)^1+$R506/(1+$D506)^2+$S506/(1+$D506)^3+$T506/(1+$D506)^4+$U506/(1+$D506)^5+$U506*(1+$E506)/($D506-$E506)/(1+$D506)^5)-Assumptions!$C$37)/Assumptions!$C$40/Assumptions!$C$38</f>
        <v>4.748514088</v>
      </c>
    </row>
    <row r="507" ht="12.0" customHeight="1">
      <c r="B507" s="139">
        <v>455.0</v>
      </c>
      <c r="C507" s="140">
        <f t="shared" si="6"/>
        <v>0.02327086971</v>
      </c>
      <c r="D507" s="141">
        <f t="shared" si="7"/>
        <v>0.08780870519</v>
      </c>
      <c r="E507" s="141">
        <f t="shared" si="8"/>
        <v>0.02295002483</v>
      </c>
      <c r="F507" s="140">
        <f t="shared" si="9"/>
        <v>0.2475404697</v>
      </c>
      <c r="G507" s="141">
        <f t="shared" si="10"/>
        <v>0.05110859648</v>
      </c>
      <c r="H507" s="142">
        <f t="shared" si="11"/>
        <v>1</v>
      </c>
      <c r="I507" s="142">
        <f t="shared" si="12"/>
        <v>1</v>
      </c>
      <c r="J507" s="142">
        <f t="shared" si="13"/>
        <v>0</v>
      </c>
      <c r="K507" s="142">
        <f t="shared" si="14"/>
        <v>1</v>
      </c>
      <c r="L507" s="139">
        <f>Assumptions!$C$6*Assumptions!$C$7*(1+$G507-0.05*(1-1))^1+Assumptions!$C$6*Assumptions!$C$8*(1+Assumptions!$C$11)^1+Assumptions!$C$16*1+Assumptions!$C$6*Assumptions!$C$9*(1+Assumptions!$C$12)^1</f>
        <v>743.6711536</v>
      </c>
      <c r="M507" s="139">
        <f>Assumptions!$C$6*Assumptions!$C$7*(1+$G507-0.05*(1-$H507))^2+Assumptions!$C$6*Assumptions!$C$8*(1+Assumptions!$C$11)^2+Assumptions!$C$16*$H507+Assumptions!$C$6*Assumptions!$C$9*(1+Assumptions!$C$12)^2</f>
        <v>768.3508962</v>
      </c>
      <c r="N507" s="139">
        <f>Assumptions!$C$6*Assumptions!$C$7*(1+$G507-0.05*(1-$I507))^3+Assumptions!$C$6*Assumptions!$C$8*(1+Assumptions!$C$11)^3+Assumptions!$C$16*$I507+Assumptions!$C$6*Assumptions!$C$9*(1+Assumptions!$C$12)^3</f>
        <v>794.0867512</v>
      </c>
      <c r="O507" s="139">
        <f>Assumptions!$C$6*Assumptions!$C$7*(1+$G507-0.05*(1-$J507))^4+Assumptions!$C$6*Assumptions!$C$8*(1+Assumptions!$C$11)^4+Assumptions!$C$16*$J507+Assumptions!$C$6*Assumptions!$C$9*(1+Assumptions!$C$12)^4</f>
        <v>688.1536587</v>
      </c>
      <c r="P507" s="139">
        <f>Assumptions!$C$6*Assumptions!$C$7*(1+$G507-0.05*(1-$K507))^5+Assumptions!$C$6*Assumptions!$C$8*(1+Assumptions!$C$11)^5+Assumptions!$C$16*$K507+Assumptions!$C$6*Assumptions!$C$9*(1+Assumptions!$C$12)^5</f>
        <v>848.9287521</v>
      </c>
      <c r="Q507" s="139">
        <f>($L507*(1-(Assumptions!$C$25+0.06*(1-1))-Assumptions!$C$27)-Assumptions!$C$28)-MAX(0,($L507*(1-(Assumptions!$C$25+0.06*(1-1))-Assumptions!$C$27)-Assumptions!$C$28)*Assumptions!$C$31)+Assumptions!$C$28-Assumptions!$C$29-$L507*Assumptions!$C$30</f>
        <v>92.38929802</v>
      </c>
      <c r="R507" s="139">
        <f>($M507*(1-(Assumptions!$C$25+0.06*(1-$H507))-Assumptions!$C$27)-Assumptions!$C$28)-MAX(0,($M507*(1-(Assumptions!$C$25+0.06*(1-$H507))-Assumptions!$C$27)-Assumptions!$C$28)*Assumptions!$C$31)+Assumptions!$C$28-Assumptions!$C$29-$M507*Assumptions!$C$30</f>
        <v>97.69544268</v>
      </c>
      <c r="S507" s="139">
        <f>($N507*(1-(Assumptions!$C$25+0.06*(1-$I507))-Assumptions!$C$27)-Assumptions!$C$28)-MAX(0,($N507*(1-(Assumptions!$C$25+0.06*(1-$I507))-Assumptions!$C$27)-Assumptions!$C$28)*Assumptions!$C$31)+Assumptions!$C$28-Assumptions!$C$29-$N507*Assumptions!$C$30</f>
        <v>103.2286515</v>
      </c>
      <c r="T507" s="139">
        <f>($O507*(1-(Assumptions!$C$25+0.06*(1-$J507))-Assumptions!$C$27)-Assumptions!$C$28)-MAX(0,($O507*(1-(Assumptions!$C$25+0.06*(1-$J507))-Assumptions!$C$27)-Assumptions!$C$28)*Assumptions!$C$31)+Assumptions!$C$28-Assumptions!$C$29-$O507*Assumptions!$C$30</f>
        <v>38.27534151</v>
      </c>
      <c r="U507" s="139">
        <f>($P507*(1-(Assumptions!$C$25+0.06*(1-$K507))-Assumptions!$C$27)-Assumptions!$C$28)-MAX(0,($P507*(1-(Assumptions!$C$25+0.06*(1-$K507))-Assumptions!$C$27)-Assumptions!$C$28)*Assumptions!$C$31)+Assumptions!$C$28-Assumptions!$C$29-$P507*Assumptions!$C$30</f>
        <v>115.0196817</v>
      </c>
      <c r="V507" s="143">
        <f>(($Q507/(1+$D507)^1+$R507/(1+$D507)^2+$S507/(1+$D507)^3+$T507/(1+$D507)^4+$U507/(1+$D507)^5+$U507*(1+$E507)/($D507-$E507)/(1+$D507)^5)-Assumptions!$C$37)/Assumptions!$C$40/Assumptions!$C$38</f>
        <v>6.63170871</v>
      </c>
    </row>
    <row r="508" ht="12.0" customHeight="1">
      <c r="B508" s="139">
        <v>456.0</v>
      </c>
      <c r="C508" s="140">
        <f t="shared" si="6"/>
        <v>0.6896879633</v>
      </c>
      <c r="D508" s="141">
        <f t="shared" si="7"/>
        <v>0.1018058705</v>
      </c>
      <c r="E508" s="141">
        <f t="shared" si="8"/>
        <v>0.01209517779</v>
      </c>
      <c r="F508" s="140">
        <f t="shared" si="9"/>
        <v>0.05024153945</v>
      </c>
      <c r="G508" s="141">
        <f t="shared" si="10"/>
        <v>0.03950971982</v>
      </c>
      <c r="H508" s="142">
        <f t="shared" si="11"/>
        <v>0</v>
      </c>
      <c r="I508" s="142">
        <f t="shared" si="12"/>
        <v>0</v>
      </c>
      <c r="J508" s="142">
        <f t="shared" si="13"/>
        <v>1</v>
      </c>
      <c r="K508" s="142">
        <f t="shared" si="14"/>
        <v>1</v>
      </c>
      <c r="L508" s="139">
        <f>Assumptions!$C$6*Assumptions!$C$7*(1+$G508-0.05*(1-1))^1+Assumptions!$C$6*Assumptions!$C$8*(1+Assumptions!$C$11)^1+Assumptions!$C$16*1+Assumptions!$C$6*Assumptions!$C$9*(1+Assumptions!$C$12)^1</f>
        <v>739.7669717</v>
      </c>
      <c r="M508" s="139">
        <f>Assumptions!$C$6*Assumptions!$C$7*(1+$G508-0.05*(1-$H508))^2+Assumptions!$C$6*Assumptions!$C$8*(1+Assumptions!$C$11)^2+Assumptions!$C$16*$H508+Assumptions!$C$6*Assumptions!$C$9*(1+Assumptions!$C$12)^2</f>
        <v>666.0403449</v>
      </c>
      <c r="N508" s="139">
        <f>Assumptions!$C$6*Assumptions!$C$7*(1+$G508-0.05*(1-$I508))^3+Assumptions!$C$6*Assumptions!$C$8*(1+Assumptions!$C$11)^3+Assumptions!$C$16*$I508+Assumptions!$C$6*Assumptions!$C$9*(1+Assumptions!$C$12)^3</f>
        <v>669.3123181</v>
      </c>
      <c r="O508" s="139">
        <f>Assumptions!$C$6*Assumptions!$C$7*(1+$G508-0.05*(1-$J508))^4+Assumptions!$C$6*Assumptions!$C$8*(1+Assumptions!$C$11)^4+Assumptions!$C$16*$J508+Assumptions!$C$6*Assumptions!$C$9*(1+Assumptions!$C$12)^4</f>
        <v>803.0909391</v>
      </c>
      <c r="P508" s="139">
        <f>Assumptions!$C$6*Assumptions!$C$7*(1+$G508-0.05*(1-$K508))^5+Assumptions!$C$6*Assumptions!$C$8*(1+Assumptions!$C$11)^5+Assumptions!$C$16*$K508+Assumptions!$C$6*Assumptions!$C$9*(1+Assumptions!$C$12)^5</f>
        <v>825.6207095</v>
      </c>
      <c r="Q508" s="139">
        <f>($L508*(1-(Assumptions!$C$25+0.06*(1-1))-Assumptions!$C$27)-Assumptions!$C$28)-MAX(0,($L508*(1-(Assumptions!$C$25+0.06*(1-1))-Assumptions!$C$27)-Assumptions!$C$28)*Assumptions!$C$31)+Assumptions!$C$28-Assumptions!$C$29-$L508*Assumptions!$C$30</f>
        <v>91.54989891</v>
      </c>
      <c r="R508" s="139">
        <f>($M508*(1-(Assumptions!$C$25+0.06*(1-$H508))-Assumptions!$C$27)-Assumptions!$C$28)-MAX(0,($M508*(1-(Assumptions!$C$25+0.06*(1-$H508))-Assumptions!$C$27)-Assumptions!$C$28)*Assumptions!$C$31)+Assumptions!$C$28-Assumptions!$C$29-$M508*Assumptions!$C$30</f>
        <v>33.18927932</v>
      </c>
      <c r="S508" s="139">
        <f>($N508*(1-(Assumptions!$C$25+0.06*(1-$I508))-Assumptions!$C$27)-Assumptions!$C$28)-MAX(0,($N508*(1-(Assumptions!$C$25+0.06*(1-$I508))-Assumptions!$C$27)-Assumptions!$C$28)*Assumptions!$C$31)+Assumptions!$C$28-Assumptions!$C$29-$N508*Assumptions!$C$30</f>
        <v>33.94183317</v>
      </c>
      <c r="T508" s="139">
        <f>($O508*(1-(Assumptions!$C$25+0.06*(1-$J508))-Assumptions!$C$27)-Assumptions!$C$28)-MAX(0,($O508*(1-(Assumptions!$C$25+0.06*(1-$J508))-Assumptions!$C$27)-Assumptions!$C$28)*Assumptions!$C$31)+Assumptions!$C$28-Assumptions!$C$29-$O508*Assumptions!$C$30</f>
        <v>105.1645519</v>
      </c>
      <c r="U508" s="139">
        <f>($P508*(1-(Assumptions!$C$25+0.06*(1-$K508))-Assumptions!$C$27)-Assumptions!$C$28)-MAX(0,($P508*(1-(Assumptions!$C$25+0.06*(1-$K508))-Assumptions!$C$27)-Assumptions!$C$28)*Assumptions!$C$31)+Assumptions!$C$28-Assumptions!$C$29-$P508*Assumptions!$C$30</f>
        <v>110.0084525</v>
      </c>
      <c r="V508" s="143">
        <f>(($Q508/(1+$D508)^1+$R508/(1+$D508)^2+$S508/(1+$D508)^3+$T508/(1+$D508)^4+$U508/(1+$D508)^5+$U508*(1+$E508)/($D508-$E508)/(1+$D508)^5)-Assumptions!$C$37)/Assumptions!$C$40/Assumptions!$C$38</f>
        <v>2.71217513</v>
      </c>
    </row>
    <row r="509" ht="12.0" customHeight="1">
      <c r="B509" s="139">
        <v>457.0</v>
      </c>
      <c r="C509" s="140">
        <f t="shared" si="6"/>
        <v>0.4971840375</v>
      </c>
      <c r="D509" s="141">
        <f t="shared" si="7"/>
        <v>0.09820476987</v>
      </c>
      <c r="E509" s="141">
        <f t="shared" si="8"/>
        <v>0.01949581806</v>
      </c>
      <c r="F509" s="140">
        <f t="shared" si="9"/>
        <v>0.5725670109</v>
      </c>
      <c r="G509" s="141">
        <f t="shared" si="10"/>
        <v>0.06226231119</v>
      </c>
      <c r="H509" s="142">
        <f t="shared" si="11"/>
        <v>1</v>
      </c>
      <c r="I509" s="142">
        <f t="shared" si="12"/>
        <v>0</v>
      </c>
      <c r="J509" s="142">
        <f t="shared" si="13"/>
        <v>1</v>
      </c>
      <c r="K509" s="142">
        <f t="shared" si="14"/>
        <v>1</v>
      </c>
      <c r="L509" s="139">
        <f>Assumptions!$C$6*Assumptions!$C$7*(1+$G509-0.05*(1-1))^1+Assumptions!$C$6*Assumptions!$C$8*(1+Assumptions!$C$11)^1+Assumptions!$C$16*1+Assumptions!$C$6*Assumptions!$C$9*(1+Assumptions!$C$12)^1</f>
        <v>747.4254939</v>
      </c>
      <c r="M509" s="139">
        <f>Assumptions!$C$6*Assumptions!$C$7*(1+$G509-0.05*(1-$H509))^2+Assumptions!$C$6*Assumptions!$C$8*(1+Assumptions!$C$11)^2+Assumptions!$C$16*$H509+Assumptions!$C$6*Assumptions!$C$9*(1+Assumptions!$C$12)^2</f>
        <v>776.2852099</v>
      </c>
      <c r="N509" s="139">
        <f>Assumptions!$C$6*Assumptions!$C$7*(1+$G509-0.05*(1-$I509))^3+Assumptions!$C$6*Assumptions!$C$8*(1+Assumptions!$C$11)^3+Assumptions!$C$16*$I509+Assumptions!$C$6*Assumptions!$C$9*(1+Assumptions!$C$12)^3</f>
        <v>692.3296075</v>
      </c>
      <c r="O509" s="139">
        <f>Assumptions!$C$6*Assumptions!$C$7*(1+$G509-0.05*(1-$J509))^4+Assumptions!$C$6*Assumptions!$C$8*(1+Assumptions!$C$11)^4+Assumptions!$C$16*$J509+Assumptions!$C$6*Assumptions!$C$9*(1+Assumptions!$C$12)^4</f>
        <v>838.6477417</v>
      </c>
      <c r="P509" s="139">
        <f>Assumptions!$C$6*Assumptions!$C$7*(1+$G509-0.05*(1-$K509))^5+Assumptions!$C$6*Assumptions!$C$8*(1+Assumptions!$C$11)^5+Assumptions!$C$16*$K509+Assumptions!$C$6*Assumptions!$C$9*(1+Assumptions!$C$12)^5</f>
        <v>872.3338659</v>
      </c>
      <c r="Q509" s="139">
        <f>($L509*(1-(Assumptions!$C$25+0.06*(1-1))-Assumptions!$C$27)-Assumptions!$C$28)-MAX(0,($L509*(1-(Assumptions!$C$25+0.06*(1-1))-Assumptions!$C$27)-Assumptions!$C$28)*Assumptions!$C$31)+Assumptions!$C$28-Assumptions!$C$29-$L509*Assumptions!$C$30</f>
        <v>93.1964812</v>
      </c>
      <c r="R509" s="139">
        <f>($M509*(1-(Assumptions!$C$25+0.06*(1-$H509))-Assumptions!$C$27)-Assumptions!$C$28)-MAX(0,($M509*(1-(Assumptions!$C$25+0.06*(1-$H509))-Assumptions!$C$27)-Assumptions!$C$28)*Assumptions!$C$31)+Assumptions!$C$28-Assumptions!$C$29-$M509*Assumptions!$C$30</f>
        <v>99.40132013</v>
      </c>
      <c r="S509" s="139">
        <f>($N509*(1-(Assumptions!$C$25+0.06*(1-$I509))-Assumptions!$C$27)-Assumptions!$C$28)-MAX(0,($N509*(1-(Assumptions!$C$25+0.06*(1-$I509))-Assumptions!$C$27)-Assumptions!$C$28)*Assumptions!$C$31)+Assumptions!$C$28-Assumptions!$C$29-$N509*Assumptions!$C$30</f>
        <v>39.23580973</v>
      </c>
      <c r="T509" s="139">
        <f>($O509*(1-(Assumptions!$C$25+0.06*(1-$J509))-Assumptions!$C$27)-Assumptions!$C$28)-MAX(0,($O509*(1-(Assumptions!$C$25+0.06*(1-$J509))-Assumptions!$C$27)-Assumptions!$C$28)*Assumptions!$C$31)+Assumptions!$C$28-Assumptions!$C$29-$O509*Assumptions!$C$30</f>
        <v>112.8092645</v>
      </c>
      <c r="U509" s="139">
        <f>($P509*(1-(Assumptions!$C$25+0.06*(1-$K509))-Assumptions!$C$27)-Assumptions!$C$28)-MAX(0,($P509*(1-(Assumptions!$C$25+0.06*(1-$K509))-Assumptions!$C$27)-Assumptions!$C$28)*Assumptions!$C$31)+Assumptions!$C$28-Assumptions!$C$29-$P509*Assumptions!$C$30</f>
        <v>120.0517812</v>
      </c>
      <c r="V509" s="143">
        <f>(($Q509/(1+$D509)^1+$R509/(1+$D509)^2+$S509/(1+$D509)^3+$T509/(1+$D509)^4+$U509/(1+$D509)^5+$U509*(1+$E509)/($D509-$E509)/(1+$D509)^5)-Assumptions!$C$37)/Assumptions!$C$40/Assumptions!$C$38</f>
        <v>4.927134072</v>
      </c>
    </row>
    <row r="510" ht="12.0" customHeight="1">
      <c r="B510" s="139">
        <v>458.0</v>
      </c>
      <c r="C510" s="140">
        <f t="shared" si="6"/>
        <v>0.9854099607</v>
      </c>
      <c r="D510" s="141">
        <f t="shared" si="7"/>
        <v>0.112139054</v>
      </c>
      <c r="E510" s="141">
        <f t="shared" si="8"/>
        <v>0.02214289472</v>
      </c>
      <c r="F510" s="140">
        <f t="shared" si="9"/>
        <v>0.5806729848</v>
      </c>
      <c r="G510" s="141">
        <f t="shared" si="10"/>
        <v>0.06252658326</v>
      </c>
      <c r="H510" s="142">
        <f t="shared" si="11"/>
        <v>1</v>
      </c>
      <c r="I510" s="142">
        <f t="shared" si="12"/>
        <v>0</v>
      </c>
      <c r="J510" s="142">
        <f t="shared" si="13"/>
        <v>0</v>
      </c>
      <c r="K510" s="142">
        <f t="shared" si="14"/>
        <v>0</v>
      </c>
      <c r="L510" s="139">
        <f>Assumptions!$C$6*Assumptions!$C$7*(1+$G510-0.05*(1-1))^1+Assumptions!$C$6*Assumptions!$C$8*(1+Assumptions!$C$11)^1+Assumptions!$C$16*1+Assumptions!$C$6*Assumptions!$C$9*(1+Assumptions!$C$12)^1</f>
        <v>747.5144479</v>
      </c>
      <c r="M510" s="139">
        <f>Assumptions!$C$6*Assumptions!$C$7*(1+$G510-0.05*(1-$H510))^2+Assumptions!$C$6*Assumptions!$C$8*(1+Assumptions!$C$11)^2+Assumptions!$C$16*$H510+Assumptions!$C$6*Assumptions!$C$9*(1+Assumptions!$C$12)^2</f>
        <v>776.4742183</v>
      </c>
      <c r="N510" s="139">
        <f>Assumptions!$C$6*Assumptions!$C$7*(1+$G510-0.05*(1-$I510))^3+Assumptions!$C$6*Assumptions!$C$8*(1+Assumptions!$C$11)^3+Assumptions!$C$16*$I510+Assumptions!$C$6*Assumptions!$C$9*(1+Assumptions!$C$12)^3</f>
        <v>692.6031257</v>
      </c>
      <c r="O510" s="139">
        <f>Assumptions!$C$6*Assumptions!$C$7*(1+$G510-0.05*(1-$J510))^4+Assumptions!$C$6*Assumptions!$C$8*(1+Assumptions!$C$11)^4+Assumptions!$C$16*$J510+Assumptions!$C$6*Assumptions!$C$9*(1+Assumptions!$C$12)^4</f>
        <v>703.8439131</v>
      </c>
      <c r="P510" s="139">
        <f>Assumptions!$C$6*Assumptions!$C$7*(1+$G510-0.05*(1-$K510))^5+Assumptions!$C$6*Assumptions!$C$8*(1+Assumptions!$C$11)^5+Assumptions!$C$16*$K510+Assumptions!$C$6*Assumptions!$C$9*(1+Assumptions!$C$12)^5</f>
        <v>715.276806</v>
      </c>
      <c r="Q510" s="139">
        <f>($L510*(1-(Assumptions!$C$25+0.06*(1-1))-Assumptions!$C$27)-Assumptions!$C$28)-MAX(0,($L510*(1-(Assumptions!$C$25+0.06*(1-1))-Assumptions!$C$27)-Assumptions!$C$28)*Assumptions!$C$31)+Assumptions!$C$28-Assumptions!$C$29-$L510*Assumptions!$C$30</f>
        <v>93.2156063</v>
      </c>
      <c r="R510" s="139">
        <f>($M510*(1-(Assumptions!$C$25+0.06*(1-$H510))-Assumptions!$C$27)-Assumptions!$C$28)-MAX(0,($M510*(1-(Assumptions!$C$25+0.06*(1-$H510))-Assumptions!$C$27)-Assumptions!$C$28)*Assumptions!$C$31)+Assumptions!$C$28-Assumptions!$C$29-$M510*Assumptions!$C$30</f>
        <v>99.44195694</v>
      </c>
      <c r="S510" s="139">
        <f>($N510*(1-(Assumptions!$C$25+0.06*(1-$I510))-Assumptions!$C$27)-Assumptions!$C$28)-MAX(0,($N510*(1-(Assumptions!$C$25+0.06*(1-$I510))-Assumptions!$C$27)-Assumptions!$C$28)*Assumptions!$C$31)+Assumptions!$C$28-Assumptions!$C$29-$N510*Assumptions!$C$30</f>
        <v>39.2987189</v>
      </c>
      <c r="T510" s="139">
        <f>($O510*(1-(Assumptions!$C$25+0.06*(1-$J510))-Assumptions!$C$27)-Assumptions!$C$28)-MAX(0,($O510*(1-(Assumptions!$C$25+0.06*(1-$J510))-Assumptions!$C$27)-Assumptions!$C$28)*Assumptions!$C$31)+Assumptions!$C$28-Assumptions!$C$29-$O510*Assumptions!$C$30</f>
        <v>41.88410002</v>
      </c>
      <c r="U510" s="139">
        <f>($P510*(1-(Assumptions!$C$25+0.06*(1-$K510))-Assumptions!$C$27)-Assumptions!$C$28)-MAX(0,($P510*(1-(Assumptions!$C$25+0.06*(1-$K510))-Assumptions!$C$27)-Assumptions!$C$28)*Assumptions!$C$31)+Assumptions!$C$28-Assumptions!$C$29-$P510*Assumptions!$C$30</f>
        <v>44.51366539</v>
      </c>
      <c r="V510" s="143">
        <f>(($Q510/(1+$D510)^1+$R510/(1+$D510)^2+$S510/(1+$D510)^3+$T510/(1+$D510)^4+$U510/(1+$D510)^5+$U510*(1+$E510)/($D510-$E510)/(1+$D510)^5)-Assumptions!$C$37)/Assumptions!$C$40/Assumptions!$C$38</f>
        <v>-1.156671708</v>
      </c>
    </row>
    <row r="511" ht="12.0" customHeight="1">
      <c r="B511" s="139">
        <v>459.0</v>
      </c>
      <c r="C511" s="140">
        <f t="shared" si="6"/>
        <v>0.2967807968</v>
      </c>
      <c r="D511" s="141">
        <f t="shared" si="7"/>
        <v>0.09503038833</v>
      </c>
      <c r="E511" s="141">
        <f t="shared" si="8"/>
        <v>0.01865011199</v>
      </c>
      <c r="F511" s="140">
        <f t="shared" si="9"/>
        <v>0.7083596291</v>
      </c>
      <c r="G511" s="141">
        <f t="shared" si="10"/>
        <v>0.06708815443</v>
      </c>
      <c r="H511" s="142">
        <f t="shared" si="11"/>
        <v>1</v>
      </c>
      <c r="I511" s="142">
        <f t="shared" si="12"/>
        <v>0</v>
      </c>
      <c r="J511" s="142">
        <f t="shared" si="13"/>
        <v>0</v>
      </c>
      <c r="K511" s="142">
        <f t="shared" si="14"/>
        <v>1</v>
      </c>
      <c r="L511" s="139">
        <f>Assumptions!$C$6*Assumptions!$C$7*(1+$G511-0.05*(1-1))^1+Assumptions!$C$6*Assumptions!$C$8*(1+Assumptions!$C$11)^1+Assumptions!$C$16*1+Assumptions!$C$6*Assumptions!$C$9*(1+Assumptions!$C$12)^1</f>
        <v>749.0498728</v>
      </c>
      <c r="M511" s="139">
        <f>Assumptions!$C$6*Assumptions!$C$7*(1+$G511-0.05*(1-$H511))^2+Assumptions!$C$6*Assumptions!$C$8*(1+Assumptions!$C$11)^2+Assumptions!$C$16*$H511+Assumptions!$C$6*Assumptions!$C$9*(1+Assumptions!$C$12)^2</f>
        <v>779.7440817</v>
      </c>
      <c r="N511" s="139">
        <f>Assumptions!$C$6*Assumptions!$C$7*(1+$G511-0.05*(1-$I511))^3+Assumptions!$C$6*Assumptions!$C$8*(1+Assumptions!$C$11)^3+Assumptions!$C$16*$I511+Assumptions!$C$6*Assumptions!$C$9*(1+Assumptions!$C$12)^3</f>
        <v>697.3468318</v>
      </c>
      <c r="O511" s="139">
        <f>Assumptions!$C$6*Assumptions!$C$7*(1+$G511-0.05*(1-$J511))^4+Assumptions!$C$6*Assumptions!$C$8*(1+Assumptions!$C$11)^4+Assumptions!$C$16*$J511+Assumptions!$C$6*Assumptions!$C$9*(1+Assumptions!$C$12)^4</f>
        <v>710.262532</v>
      </c>
      <c r="P511" s="139">
        <f>Assumptions!$C$6*Assumptions!$C$7*(1+$G511-0.05*(1-$K511))^5+Assumptions!$C$6*Assumptions!$C$8*(1+Assumptions!$C$11)^5+Assumptions!$C$16*$K511+Assumptions!$C$6*Assumptions!$C$9*(1+Assumptions!$C$12)^5</f>
        <v>882.7697775</v>
      </c>
      <c r="Q511" s="139">
        <f>($L511*(1-(Assumptions!$C$25+0.06*(1-1))-Assumptions!$C$27)-Assumptions!$C$28)-MAX(0,($L511*(1-(Assumptions!$C$25+0.06*(1-1))-Assumptions!$C$27)-Assumptions!$C$28)*Assumptions!$C$31)+Assumptions!$C$28-Assumptions!$C$29-$L511*Assumptions!$C$30</f>
        <v>93.54572265</v>
      </c>
      <c r="R511" s="139">
        <f>($M511*(1-(Assumptions!$C$25+0.06*(1-$H511))-Assumptions!$C$27)-Assumptions!$C$28)-MAX(0,($M511*(1-(Assumptions!$C$25+0.06*(1-$H511))-Assumptions!$C$27)-Assumptions!$C$28)*Assumptions!$C$31)+Assumptions!$C$28-Assumptions!$C$29-$M511*Assumptions!$C$30</f>
        <v>100.1449776</v>
      </c>
      <c r="S511" s="139">
        <f>($N511*(1-(Assumptions!$C$25+0.06*(1-$I511))-Assumptions!$C$27)-Assumptions!$C$28)-MAX(0,($N511*(1-(Assumptions!$C$25+0.06*(1-$I511))-Assumptions!$C$27)-Assumptions!$C$28)*Assumptions!$C$31)+Assumptions!$C$28-Assumptions!$C$29-$N511*Assumptions!$C$30</f>
        <v>40.38977131</v>
      </c>
      <c r="T511" s="139">
        <f>($O511*(1-(Assumptions!$C$25+0.06*(1-$J511))-Assumptions!$C$27)-Assumptions!$C$28)-MAX(0,($O511*(1-(Assumptions!$C$25+0.06*(1-$J511))-Assumptions!$C$27)-Assumptions!$C$28)*Assumptions!$C$31)+Assumptions!$C$28-Assumptions!$C$29-$O511*Assumptions!$C$30</f>
        <v>43.36038236</v>
      </c>
      <c r="U511" s="139">
        <f>($P511*(1-(Assumptions!$C$25+0.06*(1-$K511))-Assumptions!$C$27)-Assumptions!$C$28)-MAX(0,($P511*(1-(Assumptions!$C$25+0.06*(1-$K511))-Assumptions!$C$27)-Assumptions!$C$28)*Assumptions!$C$31)+Assumptions!$C$28-Assumptions!$C$29-$P511*Assumptions!$C$30</f>
        <v>122.2955022</v>
      </c>
      <c r="V511" s="143">
        <f>(($Q511/(1+$D511)^1+$R511/(1+$D511)^2+$S511/(1+$D511)^3+$T511/(1+$D511)^4+$U511/(1+$D511)^5+$U511*(1+$E511)/($D511-$E511)/(1+$D511)^5)-Assumptions!$C$37)/Assumptions!$C$40/Assumptions!$C$38</f>
        <v>5.086237317</v>
      </c>
    </row>
    <row r="512" ht="12.0" customHeight="1">
      <c r="B512" s="139">
        <v>460.0</v>
      </c>
      <c r="C512" s="140">
        <f t="shared" si="6"/>
        <v>0.6630990319</v>
      </c>
      <c r="D512" s="141">
        <f t="shared" si="7"/>
        <v>0.1012522204</v>
      </c>
      <c r="E512" s="141">
        <f t="shared" si="8"/>
        <v>0.011718038</v>
      </c>
      <c r="F512" s="140">
        <f t="shared" si="9"/>
        <v>0.9263416149</v>
      </c>
      <c r="G512" s="141">
        <f t="shared" si="10"/>
        <v>0.07848543995</v>
      </c>
      <c r="H512" s="142">
        <f t="shared" si="11"/>
        <v>0</v>
      </c>
      <c r="I512" s="142">
        <f t="shared" si="12"/>
        <v>1</v>
      </c>
      <c r="J512" s="142">
        <f t="shared" si="13"/>
        <v>1</v>
      </c>
      <c r="K512" s="142">
        <f t="shared" si="14"/>
        <v>0</v>
      </c>
      <c r="L512" s="139">
        <f>Assumptions!$C$6*Assumptions!$C$7*(1+$G512-0.05*(1-1))^1+Assumptions!$C$6*Assumptions!$C$8*(1+Assumptions!$C$11)^1+Assumptions!$C$16*1+Assumptions!$C$6*Assumptions!$C$9*(1+Assumptions!$C$12)^1</f>
        <v>752.8861991</v>
      </c>
      <c r="M512" s="139">
        <f>Assumptions!$C$6*Assumptions!$C$7*(1+$G512-0.05*(1-$H512))^2+Assumptions!$C$6*Assumptions!$C$8*(1+Assumptions!$C$11)^2+Assumptions!$C$16*$H512+Assumptions!$C$6*Assumptions!$C$9*(1+Assumptions!$C$12)^2</f>
        <v>692.5148822</v>
      </c>
      <c r="N512" s="139">
        <f>Assumptions!$C$6*Assumptions!$C$7*(1+$G512-0.05*(1-$I512))^3+Assumptions!$C$6*Assumptions!$C$8*(1+Assumptions!$C$11)^3+Assumptions!$C$16*$I512+Assumptions!$C$6*Assumptions!$C$9*(1+Assumptions!$C$12)^3</f>
        <v>825.4323316</v>
      </c>
      <c r="O512" s="139">
        <f>Assumptions!$C$6*Assumptions!$C$7*(1+$G512-0.05*(1-$J512))^4+Assumptions!$C$6*Assumptions!$C$8*(1+Assumptions!$C$11)^4+Assumptions!$C$16*$J512+Assumptions!$C$6*Assumptions!$C$9*(1+Assumptions!$C$12)^4</f>
        <v>865.4357337</v>
      </c>
      <c r="P512" s="139">
        <f>Assumptions!$C$6*Assumptions!$C$7*(1+$G512-0.05*(1-$K512))^5+Assumptions!$C$6*Assumptions!$C$8*(1+Assumptions!$C$11)^5+Assumptions!$C$16*$K512+Assumptions!$C$6*Assumptions!$C$9*(1+Assumptions!$C$12)^5</f>
        <v>744.4108829</v>
      </c>
      <c r="Q512" s="139">
        <f>($L512*(1-(Assumptions!$C$25+0.06*(1-1))-Assumptions!$C$27)-Assumptions!$C$28)-MAX(0,($L512*(1-(Assumptions!$C$25+0.06*(1-1))-Assumptions!$C$27)-Assumptions!$C$28)*Assumptions!$C$31)+Assumptions!$C$28-Assumptions!$C$29-$L512*Assumptions!$C$30</f>
        <v>94.3705328</v>
      </c>
      <c r="R512" s="139">
        <f>($M512*(1-(Assumptions!$C$25+0.06*(1-$H512))-Assumptions!$C$27)-Assumptions!$C$28)-MAX(0,($M512*(1-(Assumptions!$C$25+0.06*(1-$H512))-Assumptions!$C$27)-Assumptions!$C$28)*Assumptions!$C$31)+Assumptions!$C$28-Assumptions!$C$29-$M512*Assumptions!$C$30</f>
        <v>39.27842292</v>
      </c>
      <c r="S512" s="139">
        <f>($N512*(1-(Assumptions!$C$25+0.06*(1-$I512))-Assumptions!$C$27)-Assumptions!$C$28)-MAX(0,($N512*(1-(Assumptions!$C$25+0.06*(1-$I512))-Assumptions!$C$27)-Assumptions!$C$28)*Assumptions!$C$31)+Assumptions!$C$28-Assumptions!$C$29-$N512*Assumptions!$C$30</f>
        <v>109.9679513</v>
      </c>
      <c r="T512" s="139">
        <f>($O512*(1-(Assumptions!$C$25+0.06*(1-$J512))-Assumptions!$C$27)-Assumptions!$C$28)-MAX(0,($O512*(1-(Assumptions!$C$25+0.06*(1-$J512))-Assumptions!$C$27)-Assumptions!$C$28)*Assumptions!$C$31)+Assumptions!$C$28-Assumptions!$C$29-$O512*Assumptions!$C$30</f>
        <v>118.5686828</v>
      </c>
      <c r="U512" s="139">
        <f>($P512*(1-(Assumptions!$C$25+0.06*(1-$K512))-Assumptions!$C$27)-Assumptions!$C$28)-MAX(0,($P512*(1-(Assumptions!$C$25+0.06*(1-$K512))-Assumptions!$C$27)-Assumptions!$C$28)*Assumptions!$C$31)+Assumptions!$C$28-Assumptions!$C$29-$P512*Assumptions!$C$30</f>
        <v>51.21450306</v>
      </c>
      <c r="V512" s="143">
        <f>(($Q512/(1+$D512)^1+$R512/(1+$D512)^2+$S512/(1+$D512)^3+$T512/(1+$D512)^4+$U512/(1+$D512)^5+$U512*(1+$E512)/($D512-$E512)/(1+$D512)^5)-Assumptions!$C$37)/Assumptions!$C$40/Assumptions!$C$38</f>
        <v>-0.1697060747</v>
      </c>
    </row>
    <row r="513" ht="12.0" customHeight="1">
      <c r="B513" s="139">
        <v>461.0</v>
      </c>
      <c r="C513" s="140">
        <f t="shared" si="6"/>
        <v>0.7988728257</v>
      </c>
      <c r="D513" s="141">
        <f t="shared" si="7"/>
        <v>0.104377743</v>
      </c>
      <c r="E513" s="141">
        <f t="shared" si="8"/>
        <v>0.01981756589</v>
      </c>
      <c r="F513" s="140">
        <f t="shared" si="9"/>
        <v>0.8389088035</v>
      </c>
      <c r="G513" s="141">
        <f t="shared" si="10"/>
        <v>0.07297166615</v>
      </c>
      <c r="H513" s="142">
        <f t="shared" si="11"/>
        <v>0</v>
      </c>
      <c r="I513" s="142">
        <f t="shared" si="12"/>
        <v>0</v>
      </c>
      <c r="J513" s="142">
        <f t="shared" si="13"/>
        <v>1</v>
      </c>
      <c r="K513" s="142">
        <f t="shared" si="14"/>
        <v>0</v>
      </c>
      <c r="L513" s="139">
        <f>Assumptions!$C$6*Assumptions!$C$7*(1+$G513-0.05*(1-1))^1+Assumptions!$C$6*Assumptions!$C$8*(1+Assumptions!$C$11)^1+Assumptions!$C$16*1+Assumptions!$C$6*Assumptions!$C$9*(1+Assumptions!$C$12)^1</f>
        <v>751.0302628</v>
      </c>
      <c r="M513" s="139">
        <f>Assumptions!$C$6*Assumptions!$C$7*(1+$G513-0.05*(1-$H513))^2+Assumptions!$C$6*Assumptions!$C$8*(1+Assumptions!$C$11)^2+Assumptions!$C$16*$H513+Assumptions!$C$6*Assumptions!$C$9*(1+Assumptions!$C$12)^2</f>
        <v>688.7075086</v>
      </c>
      <c r="N513" s="139">
        <f>Assumptions!$C$6*Assumptions!$C$7*(1+$G513-0.05*(1-$I513))^3+Assumptions!$C$6*Assumptions!$C$8*(1+Assumptions!$C$11)^3+Assumptions!$C$16*$I513+Assumptions!$C$6*Assumptions!$C$9*(1+Assumptions!$C$12)^3</f>
        <v>703.5284049</v>
      </c>
      <c r="O513" s="139">
        <f>Assumptions!$C$6*Assumptions!$C$7*(1+$G513-0.05*(1-$J513))^4+Assumptions!$C$6*Assumptions!$C$8*(1+Assumptions!$C$11)^4+Assumptions!$C$16*$J513+Assumptions!$C$6*Assumptions!$C$9*(1+Assumptions!$C$12)^4</f>
        <v>856.1944142</v>
      </c>
      <c r="P513" s="139">
        <f>Assumptions!$C$6*Assumptions!$C$7*(1+$G513-0.05*(1-$K513))^5+Assumptions!$C$6*Assumptions!$C$8*(1+Assumptions!$C$11)^5+Assumptions!$C$16*$K513+Assumptions!$C$6*Assumptions!$C$9*(1+Assumptions!$C$12)^5</f>
        <v>734.1385492</v>
      </c>
      <c r="Q513" s="139">
        <f>($L513*(1-(Assumptions!$C$25+0.06*(1-1))-Assumptions!$C$27)-Assumptions!$C$28)-MAX(0,($L513*(1-(Assumptions!$C$25+0.06*(1-1))-Assumptions!$C$27)-Assumptions!$C$28)*Assumptions!$C$31)+Assumptions!$C$28-Assumptions!$C$29-$L513*Assumptions!$C$30</f>
        <v>93.97150651</v>
      </c>
      <c r="R513" s="139">
        <f>($M513*(1-(Assumptions!$C$25+0.06*(1-$H513))-Assumptions!$C$27)-Assumptions!$C$28)-MAX(0,($M513*(1-(Assumptions!$C$25+0.06*(1-$H513))-Assumptions!$C$27)-Assumptions!$C$28)*Assumptions!$C$31)+Assumptions!$C$28-Assumptions!$C$29-$M513*Assumptions!$C$30</f>
        <v>38.40272698</v>
      </c>
      <c r="S513" s="139">
        <f>($N513*(1-(Assumptions!$C$25+0.06*(1-$I513))-Assumptions!$C$27)-Assumptions!$C$28)-MAX(0,($N513*(1-(Assumptions!$C$25+0.06*(1-$I513))-Assumptions!$C$27)-Assumptions!$C$28)*Assumptions!$C$31)+Assumptions!$C$28-Assumptions!$C$29-$N513*Assumptions!$C$30</f>
        <v>41.81153312</v>
      </c>
      <c r="T513" s="139">
        <f>($O513*(1-(Assumptions!$C$25+0.06*(1-$J513))-Assumptions!$C$27)-Assumptions!$C$28)-MAX(0,($O513*(1-(Assumptions!$C$25+0.06*(1-$J513))-Assumptions!$C$27)-Assumptions!$C$28)*Assumptions!$C$31)+Assumptions!$C$28-Assumptions!$C$29-$O513*Assumptions!$C$30</f>
        <v>116.581799</v>
      </c>
      <c r="U513" s="139">
        <f>($P513*(1-(Assumptions!$C$25+0.06*(1-$K513))-Assumptions!$C$27)-Assumptions!$C$28)-MAX(0,($P513*(1-(Assumptions!$C$25+0.06*(1-$K513))-Assumptions!$C$27)-Assumptions!$C$28)*Assumptions!$C$31)+Assumptions!$C$28-Assumptions!$C$29-$P513*Assumptions!$C$30</f>
        <v>48.85186633</v>
      </c>
      <c r="V513" s="143">
        <f>(($Q513/(1+$D513)^1+$R513/(1+$D513)^2+$S513/(1+$D513)^3+$T513/(1+$D513)^4+$U513/(1+$D513)^5+$U513*(1+$E513)/($D513-$E513)/(1+$D513)^5)-Assumptions!$C$37)/Assumptions!$C$40/Assumptions!$C$38</f>
        <v>-0.6035648855</v>
      </c>
    </row>
    <row r="514" ht="12.0" customHeight="1">
      <c r="B514" s="139">
        <v>462.0</v>
      </c>
      <c r="C514" s="140">
        <f t="shared" si="6"/>
        <v>0.6422775256</v>
      </c>
      <c r="D514" s="141">
        <f t="shared" si="7"/>
        <v>0.1008337617</v>
      </c>
      <c r="E514" s="141">
        <f t="shared" si="8"/>
        <v>0.01293119197</v>
      </c>
      <c r="F514" s="140">
        <f t="shared" si="9"/>
        <v>0.4184794637</v>
      </c>
      <c r="G514" s="141">
        <f t="shared" si="10"/>
        <v>0.05744563781</v>
      </c>
      <c r="H514" s="142">
        <f t="shared" si="11"/>
        <v>1</v>
      </c>
      <c r="I514" s="142">
        <f t="shared" si="12"/>
        <v>1</v>
      </c>
      <c r="J514" s="142">
        <f t="shared" si="13"/>
        <v>0</v>
      </c>
      <c r="K514" s="142">
        <f t="shared" si="14"/>
        <v>1</v>
      </c>
      <c r="L514" s="139">
        <f>Assumptions!$C$6*Assumptions!$C$7*(1+$G514-0.05*(1-1))^1+Assumptions!$C$6*Assumptions!$C$8*(1+Assumptions!$C$11)^1+Assumptions!$C$16*1+Assumptions!$C$6*Assumptions!$C$9*(1+Assumptions!$C$12)^1</f>
        <v>745.8042017</v>
      </c>
      <c r="M514" s="139">
        <f>Assumptions!$C$6*Assumptions!$C$7*(1+$G514-0.05*(1-$H514))^2+Assumptions!$C$6*Assumptions!$C$8*(1+Assumptions!$C$11)^2+Assumptions!$C$16*$H514+Assumptions!$C$6*Assumptions!$C$9*(1+Assumptions!$C$12)^2</f>
        <v>772.8485438</v>
      </c>
      <c r="N514" s="139">
        <f>Assumptions!$C$6*Assumptions!$C$7*(1+$G514-0.05*(1-$I514))^3+Assumptions!$C$6*Assumptions!$C$8*(1+Assumptions!$C$11)^3+Assumptions!$C$16*$I514+Assumptions!$C$6*Assumptions!$C$9*(1+Assumptions!$C$12)^3</f>
        <v>801.1994231</v>
      </c>
      <c r="O514" s="139">
        <f>Assumptions!$C$6*Assumptions!$C$7*(1+$G514-0.05*(1-$J514))^4+Assumptions!$C$6*Assumptions!$C$8*(1+Assumptions!$C$11)^4+Assumptions!$C$16*$J514+Assumptions!$C$6*Assumptions!$C$9*(1+Assumptions!$C$12)^4</f>
        <v>696.7958857</v>
      </c>
      <c r="P514" s="139">
        <f>Assumptions!$C$6*Assumptions!$C$7*(1+$G514-0.05*(1-$K514))^5+Assumptions!$C$6*Assumptions!$C$8*(1+Assumptions!$C$11)^5+Assumptions!$C$16*$K514+Assumptions!$C$6*Assumptions!$C$9*(1+Assumptions!$C$12)^5</f>
        <v>862.1051779</v>
      </c>
      <c r="Q514" s="139">
        <f>($L514*(1-(Assumptions!$C$25+0.06*(1-1))-Assumptions!$C$27)-Assumptions!$C$28)-MAX(0,($L514*(1-(Assumptions!$C$25+0.06*(1-1))-Assumptions!$C$27)-Assumptions!$C$28)*Assumptions!$C$31)+Assumptions!$C$28-Assumptions!$C$29-$L514*Assumptions!$C$30</f>
        <v>92.84790336</v>
      </c>
      <c r="R514" s="139">
        <f>($M514*(1-(Assumptions!$C$25+0.06*(1-$H514))-Assumptions!$C$27)-Assumptions!$C$28)-MAX(0,($M514*(1-(Assumptions!$C$25+0.06*(1-$H514))-Assumptions!$C$27)-Assumptions!$C$28)*Assumptions!$C$31)+Assumptions!$C$28-Assumptions!$C$29-$M514*Assumptions!$C$30</f>
        <v>98.66243692</v>
      </c>
      <c r="S514" s="139">
        <f>($N514*(1-(Assumptions!$C$25+0.06*(1-$I514))-Assumptions!$C$27)-Assumptions!$C$28)-MAX(0,($N514*(1-(Assumptions!$C$25+0.06*(1-$I514))-Assumptions!$C$27)-Assumptions!$C$28)*Assumptions!$C$31)+Assumptions!$C$28-Assumptions!$C$29-$N514*Assumptions!$C$30</f>
        <v>104.757876</v>
      </c>
      <c r="T514" s="139">
        <f>($O514*(1-(Assumptions!$C$25+0.06*(1-$J514))-Assumptions!$C$27)-Assumptions!$C$28)-MAX(0,($O514*(1-(Assumptions!$C$25+0.06*(1-$J514))-Assumptions!$C$27)-Assumptions!$C$28)*Assumptions!$C$31)+Assumptions!$C$28-Assumptions!$C$29-$O514*Assumptions!$C$30</f>
        <v>40.26305371</v>
      </c>
      <c r="U514" s="139">
        <f>($P514*(1-(Assumptions!$C$25+0.06*(1-$K514))-Assumptions!$C$27)-Assumptions!$C$28)-MAX(0,($P514*(1-(Assumptions!$C$25+0.06*(1-$K514))-Assumptions!$C$27)-Assumptions!$C$28)*Assumptions!$C$31)+Assumptions!$C$28-Assumptions!$C$29-$P514*Assumptions!$C$30</f>
        <v>117.8526133</v>
      </c>
      <c r="V514" s="143">
        <f>(($Q514/(1+$D514)^1+$R514/(1+$D514)^2+$S514/(1+$D514)^3+$T514/(1+$D514)^4+$U514/(1+$D514)^5+$U514*(1+$E514)/($D514-$E514)/(1+$D514)^5)-Assumptions!$C$37)/Assumptions!$C$40/Assumptions!$C$38</f>
        <v>3.847051529</v>
      </c>
    </row>
    <row r="515" ht="12.0" customHeight="1">
      <c r="B515" s="139">
        <v>463.0</v>
      </c>
      <c r="C515" s="140">
        <f t="shared" si="6"/>
        <v>0.8793008247</v>
      </c>
      <c r="D515" s="141">
        <f t="shared" si="7"/>
        <v>0.1067712554</v>
      </c>
      <c r="E515" s="141">
        <f t="shared" si="8"/>
        <v>0.01802855923</v>
      </c>
      <c r="F515" s="140">
        <f t="shared" si="9"/>
        <v>0.9749832794</v>
      </c>
      <c r="G515" s="141">
        <f t="shared" si="10"/>
        <v>0.08328955314</v>
      </c>
      <c r="H515" s="142">
        <f t="shared" si="11"/>
        <v>0</v>
      </c>
      <c r="I515" s="142">
        <f t="shared" si="12"/>
        <v>0</v>
      </c>
      <c r="J515" s="142">
        <f t="shared" si="13"/>
        <v>1</v>
      </c>
      <c r="K515" s="142">
        <f t="shared" si="14"/>
        <v>0</v>
      </c>
      <c r="L515" s="139">
        <f>Assumptions!$C$6*Assumptions!$C$7*(1+$G515-0.05*(1-1))^1+Assumptions!$C$6*Assumptions!$C$8*(1+Assumptions!$C$11)^1+Assumptions!$C$16*1+Assumptions!$C$6*Assumptions!$C$9*(1+Assumptions!$C$12)^1</f>
        <v>754.5032636</v>
      </c>
      <c r="M515" s="139">
        <f>Assumptions!$C$6*Assumptions!$C$7*(1+$G515-0.05*(1-$H515))^2+Assumptions!$C$6*Assumptions!$C$8*(1+Assumptions!$C$11)^2+Assumptions!$C$16*$H515+Assumptions!$C$6*Assumptions!$C$9*(1+Assumptions!$C$12)^2</f>
        <v>695.8489054</v>
      </c>
      <c r="N515" s="139">
        <f>Assumptions!$C$6*Assumptions!$C$7*(1+$G515-0.05*(1-$I515))^3+Assumptions!$C$6*Assumptions!$C$8*(1+Assumptions!$C$11)^3+Assumptions!$C$16*$I515+Assumptions!$C$6*Assumptions!$C$9*(1+Assumptions!$C$12)^3</f>
        <v>714.5419302</v>
      </c>
      <c r="O515" s="139">
        <f>Assumptions!$C$6*Assumptions!$C$7*(1+$G515-0.05*(1-$J515))^4+Assumptions!$C$6*Assumptions!$C$8*(1+Assumptions!$C$11)^4+Assumptions!$C$16*$J515+Assumptions!$C$6*Assumptions!$C$9*(1+Assumptions!$C$12)^4</f>
        <v>873.6040202</v>
      </c>
      <c r="P515" s="139">
        <f>Assumptions!$C$6*Assumptions!$C$7*(1+$G515-0.05*(1-$K515))^5+Assumptions!$C$6*Assumptions!$C$8*(1+Assumptions!$C$11)^5+Assumptions!$C$16*$K515+Assumptions!$C$6*Assumptions!$C$9*(1+Assumptions!$C$12)^5</f>
        <v>753.5424886</v>
      </c>
      <c r="Q515" s="139">
        <f>($L515*(1-(Assumptions!$C$25+0.06*(1-1))-Assumptions!$C$27)-Assumptions!$C$28)-MAX(0,($L515*(1-(Assumptions!$C$25+0.06*(1-1))-Assumptions!$C$27)-Assumptions!$C$28)*Assumptions!$C$31)+Assumptions!$C$28-Assumptions!$C$29-$L515*Assumptions!$C$30</f>
        <v>94.71820167</v>
      </c>
      <c r="R515" s="139">
        <f>($M515*(1-(Assumptions!$C$25+0.06*(1-$H515))-Assumptions!$C$27)-Assumptions!$C$28)-MAX(0,($M515*(1-(Assumptions!$C$25+0.06*(1-$H515))-Assumptions!$C$27)-Assumptions!$C$28)*Assumptions!$C$31)+Assumptions!$C$28-Assumptions!$C$29-$M515*Assumptions!$C$30</f>
        <v>40.04524824</v>
      </c>
      <c r="S515" s="139">
        <f>($N515*(1-(Assumptions!$C$25+0.06*(1-$I515))-Assumptions!$C$27)-Assumptions!$C$28)-MAX(0,($N515*(1-(Assumptions!$C$25+0.06*(1-$I515))-Assumptions!$C$27)-Assumptions!$C$28)*Assumptions!$C$31)+Assumptions!$C$28-Assumptions!$C$29-$N515*Assumptions!$C$30</f>
        <v>44.34464395</v>
      </c>
      <c r="T515" s="139">
        <f>($O515*(1-(Assumptions!$C$25+0.06*(1-$J515))-Assumptions!$C$27)-Assumptions!$C$28)-MAX(0,($O515*(1-(Assumptions!$C$25+0.06*(1-$J515))-Assumptions!$C$27)-Assumptions!$C$28)*Assumptions!$C$31)+Assumptions!$C$28-Assumptions!$C$29-$O515*Assumptions!$C$30</f>
        <v>120.3248643</v>
      </c>
      <c r="U515" s="139">
        <f>($P515*(1-(Assumptions!$C$25+0.06*(1-$K515))-Assumptions!$C$27)-Assumptions!$C$28)-MAX(0,($P515*(1-(Assumptions!$C$25+0.06*(1-$K515))-Assumptions!$C$27)-Assumptions!$C$28)*Assumptions!$C$31)+Assumptions!$C$28-Assumptions!$C$29-$P515*Assumptions!$C$30</f>
        <v>53.31477238</v>
      </c>
      <c r="V515" s="143">
        <f>(($Q515/(1+$D515)^1+$R515/(1+$D515)^2+$S515/(1+$D515)^3+$T515/(1+$D515)^4+$U515/(1+$D515)^5+$U515*(1+$E515)/($D515-$E515)/(1+$D515)^5)-Assumptions!$C$37)/Assumptions!$C$40/Assumptions!$C$38</f>
        <v>-0.4693140722</v>
      </c>
    </row>
    <row r="516" ht="12.0" customHeight="1">
      <c r="B516" s="139">
        <v>464.0</v>
      </c>
      <c r="C516" s="140">
        <f t="shared" si="6"/>
        <v>0.3685873649</v>
      </c>
      <c r="D516" s="141">
        <f t="shared" si="7"/>
        <v>0.09617815355</v>
      </c>
      <c r="E516" s="141">
        <f t="shared" si="8"/>
        <v>0.02505608905</v>
      </c>
      <c r="F516" s="140">
        <f t="shared" si="9"/>
        <v>0.1006697734</v>
      </c>
      <c r="G516" s="141">
        <f t="shared" si="10"/>
        <v>0.04346126265</v>
      </c>
      <c r="H516" s="142">
        <f t="shared" si="11"/>
        <v>1</v>
      </c>
      <c r="I516" s="142">
        <f t="shared" si="12"/>
        <v>0</v>
      </c>
      <c r="J516" s="142">
        <f t="shared" si="13"/>
        <v>0</v>
      </c>
      <c r="K516" s="142">
        <f t="shared" si="14"/>
        <v>0</v>
      </c>
      <c r="L516" s="139">
        <f>Assumptions!$C$6*Assumptions!$C$7*(1+$G516-0.05*(1-1))^1+Assumptions!$C$6*Assumptions!$C$8*(1+Assumptions!$C$11)^1+Assumptions!$C$16*1+Assumptions!$C$6*Assumptions!$C$9*(1+Assumptions!$C$12)^1</f>
        <v>741.097061</v>
      </c>
      <c r="M516" s="139">
        <f>Assumptions!$C$6*Assumptions!$C$7*(1+$G516-0.05*(1-$H516))^2+Assumptions!$C$6*Assumptions!$C$8*(1+Assumptions!$C$11)^2+Assumptions!$C$16*$H516+Assumptions!$C$6*Assumptions!$C$9*(1+Assumptions!$C$12)^2</f>
        <v>762.9592795</v>
      </c>
      <c r="N516" s="139">
        <f>Assumptions!$C$6*Assumptions!$C$7*(1+$G516-0.05*(1-$I516))^3+Assumptions!$C$6*Assumptions!$C$8*(1+Assumptions!$C$11)^3+Assumptions!$C$16*$I516+Assumptions!$C$6*Assumptions!$C$9*(1+Assumptions!$C$12)^3</f>
        <v>673.2349302</v>
      </c>
      <c r="O516" s="139">
        <f>Assumptions!$C$6*Assumptions!$C$7*(1+$G516-0.05*(1-$J516))^4+Assumptions!$C$6*Assumptions!$C$8*(1+Assumptions!$C$11)^4+Assumptions!$C$16*$J516+Assumptions!$C$6*Assumptions!$C$9*(1+Assumptions!$C$12)^4</f>
        <v>677.940777</v>
      </c>
      <c r="P516" s="139">
        <f>Assumptions!$C$6*Assumptions!$C$7*(1+$G516-0.05*(1-$K516))^5+Assumptions!$C$6*Assumptions!$C$8*(1+Assumptions!$C$11)^5+Assumptions!$C$16*$K516+Assumptions!$C$6*Assumptions!$C$9*(1+Assumptions!$C$12)^5</f>
        <v>682.7980125</v>
      </c>
      <c r="Q516" s="139">
        <f>($L516*(1-(Assumptions!$C$25+0.06*(1-1))-Assumptions!$C$27)-Assumptions!$C$28)-MAX(0,($L516*(1-(Assumptions!$C$25+0.06*(1-1))-Assumptions!$C$27)-Assumptions!$C$28)*Assumptions!$C$31)+Assumptions!$C$28-Assumptions!$C$29-$L516*Assumptions!$C$30</f>
        <v>91.83586812</v>
      </c>
      <c r="R516" s="139">
        <f>($M516*(1-(Assumptions!$C$25+0.06*(1-$H516))-Assumptions!$C$27)-Assumptions!$C$28)-MAX(0,($M516*(1-(Assumptions!$C$25+0.06*(1-$H516))-Assumptions!$C$27)-Assumptions!$C$28)*Assumptions!$C$31)+Assumptions!$C$28-Assumptions!$C$29-$M516*Assumptions!$C$30</f>
        <v>96.53624509</v>
      </c>
      <c r="S516" s="139">
        <f>($N516*(1-(Assumptions!$C$25+0.06*(1-$I516))-Assumptions!$C$27)-Assumptions!$C$28)-MAX(0,($N516*(1-(Assumptions!$C$25+0.06*(1-$I516))-Assumptions!$C$27)-Assumptions!$C$28)*Assumptions!$C$31)+Assumptions!$C$28-Assumptions!$C$29-$N516*Assumptions!$C$30</f>
        <v>34.84403395</v>
      </c>
      <c r="T516" s="139">
        <f>($O516*(1-(Assumptions!$C$25+0.06*(1-$J516))-Assumptions!$C$27)-Assumptions!$C$28)-MAX(0,($O516*(1-(Assumptions!$C$25+0.06*(1-$J516))-Assumptions!$C$27)-Assumptions!$C$28)*Assumptions!$C$31)+Assumptions!$C$28-Assumptions!$C$29-$O516*Assumptions!$C$30</f>
        <v>35.9263787</v>
      </c>
      <c r="U516" s="139">
        <f>($P516*(1-(Assumptions!$C$25+0.06*(1-$K516))-Assumptions!$C$27)-Assumptions!$C$28)-MAX(0,($P516*(1-(Assumptions!$C$25+0.06*(1-$K516))-Assumptions!$C$27)-Assumptions!$C$28)*Assumptions!$C$31)+Assumptions!$C$28-Assumptions!$C$29-$P516*Assumptions!$C$30</f>
        <v>37.04354287</v>
      </c>
      <c r="V516" s="143">
        <f>(($Q516/(1+$D516)^1+$R516/(1+$D516)^2+$S516/(1+$D516)^3+$T516/(1+$D516)^4+$U516/(1+$D516)^5+$U516*(1+$E516)/($D516-$E516)/(1+$D516)^5)-Assumptions!$C$37)/Assumptions!$C$40/Assumptions!$C$38</f>
        <v>-0.9014790887</v>
      </c>
    </row>
    <row r="517" ht="12.0" customHeight="1">
      <c r="B517" s="139">
        <v>465.0</v>
      </c>
      <c r="C517" s="140">
        <f t="shared" si="6"/>
        <v>0.8929532081</v>
      </c>
      <c r="D517" s="141">
        <f t="shared" si="7"/>
        <v>0.1072505968</v>
      </c>
      <c r="E517" s="141">
        <f t="shared" si="8"/>
        <v>0.02160584427</v>
      </c>
      <c r="F517" s="140">
        <f t="shared" si="9"/>
        <v>0.02328174831</v>
      </c>
      <c r="G517" s="141">
        <f t="shared" si="10"/>
        <v>0.03647357297</v>
      </c>
      <c r="H517" s="142">
        <f t="shared" si="11"/>
        <v>1</v>
      </c>
      <c r="I517" s="142">
        <f t="shared" si="12"/>
        <v>1</v>
      </c>
      <c r="J517" s="142">
        <f t="shared" si="13"/>
        <v>0</v>
      </c>
      <c r="K517" s="142">
        <f t="shared" si="14"/>
        <v>0</v>
      </c>
      <c r="L517" s="139">
        <f>Assumptions!$C$6*Assumptions!$C$7*(1+$G517-0.05*(1-1))^1+Assumptions!$C$6*Assumptions!$C$8*(1+Assumptions!$C$11)^1+Assumptions!$C$16*1+Assumptions!$C$6*Assumptions!$C$9*(1+Assumptions!$C$12)^1</f>
        <v>738.7450047</v>
      </c>
      <c r="M517" s="139">
        <f>Assumptions!$C$6*Assumptions!$C$7*(1+$G517-0.05*(1-$H517))^2+Assumptions!$C$6*Assumptions!$C$8*(1+Assumptions!$C$11)^2+Assumptions!$C$16*$H517+Assumptions!$C$6*Assumptions!$C$9*(1+Assumptions!$C$12)^2</f>
        <v>758.0671555</v>
      </c>
      <c r="N517" s="139">
        <f>Assumptions!$C$6*Assumptions!$C$7*(1+$G517-0.05*(1-$I517))^3+Assumptions!$C$6*Assumptions!$C$8*(1+Assumptions!$C$11)^3+Assumptions!$C$16*$I517+Assumptions!$C$6*Assumptions!$C$9*(1+Assumptions!$C$12)^3</f>
        <v>777.9853722</v>
      </c>
      <c r="O517" s="139">
        <f>Assumptions!$C$6*Assumptions!$C$7*(1+$G517-0.05*(1-$J517))^4+Assumptions!$C$6*Assumptions!$C$8*(1+Assumptions!$C$11)^4+Assumptions!$C$16*$J517+Assumptions!$C$6*Assumptions!$C$9*(1+Assumptions!$C$12)^4</f>
        <v>668.8127729</v>
      </c>
      <c r="P517" s="139">
        <f>Assumptions!$C$6*Assumptions!$C$7*(1+$G517-0.05*(1-$K517))^5+Assumptions!$C$6*Assumptions!$C$8*(1+Assumptions!$C$11)^5+Assumptions!$C$16*$K517+Assumptions!$C$6*Assumptions!$C$9*(1+Assumptions!$C$12)^5</f>
        <v>671.5023385</v>
      </c>
      <c r="Q517" s="139">
        <f>($L517*(1-(Assumptions!$C$25+0.06*(1-1))-Assumptions!$C$27)-Assumptions!$C$28)-MAX(0,($L517*(1-(Assumptions!$C$25+0.06*(1-1))-Assumptions!$C$27)-Assumptions!$C$28)*Assumptions!$C$31)+Assumptions!$C$28-Assumptions!$C$29-$L517*Assumptions!$C$30</f>
        <v>91.330176</v>
      </c>
      <c r="R517" s="139">
        <f>($M517*(1-(Assumptions!$C$25+0.06*(1-$H517))-Assumptions!$C$27)-Assumptions!$C$28)-MAX(0,($M517*(1-(Assumptions!$C$25+0.06*(1-$H517))-Assumptions!$C$27)-Assumptions!$C$28)*Assumptions!$C$31)+Assumptions!$C$28-Assumptions!$C$29-$M517*Assumptions!$C$30</f>
        <v>95.48443844</v>
      </c>
      <c r="S517" s="139">
        <f>($N517*(1-(Assumptions!$C$25+0.06*(1-$I517))-Assumptions!$C$27)-Assumptions!$C$28)-MAX(0,($N517*(1-(Assumptions!$C$25+0.06*(1-$I517))-Assumptions!$C$27)-Assumptions!$C$28)*Assumptions!$C$31)+Assumptions!$C$28-Assumptions!$C$29-$N517*Assumptions!$C$30</f>
        <v>99.76685503</v>
      </c>
      <c r="T517" s="139">
        <f>($O517*(1-(Assumptions!$C$25+0.06*(1-$J517))-Assumptions!$C$27)-Assumptions!$C$28)-MAX(0,($O517*(1-(Assumptions!$C$25+0.06*(1-$J517))-Assumptions!$C$27)-Assumptions!$C$28)*Assumptions!$C$31)+Assumptions!$C$28-Assumptions!$C$29-$O517*Assumptions!$C$30</f>
        <v>33.82693776</v>
      </c>
      <c r="U517" s="139">
        <f>($P517*(1-(Assumptions!$C$25+0.06*(1-$K517))-Assumptions!$C$27)-Assumptions!$C$28)-MAX(0,($P517*(1-(Assumptions!$C$25+0.06*(1-$K517))-Assumptions!$C$27)-Assumptions!$C$28)*Assumptions!$C$31)+Assumptions!$C$28-Assumptions!$C$29-$P517*Assumptions!$C$30</f>
        <v>34.44553785</v>
      </c>
      <c r="V517" s="143">
        <f>(($Q517/(1+$D517)^1+$R517/(1+$D517)^2+$S517/(1+$D517)^3+$T517/(1+$D517)^4+$U517/(1+$D517)^5+$U517*(1+$E517)/($D517-$E517)/(1+$D517)^5)-Assumptions!$C$37)/Assumptions!$C$40/Assumptions!$C$38</f>
        <v>-1.30918005</v>
      </c>
    </row>
    <row r="518" ht="12.0" customHeight="1">
      <c r="B518" s="139">
        <v>466.0</v>
      </c>
      <c r="C518" s="140">
        <f t="shared" si="6"/>
        <v>0.2879730331</v>
      </c>
      <c r="D518" s="141">
        <f t="shared" si="7"/>
        <v>0.09488042804</v>
      </c>
      <c r="E518" s="141">
        <f t="shared" si="8"/>
        <v>0.02814599422</v>
      </c>
      <c r="F518" s="140">
        <f t="shared" si="9"/>
        <v>0.4922219654</v>
      </c>
      <c r="G518" s="141">
        <f t="shared" si="10"/>
        <v>0.05976574437</v>
      </c>
      <c r="H518" s="142">
        <f t="shared" si="11"/>
        <v>0</v>
      </c>
      <c r="I518" s="142">
        <f t="shared" si="12"/>
        <v>1</v>
      </c>
      <c r="J518" s="142">
        <f t="shared" si="13"/>
        <v>1</v>
      </c>
      <c r="K518" s="142">
        <f t="shared" si="14"/>
        <v>0</v>
      </c>
      <c r="L518" s="139">
        <f>Assumptions!$C$6*Assumptions!$C$7*(1+$G518-0.05*(1-1))^1+Assumptions!$C$6*Assumptions!$C$8*(1+Assumptions!$C$11)^1+Assumptions!$C$16*1+Assumptions!$C$6*Assumptions!$C$9*(1+Assumptions!$C$12)^1</f>
        <v>746.5851496</v>
      </c>
      <c r="M518" s="139">
        <f>Assumptions!$C$6*Assumptions!$C$7*(1+$G518-0.05*(1-$H518))^2+Assumptions!$C$6*Assumptions!$C$8*(1+Assumptions!$C$11)^2+Assumptions!$C$16*$H518+Assumptions!$C$6*Assumptions!$C$9*(1+Assumptions!$C$12)^2</f>
        <v>679.6717606</v>
      </c>
      <c r="N518" s="139">
        <f>Assumptions!$C$6*Assumptions!$C$7*(1+$G518-0.05*(1-$I518))^3+Assumptions!$C$6*Assumptions!$C$8*(1+Assumptions!$C$11)^3+Assumptions!$C$16*$I518+Assumptions!$C$6*Assumptions!$C$9*(1+Assumptions!$C$12)^3</f>
        <v>803.8249224</v>
      </c>
      <c r="O518" s="139">
        <f>Assumptions!$C$6*Assumptions!$C$7*(1+$G518-0.05*(1-$J518))^4+Assumptions!$C$6*Assumptions!$C$8*(1+Assumptions!$C$11)^4+Assumptions!$C$16*$J518+Assumptions!$C$6*Assumptions!$C$9*(1+Assumptions!$C$12)^4</f>
        <v>834.6327812</v>
      </c>
      <c r="P518" s="139">
        <f>Assumptions!$C$6*Assumptions!$C$7*(1+$G518-0.05*(1-$K518))^5+Assumptions!$C$6*Assumptions!$C$8*(1+Assumptions!$C$11)^5+Assumptions!$C$16*$K518+Assumptions!$C$6*Assumptions!$C$9*(1+Assumptions!$C$12)^5</f>
        <v>710.4196444</v>
      </c>
      <c r="Q518" s="139">
        <f>($L518*(1-(Assumptions!$C$25+0.06*(1-1))-Assumptions!$C$27)-Assumptions!$C$28)-MAX(0,($L518*(1-(Assumptions!$C$25+0.06*(1-1))-Assumptions!$C$27)-Assumptions!$C$28)*Assumptions!$C$31)+Assumptions!$C$28-Assumptions!$C$29-$L518*Assumptions!$C$30</f>
        <v>93.01580715</v>
      </c>
      <c r="R518" s="139">
        <f>($M518*(1-(Assumptions!$C$25+0.06*(1-$H518))-Assumptions!$C$27)-Assumptions!$C$28)-MAX(0,($M518*(1-(Assumptions!$C$25+0.06*(1-$H518))-Assumptions!$C$27)-Assumptions!$C$28)*Assumptions!$C$31)+Assumptions!$C$28-Assumptions!$C$29-$M518*Assumptions!$C$30</f>
        <v>36.32450493</v>
      </c>
      <c r="S518" s="139">
        <f>($N518*(1-(Assumptions!$C$25+0.06*(1-$I518))-Assumptions!$C$27)-Assumptions!$C$28)-MAX(0,($N518*(1-(Assumptions!$C$25+0.06*(1-$I518))-Assumptions!$C$27)-Assumptions!$C$28)*Assumptions!$C$31)+Assumptions!$C$28-Assumptions!$C$29-$N518*Assumptions!$C$30</f>
        <v>105.3223583</v>
      </c>
      <c r="T518" s="139">
        <f>($O518*(1-(Assumptions!$C$25+0.06*(1-$J518))-Assumptions!$C$27)-Assumptions!$C$28)-MAX(0,($O518*(1-(Assumptions!$C$25+0.06*(1-$J518))-Assumptions!$C$27)-Assumptions!$C$28)*Assumptions!$C$31)+Assumptions!$C$28-Assumptions!$C$29-$O518*Assumptions!$C$30</f>
        <v>111.946048</v>
      </c>
      <c r="U518" s="139">
        <f>($P518*(1-(Assumptions!$C$25+0.06*(1-$K518))-Assumptions!$C$27)-Assumptions!$C$28)-MAX(0,($P518*(1-(Assumptions!$C$25+0.06*(1-$K518))-Assumptions!$C$27)-Assumptions!$C$28)*Assumptions!$C$31)+Assumptions!$C$28-Assumptions!$C$29-$P518*Assumptions!$C$30</f>
        <v>43.39651822</v>
      </c>
      <c r="V518" s="143">
        <f>(($Q518/(1+$D518)^1+$R518/(1+$D518)^2+$S518/(1+$D518)^3+$T518/(1+$D518)^4+$U518/(1+$D518)^5+$U518*(1+$E518)/($D518-$E518)/(1+$D518)^5)-Assumptions!$C$37)/Assumptions!$C$40/Assumptions!$C$38</f>
        <v>0.2670791697</v>
      </c>
    </row>
    <row r="519" ht="12.0" customHeight="1">
      <c r="B519" s="139">
        <v>467.0</v>
      </c>
      <c r="C519" s="140">
        <f t="shared" si="6"/>
        <v>0.455568712</v>
      </c>
      <c r="D519" s="141">
        <f t="shared" si="7"/>
        <v>0.09752356007</v>
      </c>
      <c r="E519" s="141">
        <f t="shared" si="8"/>
        <v>0.01901272345</v>
      </c>
      <c r="F519" s="140">
        <f t="shared" si="9"/>
        <v>0.01449451543</v>
      </c>
      <c r="G519" s="141">
        <f t="shared" si="10"/>
        <v>0.03510784962</v>
      </c>
      <c r="H519" s="142">
        <f t="shared" si="11"/>
        <v>1</v>
      </c>
      <c r="I519" s="142">
        <f t="shared" si="12"/>
        <v>0</v>
      </c>
      <c r="J519" s="142">
        <f t="shared" si="13"/>
        <v>0</v>
      </c>
      <c r="K519" s="142">
        <f t="shared" si="14"/>
        <v>0</v>
      </c>
      <c r="L519" s="139">
        <f>Assumptions!$C$6*Assumptions!$C$7*(1+$G519-0.05*(1-1))^1+Assumptions!$C$6*Assumptions!$C$8*(1+Assumptions!$C$11)^1+Assumptions!$C$16*1+Assumptions!$C$6*Assumptions!$C$9*(1+Assumptions!$C$12)^1</f>
        <v>738.2853022</v>
      </c>
      <c r="M519" s="139">
        <f>Assumptions!$C$6*Assumptions!$C$7*(1+$G519-0.05*(1-$H519))^2+Assumptions!$C$6*Assumptions!$C$8*(1+Assumptions!$C$11)^2+Assumptions!$C$16*$H519+Assumptions!$C$6*Assumptions!$C$9*(1+Assumptions!$C$12)^2</f>
        <v>757.1148444</v>
      </c>
      <c r="N519" s="139">
        <f>Assumptions!$C$6*Assumptions!$C$7*(1+$G519-0.05*(1-$I519))^3+Assumptions!$C$6*Assumptions!$C$8*(1+Assumptions!$C$11)^3+Assumptions!$C$16*$I519+Assumptions!$C$6*Assumptions!$C$9*(1+Assumptions!$C$12)^3</f>
        <v>664.9794116</v>
      </c>
      <c r="O519" s="139">
        <f>Assumptions!$C$6*Assumptions!$C$7*(1+$G519-0.05*(1-$J519))^4+Assumptions!$C$6*Assumptions!$C$8*(1+Assumptions!$C$11)^4+Assumptions!$C$16*$J519+Assumptions!$C$6*Assumptions!$C$9*(1+Assumptions!$C$12)^4</f>
        <v>667.0512381</v>
      </c>
      <c r="P519" s="139">
        <f>Assumptions!$C$6*Assumptions!$C$7*(1+$G519-0.05*(1-$K519))^5+Assumptions!$C$6*Assumptions!$C$8*(1+Assumptions!$C$11)^5+Assumptions!$C$16*$K519+Assumptions!$C$6*Assumptions!$C$9*(1+Assumptions!$C$12)^5</f>
        <v>669.3317067</v>
      </c>
      <c r="Q519" s="139">
        <f>($L519*(1-(Assumptions!$C$25+0.06*(1-1))-Assumptions!$C$27)-Assumptions!$C$28)-MAX(0,($L519*(1-(Assumptions!$C$25+0.06*(1-1))-Assumptions!$C$27)-Assumptions!$C$28)*Assumptions!$C$31)+Assumptions!$C$28-Assumptions!$C$29-$L519*Assumptions!$C$30</f>
        <v>91.23133997</v>
      </c>
      <c r="R519" s="139">
        <f>($M519*(1-(Assumptions!$C$25+0.06*(1-$H519))-Assumptions!$C$27)-Assumptions!$C$28)-MAX(0,($M519*(1-(Assumptions!$C$25+0.06*(1-$H519))-Assumptions!$C$27)-Assumptions!$C$28)*Assumptions!$C$31)+Assumptions!$C$28-Assumptions!$C$29-$M519*Assumptions!$C$30</f>
        <v>95.27969155</v>
      </c>
      <c r="S519" s="139">
        <f>($N519*(1-(Assumptions!$C$25+0.06*(1-$I519))-Assumptions!$C$27)-Assumptions!$C$28)-MAX(0,($N519*(1-(Assumptions!$C$25+0.06*(1-$I519))-Assumptions!$C$27)-Assumptions!$C$28)*Assumptions!$C$31)+Assumptions!$C$28-Assumptions!$C$29-$N519*Assumptions!$C$30</f>
        <v>32.94526467</v>
      </c>
      <c r="T519" s="139">
        <f>($O519*(1-(Assumptions!$C$25+0.06*(1-$J519))-Assumptions!$C$27)-Assumptions!$C$28)-MAX(0,($O519*(1-(Assumptions!$C$25+0.06*(1-$J519))-Assumptions!$C$27)-Assumptions!$C$28)*Assumptions!$C$31)+Assumptions!$C$28-Assumptions!$C$29-$O519*Assumptions!$C$30</f>
        <v>33.42178477</v>
      </c>
      <c r="U519" s="139">
        <f>($P519*(1-(Assumptions!$C$25+0.06*(1-$K519))-Assumptions!$C$27)-Assumptions!$C$28)-MAX(0,($P519*(1-(Assumptions!$C$25+0.06*(1-$K519))-Assumptions!$C$27)-Assumptions!$C$28)*Assumptions!$C$31)+Assumptions!$C$28-Assumptions!$C$29-$P519*Assumptions!$C$30</f>
        <v>33.94629255</v>
      </c>
      <c r="V519" s="143">
        <f>(($Q519/(1+$D519)^1+$R519/(1+$D519)^2+$S519/(1+$D519)^3+$T519/(1+$D519)^4+$U519/(1+$D519)^5+$U519*(1+$E519)/($D519-$E519)/(1+$D519)^5)-Assumptions!$C$37)/Assumptions!$C$40/Assumptions!$C$38</f>
        <v>-1.432243255</v>
      </c>
    </row>
    <row r="520" ht="12.0" customHeight="1">
      <c r="B520" s="139">
        <v>468.0</v>
      </c>
      <c r="C520" s="140">
        <f t="shared" si="6"/>
        <v>0.1691171075</v>
      </c>
      <c r="D520" s="141">
        <f t="shared" si="7"/>
        <v>0.09257170387</v>
      </c>
      <c r="E520" s="141">
        <f t="shared" si="8"/>
        <v>0.0272982503</v>
      </c>
      <c r="F520" s="140">
        <f t="shared" si="9"/>
        <v>0.9412177298</v>
      </c>
      <c r="G520" s="141">
        <f t="shared" si="10"/>
        <v>0.07971369423</v>
      </c>
      <c r="H520" s="142">
        <f t="shared" si="11"/>
        <v>1</v>
      </c>
      <c r="I520" s="142">
        <f t="shared" si="12"/>
        <v>0</v>
      </c>
      <c r="J520" s="142">
        <f t="shared" si="13"/>
        <v>0</v>
      </c>
      <c r="K520" s="142">
        <f t="shared" si="14"/>
        <v>1</v>
      </c>
      <c r="L520" s="139">
        <f>Assumptions!$C$6*Assumptions!$C$7*(1+$G520-0.05*(1-1))^1+Assumptions!$C$6*Assumptions!$C$8*(1+Assumptions!$C$11)^1+Assumptions!$C$16*1+Assumptions!$C$6*Assumptions!$C$9*(1+Assumptions!$C$12)^1</f>
        <v>753.2996295</v>
      </c>
      <c r="M520" s="139">
        <f>Assumptions!$C$6*Assumptions!$C$7*(1+$G520-0.05*(1-$H520))^2+Assumptions!$C$6*Assumptions!$C$8*(1+Assumptions!$C$11)^2+Assumptions!$C$16*$H520+Assumptions!$C$6*Assumptions!$C$9*(1+Assumptions!$C$12)^2</f>
        <v>788.8674673</v>
      </c>
      <c r="N520" s="139">
        <f>Assumptions!$C$6*Assumptions!$C$7*(1+$G520-0.05*(1-$I520))^3+Assumptions!$C$6*Assumptions!$C$8*(1+Assumptions!$C$11)^3+Assumptions!$C$16*$I520+Assumptions!$C$6*Assumptions!$C$9*(1+Assumptions!$C$12)^3</f>
        <v>710.6999422</v>
      </c>
      <c r="O520" s="139">
        <f>Assumptions!$C$6*Assumptions!$C$7*(1+$G520-0.05*(1-$J520))^4+Assumptions!$C$6*Assumptions!$C$8*(1+Assumptions!$C$11)^4+Assumptions!$C$16*$J520+Assumptions!$C$6*Assumptions!$C$9*(1+Assumptions!$C$12)^4</f>
        <v>728.4837749</v>
      </c>
      <c r="P520" s="139">
        <f>Assumptions!$C$6*Assumptions!$C$7*(1+$G520-0.05*(1-$K520))^5+Assumptions!$C$6*Assumptions!$C$8*(1+Assumptions!$C$11)^5+Assumptions!$C$16*$K520+Assumptions!$C$6*Assumptions!$C$9*(1+Assumptions!$C$12)^5</f>
        <v>910.9803547</v>
      </c>
      <c r="Q520" s="139">
        <f>($L520*(1-(Assumptions!$C$25+0.06*(1-1))-Assumptions!$C$27)-Assumptions!$C$28)-MAX(0,($L520*(1-(Assumptions!$C$25+0.06*(1-1))-Assumptions!$C$27)-Assumptions!$C$28)*Assumptions!$C$31)+Assumptions!$C$28-Assumptions!$C$29-$L520*Assumptions!$C$30</f>
        <v>94.45942034</v>
      </c>
      <c r="R520" s="139">
        <f>($M520*(1-(Assumptions!$C$25+0.06*(1-$H520))-Assumptions!$C$27)-Assumptions!$C$28)-MAX(0,($M520*(1-(Assumptions!$C$25+0.06*(1-$H520))-Assumptions!$C$27)-Assumptions!$C$28)*Assumptions!$C$31)+Assumptions!$C$28-Assumptions!$C$29-$M520*Assumptions!$C$30</f>
        <v>102.1065055</v>
      </c>
      <c r="S520" s="139">
        <f>($N520*(1-(Assumptions!$C$25+0.06*(1-$I520))-Assumptions!$C$27)-Assumptions!$C$28)-MAX(0,($N520*(1-(Assumptions!$C$25+0.06*(1-$I520))-Assumptions!$C$27)-Assumptions!$C$28)*Assumptions!$C$31)+Assumptions!$C$28-Assumptions!$C$29-$N520*Assumptions!$C$30</f>
        <v>43.4609867</v>
      </c>
      <c r="T520" s="139">
        <f>($O520*(1-(Assumptions!$C$25+0.06*(1-$J520))-Assumptions!$C$27)-Assumptions!$C$28)-MAX(0,($O520*(1-(Assumptions!$C$25+0.06*(1-$J520))-Assumptions!$C$27)-Assumptions!$C$28)*Assumptions!$C$31)+Assumptions!$C$28-Assumptions!$C$29-$O520*Assumptions!$C$30</f>
        <v>47.55126823</v>
      </c>
      <c r="U520" s="139">
        <f>($P520*(1-(Assumptions!$C$25+0.06*(1-$K520))-Assumptions!$C$27)-Assumptions!$C$28)-MAX(0,($P520*(1-(Assumptions!$C$25+0.06*(1-$K520))-Assumptions!$C$27)-Assumptions!$C$28)*Assumptions!$C$31)+Assumptions!$C$28-Assumptions!$C$29-$P520*Assumptions!$C$30</f>
        <v>128.3607763</v>
      </c>
      <c r="V520" s="143">
        <f>(($Q520/(1+$D520)^1+$R520/(1+$D520)^2+$S520/(1+$D520)^3+$T520/(1+$D520)^4+$U520/(1+$D520)^5+$U520*(1+$E520)/($D520-$E520)/(1+$D520)^5)-Assumptions!$C$37)/Assumptions!$C$40/Assumptions!$C$38</f>
        <v>7.234590473</v>
      </c>
    </row>
    <row r="521" ht="12.0" customHeight="1">
      <c r="B521" s="139">
        <v>469.0</v>
      </c>
      <c r="C521" s="140">
        <f t="shared" si="6"/>
        <v>0.6620164597</v>
      </c>
      <c r="D521" s="141">
        <f t="shared" si="7"/>
        <v>0.1012301501</v>
      </c>
      <c r="E521" s="141">
        <f t="shared" si="8"/>
        <v>0.01991701831</v>
      </c>
      <c r="F521" s="140">
        <f t="shared" si="9"/>
        <v>0.6490473938</v>
      </c>
      <c r="G521" s="141">
        <f t="shared" si="10"/>
        <v>0.06486606495</v>
      </c>
      <c r="H521" s="142">
        <f t="shared" si="11"/>
        <v>1</v>
      </c>
      <c r="I521" s="142">
        <f t="shared" si="12"/>
        <v>1</v>
      </c>
      <c r="J521" s="142">
        <f t="shared" si="13"/>
        <v>1</v>
      </c>
      <c r="K521" s="142">
        <f t="shared" si="14"/>
        <v>1</v>
      </c>
      <c r="L521" s="139">
        <f>Assumptions!$C$6*Assumptions!$C$7*(1+$G521-0.05*(1-1))^1+Assumptions!$C$6*Assumptions!$C$8*(1+Assumptions!$C$11)^1+Assumptions!$C$16*1+Assumptions!$C$6*Assumptions!$C$9*(1+Assumptions!$C$12)^1</f>
        <v>748.3019175</v>
      </c>
      <c r="M521" s="139">
        <f>Assumptions!$C$6*Assumptions!$C$7*(1+$G521-0.05*(1-$H521))^2+Assumptions!$C$6*Assumptions!$C$8*(1+Assumptions!$C$11)^2+Assumptions!$C$16*$H521+Assumptions!$C$6*Assumptions!$C$9*(1+Assumptions!$C$12)^2</f>
        <v>778.1494752</v>
      </c>
      <c r="N521" s="139">
        <f>Assumptions!$C$6*Assumptions!$C$7*(1+$G521-0.05*(1-$I521))^3+Assumptions!$C$6*Assumptions!$C$8*(1+Assumptions!$C$11)^3+Assumptions!$C$16*$I521+Assumptions!$C$6*Assumptions!$C$9*(1+Assumptions!$C$12)^3</f>
        <v>809.637129</v>
      </c>
      <c r="O521" s="139">
        <f>Assumptions!$C$6*Assumptions!$C$7*(1+$G521-0.05*(1-$J521))^4+Assumptions!$C$6*Assumptions!$C$8*(1+Assumptions!$C$11)^4+Assumptions!$C$16*$J521+Assumptions!$C$6*Assumptions!$C$9*(1+Assumptions!$C$12)^4</f>
        <v>842.8653455</v>
      </c>
      <c r="P521" s="139">
        <f>Assumptions!$C$6*Assumptions!$C$7*(1+$G521-0.05*(1-$K521))^5+Assumptions!$C$6*Assumptions!$C$8*(1+Assumptions!$C$11)^5+Assumptions!$C$16*$K521+Assumptions!$C$6*Assumptions!$C$9*(1+Assumptions!$C$12)^5</f>
        <v>877.9409897</v>
      </c>
      <c r="Q521" s="139">
        <f>($L521*(1-(Assumptions!$C$25+0.06*(1-1))-Assumptions!$C$27)-Assumptions!$C$28)-MAX(0,($L521*(1-(Assumptions!$C$25+0.06*(1-1))-Assumptions!$C$27)-Assumptions!$C$28)*Assumptions!$C$31)+Assumptions!$C$28-Assumptions!$C$29-$L521*Assumptions!$C$30</f>
        <v>93.38491225</v>
      </c>
      <c r="R521" s="139">
        <f>($M521*(1-(Assumptions!$C$25+0.06*(1-$H521))-Assumptions!$C$27)-Assumptions!$C$28)-MAX(0,($M521*(1-(Assumptions!$C$25+0.06*(1-$H521))-Assumptions!$C$27)-Assumptions!$C$28)*Assumptions!$C$31)+Assumptions!$C$28-Assumptions!$C$29-$M521*Assumptions!$C$30</f>
        <v>99.80213717</v>
      </c>
      <c r="S521" s="139">
        <f>($N521*(1-(Assumptions!$C$25+0.06*(1-$I521))-Assumptions!$C$27)-Assumptions!$C$28)-MAX(0,($N521*(1-(Assumptions!$C$25+0.06*(1-$I521))-Assumptions!$C$27)-Assumptions!$C$28)*Assumptions!$C$31)+Assumptions!$C$28-Assumptions!$C$29-$N521*Assumptions!$C$30</f>
        <v>106.5719827</v>
      </c>
      <c r="T521" s="139">
        <f>($O521*(1-(Assumptions!$C$25+0.06*(1-$J521))-Assumptions!$C$27)-Assumptions!$C$28)-MAX(0,($O521*(1-(Assumptions!$C$25+0.06*(1-$J521))-Assumptions!$C$27)-Assumptions!$C$28)*Assumptions!$C$31)+Assumptions!$C$28-Assumptions!$C$29-$O521*Assumptions!$C$30</f>
        <v>113.7160493</v>
      </c>
      <c r="U521" s="139">
        <f>($P521*(1-(Assumptions!$C$25+0.06*(1-$K521))-Assumptions!$C$27)-Assumptions!$C$28)-MAX(0,($P521*(1-(Assumptions!$C$25+0.06*(1-$K521))-Assumptions!$C$27)-Assumptions!$C$28)*Assumptions!$C$31)+Assumptions!$C$28-Assumptions!$C$29-$P521*Assumptions!$C$30</f>
        <v>121.2573128</v>
      </c>
      <c r="V521" s="143">
        <f>(($Q521/(1+$D521)^1+$R521/(1+$D521)^2+$S521/(1+$D521)^3+$T521/(1+$D521)^4+$U521/(1+$D521)^5+$U521*(1+$E521)/($D521-$E521)/(1+$D521)^5)-Assumptions!$C$37)/Assumptions!$C$40/Assumptions!$C$38</f>
        <v>5.045376104</v>
      </c>
    </row>
    <row r="522" ht="12.0" customHeight="1">
      <c r="B522" s="139">
        <v>470.0</v>
      </c>
      <c r="C522" s="140">
        <f t="shared" si="6"/>
        <v>0.231996871</v>
      </c>
      <c r="D522" s="141">
        <f t="shared" si="7"/>
        <v>0.09386831096</v>
      </c>
      <c r="E522" s="141">
        <f t="shared" si="8"/>
        <v>0.01387187912</v>
      </c>
      <c r="F522" s="140">
        <f t="shared" si="9"/>
        <v>0.1939510617</v>
      </c>
      <c r="G522" s="141">
        <f t="shared" si="10"/>
        <v>0.04868453668</v>
      </c>
      <c r="H522" s="142">
        <f t="shared" si="11"/>
        <v>1</v>
      </c>
      <c r="I522" s="142">
        <f t="shared" si="12"/>
        <v>1</v>
      </c>
      <c r="J522" s="142">
        <f t="shared" si="13"/>
        <v>1</v>
      </c>
      <c r="K522" s="142">
        <f t="shared" si="14"/>
        <v>0</v>
      </c>
      <c r="L522" s="139">
        <f>Assumptions!$C$6*Assumptions!$C$7*(1+$G522-0.05*(1-1))^1+Assumptions!$C$6*Assumptions!$C$8*(1+Assumptions!$C$11)^1+Assumptions!$C$16*1+Assumptions!$C$6*Assumptions!$C$9*(1+Assumptions!$C$12)^1</f>
        <v>742.855215</v>
      </c>
      <c r="M522" s="139">
        <f>Assumptions!$C$6*Assumptions!$C$7*(1+$G522-0.05*(1-$H522))^2+Assumptions!$C$6*Assumptions!$C$8*(1+Assumptions!$C$11)^2+Assumptions!$C$16*$H522+Assumptions!$C$6*Assumptions!$C$9*(1+Assumptions!$C$12)^2</f>
        <v>766.6375941</v>
      </c>
      <c r="N522" s="139">
        <f>Assumptions!$C$6*Assumptions!$C$7*(1+$G522-0.05*(1-$I522))^3+Assumptions!$C$6*Assumptions!$C$8*(1+Assumptions!$C$11)^3+Assumptions!$C$16*$I522+Assumptions!$C$6*Assumptions!$C$9*(1+Assumptions!$C$12)^3</f>
        <v>791.388565</v>
      </c>
      <c r="O522" s="139">
        <f>Assumptions!$C$6*Assumptions!$C$7*(1+$G522-0.05*(1-$J522))^4+Assumptions!$C$6*Assumptions!$C$8*(1+Assumptions!$C$11)^4+Assumptions!$C$16*$J522+Assumptions!$C$6*Assumptions!$C$9*(1+Assumptions!$C$12)^4</f>
        <v>817.1514984</v>
      </c>
      <c r="P522" s="139">
        <f>Assumptions!$C$6*Assumptions!$C$7*(1+$G522-0.05*(1-$K522))^5+Assumptions!$C$6*Assumptions!$C$8*(1+Assumptions!$C$11)^5+Assumptions!$C$16*$K522+Assumptions!$C$6*Assumptions!$C$9*(1+Assumptions!$C$12)^5</f>
        <v>691.451624</v>
      </c>
      <c r="Q522" s="139">
        <f>($L522*(1-(Assumptions!$C$25+0.06*(1-1))-Assumptions!$C$27)-Assumptions!$C$28)-MAX(0,($L522*(1-(Assumptions!$C$25+0.06*(1-1))-Assumptions!$C$27)-Assumptions!$C$28)*Assumptions!$C$31)+Assumptions!$C$28-Assumptions!$C$29-$L522*Assumptions!$C$30</f>
        <v>92.21387124</v>
      </c>
      <c r="R522" s="139">
        <f>($M522*(1-(Assumptions!$C$25+0.06*(1-$H522))-Assumptions!$C$27)-Assumptions!$C$28)-MAX(0,($M522*(1-(Assumptions!$C$25+0.06*(1-$H522))-Assumptions!$C$27)-Assumptions!$C$28)*Assumptions!$C$31)+Assumptions!$C$28-Assumptions!$C$29-$M522*Assumptions!$C$30</f>
        <v>97.32708272</v>
      </c>
      <c r="S522" s="139">
        <f>($N522*(1-(Assumptions!$C$25+0.06*(1-$I522))-Assumptions!$C$27)-Assumptions!$C$28)-MAX(0,($N522*(1-(Assumptions!$C$25+0.06*(1-$I522))-Assumptions!$C$27)-Assumptions!$C$28)*Assumptions!$C$31)+Assumptions!$C$28-Assumptions!$C$29-$N522*Assumptions!$C$30</f>
        <v>102.6485415</v>
      </c>
      <c r="T522" s="139">
        <f>($O522*(1-(Assumptions!$C$25+0.06*(1-$J522))-Assumptions!$C$27)-Assumptions!$C$28)-MAX(0,($O522*(1-(Assumptions!$C$25+0.06*(1-$J522))-Assumptions!$C$27)-Assumptions!$C$28)*Assumptions!$C$31)+Assumptions!$C$28-Assumptions!$C$29-$O522*Assumptions!$C$30</f>
        <v>108.1875722</v>
      </c>
      <c r="U522" s="139">
        <f>($P522*(1-(Assumptions!$C$25+0.06*(1-$K522))-Assumptions!$C$27)-Assumptions!$C$28)-MAX(0,($P522*(1-(Assumptions!$C$25+0.06*(1-$K522))-Assumptions!$C$27)-Assumptions!$C$28)*Assumptions!$C$31)+Assumptions!$C$28-Assumptions!$C$29-$P522*Assumptions!$C$30</f>
        <v>39.03387352</v>
      </c>
      <c r="V522" s="143">
        <f>(($Q522/(1+$D522)^1+$R522/(1+$D522)^2+$S522/(1+$D522)^3+$T522/(1+$D522)^4+$U522/(1+$D522)^5+$U522*(1+$E522)/($D522-$E522)/(1+$D522)^5)-Assumptions!$C$37)/Assumptions!$C$40/Assumptions!$C$38</f>
        <v>-0.243956455</v>
      </c>
    </row>
    <row r="523" ht="12.0" customHeight="1">
      <c r="B523" s="139">
        <v>471.0</v>
      </c>
      <c r="C523" s="140">
        <f t="shared" si="6"/>
        <v>0.9614441394</v>
      </c>
      <c r="D523" s="141">
        <f t="shared" si="7"/>
        <v>0.1103492111</v>
      </c>
      <c r="E523" s="141">
        <f t="shared" si="8"/>
        <v>0.02302469529</v>
      </c>
      <c r="F523" s="140">
        <f t="shared" si="9"/>
        <v>0.8761879604</v>
      </c>
      <c r="G523" s="141">
        <f t="shared" si="10"/>
        <v>0.07507144778</v>
      </c>
      <c r="H523" s="142">
        <f t="shared" si="11"/>
        <v>0</v>
      </c>
      <c r="I523" s="142">
        <f t="shared" si="12"/>
        <v>0</v>
      </c>
      <c r="J523" s="142">
        <f t="shared" si="13"/>
        <v>0</v>
      </c>
      <c r="K523" s="142">
        <f t="shared" si="14"/>
        <v>0</v>
      </c>
      <c r="L523" s="139">
        <f>Assumptions!$C$6*Assumptions!$C$7*(1+$G523-0.05*(1-1))^1+Assumptions!$C$6*Assumptions!$C$8*(1+Assumptions!$C$11)^1+Assumptions!$C$16*1+Assumptions!$C$6*Assumptions!$C$9*(1+Assumptions!$C$12)^1</f>
        <v>751.7370493</v>
      </c>
      <c r="M523" s="139">
        <f>Assumptions!$C$6*Assumptions!$C$7*(1+$G523-0.05*(1-$H523))^2+Assumptions!$C$6*Assumptions!$C$8*(1+Assumptions!$C$11)^2+Assumptions!$C$16*$H523+Assumptions!$C$6*Assumptions!$C$9*(1+Assumptions!$C$12)^2</f>
        <v>690.1550378</v>
      </c>
      <c r="N523" s="139">
        <f>Assumptions!$C$6*Assumptions!$C$7*(1+$G523-0.05*(1-$I523))^3+Assumptions!$C$6*Assumptions!$C$8*(1+Assumptions!$C$11)^3+Assumptions!$C$16*$I523+Assumptions!$C$6*Assumptions!$C$9*(1+Assumptions!$C$12)^3</f>
        <v>705.7518573</v>
      </c>
      <c r="O523" s="139">
        <f>Assumptions!$C$6*Assumptions!$C$7*(1+$G523-0.05*(1-$J523))^4+Assumptions!$C$6*Assumptions!$C$8*(1+Assumptions!$C$11)^4+Assumptions!$C$16*$J523+Assumptions!$C$6*Assumptions!$C$9*(1+Assumptions!$C$12)^4</f>
        <v>721.7055843</v>
      </c>
      <c r="P523" s="139">
        <f>Assumptions!$C$6*Assumptions!$C$7*(1+$G523-0.05*(1-$K523))^5+Assumptions!$C$6*Assumptions!$C$8*(1+Assumptions!$C$11)^5+Assumptions!$C$16*$K523+Assumptions!$C$6*Assumptions!$C$9*(1+Assumptions!$C$12)^5</f>
        <v>738.0244845</v>
      </c>
      <c r="Q523" s="139">
        <f>($L523*(1-(Assumptions!$C$25+0.06*(1-1))-Assumptions!$C$27)-Assumptions!$C$28)-MAX(0,($L523*(1-(Assumptions!$C$25+0.06*(1-1))-Assumptions!$C$27)-Assumptions!$C$28)*Assumptions!$C$31)+Assumptions!$C$28-Assumptions!$C$29-$L523*Assumptions!$C$30</f>
        <v>94.1234656</v>
      </c>
      <c r="R523" s="139">
        <f>($M523*(1-(Assumptions!$C$25+0.06*(1-$H523))-Assumptions!$C$27)-Assumptions!$C$28)-MAX(0,($M523*(1-(Assumptions!$C$25+0.06*(1-$H523))-Assumptions!$C$27)-Assumptions!$C$28)*Assumptions!$C$31)+Assumptions!$C$28-Assumptions!$C$29-$M523*Assumptions!$C$30</f>
        <v>38.7356587</v>
      </c>
      <c r="S523" s="139">
        <f>($N523*(1-(Assumptions!$C$25+0.06*(1-$I523))-Assumptions!$C$27)-Assumptions!$C$28)-MAX(0,($N523*(1-(Assumptions!$C$25+0.06*(1-$I523))-Assumptions!$C$27)-Assumptions!$C$28)*Assumptions!$C$31)+Assumptions!$C$28-Assumptions!$C$29-$N523*Assumptions!$C$30</f>
        <v>42.32292718</v>
      </c>
      <c r="T523" s="139">
        <f>($O523*(1-(Assumptions!$C$25+0.06*(1-$J523))-Assumptions!$C$27)-Assumptions!$C$28)-MAX(0,($O523*(1-(Assumptions!$C$25+0.06*(1-$J523))-Assumptions!$C$27)-Assumptions!$C$28)*Assumptions!$C$31)+Assumptions!$C$28-Assumptions!$C$29-$O523*Assumptions!$C$30</f>
        <v>45.9922844</v>
      </c>
      <c r="U523" s="139">
        <f>($P523*(1-(Assumptions!$C$25+0.06*(1-$K523))-Assumptions!$C$27)-Assumptions!$C$28)-MAX(0,($P523*(1-(Assumptions!$C$25+0.06*(1-$K523))-Assumptions!$C$27)-Assumptions!$C$28)*Assumptions!$C$31)+Assumptions!$C$28-Assumptions!$C$29-$P523*Assumptions!$C$30</f>
        <v>49.74563143</v>
      </c>
      <c r="V523" s="143">
        <f>(($Q523/(1+$D523)^1+$R523/(1+$D523)^2+$S523/(1+$D523)^3+$T523/(1+$D523)^4+$U523/(1+$D523)^5+$U523*(1+$E523)/($D523-$E523)/(1+$D523)^5)-Assumptions!$C$37)/Assumptions!$C$40/Assumptions!$C$38</f>
        <v>-1.089066069</v>
      </c>
    </row>
    <row r="524" ht="12.0" customHeight="1">
      <c r="B524" s="139">
        <v>472.0</v>
      </c>
      <c r="C524" s="140">
        <f t="shared" si="6"/>
        <v>0.9234001717</v>
      </c>
      <c r="D524" s="141">
        <f t="shared" si="7"/>
        <v>0.1084446584</v>
      </c>
      <c r="E524" s="141">
        <f t="shared" si="8"/>
        <v>0.02971723687</v>
      </c>
      <c r="F524" s="140">
        <f t="shared" si="9"/>
        <v>0.9155512211</v>
      </c>
      <c r="G524" s="141">
        <f t="shared" si="10"/>
        <v>0.07767085558</v>
      </c>
      <c r="H524" s="142">
        <f t="shared" si="11"/>
        <v>1</v>
      </c>
      <c r="I524" s="142">
        <f t="shared" si="12"/>
        <v>1</v>
      </c>
      <c r="J524" s="142">
        <f t="shared" si="13"/>
        <v>0</v>
      </c>
      <c r="K524" s="142">
        <f t="shared" si="14"/>
        <v>1</v>
      </c>
      <c r="L524" s="139">
        <f>Assumptions!$C$6*Assumptions!$C$7*(1+$G524-0.05*(1-1))^1+Assumptions!$C$6*Assumptions!$C$8*(1+Assumptions!$C$11)^1+Assumptions!$C$16*1+Assumptions!$C$6*Assumptions!$C$9*(1+Assumptions!$C$12)^1</f>
        <v>752.61201</v>
      </c>
      <c r="M524" s="139">
        <f>Assumptions!$C$6*Assumptions!$C$7*(1+$G524-0.05*(1-$H524))^2+Assumptions!$C$6*Assumptions!$C$8*(1+Assumptions!$C$11)^2+Assumptions!$C$16*$H524+Assumptions!$C$6*Assumptions!$C$9*(1+Assumptions!$C$12)^2</f>
        <v>787.3840076</v>
      </c>
      <c r="N524" s="139">
        <f>Assumptions!$C$6*Assumptions!$C$7*(1+$G524-0.05*(1-$I524))^3+Assumptions!$C$6*Assumptions!$C$8*(1+Assumptions!$C$11)^3+Assumptions!$C$16*$I524+Assumptions!$C$6*Assumptions!$C$9*(1+Assumptions!$C$12)^3</f>
        <v>824.4763006</v>
      </c>
      <c r="O524" s="139">
        <f>Assumptions!$C$6*Assumptions!$C$7*(1+$G524-0.05*(1-$J524))^4+Assumptions!$C$6*Assumptions!$C$8*(1+Assumptions!$C$11)^4+Assumptions!$C$16*$J524+Assumptions!$C$6*Assumptions!$C$9*(1+Assumptions!$C$12)^4</f>
        <v>725.4896837</v>
      </c>
      <c r="P524" s="139">
        <f>Assumptions!$C$6*Assumptions!$C$7*(1+$G524-0.05*(1-$K524))^5+Assumptions!$C$6*Assumptions!$C$8*(1+Assumptions!$C$11)^5+Assumptions!$C$16*$K524+Assumptions!$C$6*Assumptions!$C$9*(1+Assumptions!$C$12)^5</f>
        <v>906.3254667</v>
      </c>
      <c r="Q524" s="139">
        <f>($L524*(1-(Assumptions!$C$25+0.06*(1-1))-Assumptions!$C$27)-Assumptions!$C$28)-MAX(0,($L524*(1-(Assumptions!$C$25+0.06*(1-1))-Assumptions!$C$27)-Assumptions!$C$28)*Assumptions!$C$31)+Assumptions!$C$28-Assumptions!$C$29-$L524*Assumptions!$C$30</f>
        <v>94.31158215</v>
      </c>
      <c r="R524" s="139">
        <f>($M524*(1-(Assumptions!$C$25+0.06*(1-$H524))-Assumptions!$C$27)-Assumptions!$C$28)-MAX(0,($M524*(1-(Assumptions!$C$25+0.06*(1-$H524))-Assumptions!$C$27)-Assumptions!$C$28)*Assumptions!$C$31)+Assumptions!$C$28-Assumptions!$C$29-$M524*Assumptions!$C$30</f>
        <v>101.7875616</v>
      </c>
      <c r="S524" s="139">
        <f>($N524*(1-(Assumptions!$C$25+0.06*(1-$I524))-Assumptions!$C$27)-Assumptions!$C$28)-MAX(0,($N524*(1-(Assumptions!$C$25+0.06*(1-$I524))-Assumptions!$C$27)-Assumptions!$C$28)*Assumptions!$C$31)+Assumptions!$C$28-Assumptions!$C$29-$N524*Assumptions!$C$30</f>
        <v>109.7624046</v>
      </c>
      <c r="T524" s="139">
        <f>($O524*(1-(Assumptions!$C$25+0.06*(1-$J524))-Assumptions!$C$27)-Assumptions!$C$28)-MAX(0,($O524*(1-(Assumptions!$C$25+0.06*(1-$J524))-Assumptions!$C$27)-Assumptions!$C$28)*Assumptions!$C$31)+Assumptions!$C$28-Assumptions!$C$29-$O524*Assumptions!$C$30</f>
        <v>46.86262724</v>
      </c>
      <c r="U524" s="139">
        <f>($P524*(1-(Assumptions!$C$25+0.06*(1-$K524))-Assumptions!$C$27)-Assumptions!$C$28)-MAX(0,($P524*(1-(Assumptions!$C$25+0.06*(1-$K524))-Assumptions!$C$27)-Assumptions!$C$28)*Assumptions!$C$31)+Assumptions!$C$28-Assumptions!$C$29-$P524*Assumptions!$C$30</f>
        <v>127.3599753</v>
      </c>
      <c r="V524" s="143">
        <f>(($Q524/(1+$D524)^1+$R524/(1+$D524)^2+$S524/(1+$D524)^3+$T524/(1+$D524)^4+$U524/(1+$D524)^5+$U524*(1+$E524)/($D524-$E524)/(1+$D524)^5)-Assumptions!$C$37)/Assumptions!$C$40/Assumptions!$C$38</f>
        <v>5.146821166</v>
      </c>
    </row>
    <row r="525" ht="12.0" customHeight="1">
      <c r="B525" s="139">
        <v>473.0</v>
      </c>
      <c r="C525" s="140">
        <f t="shared" si="6"/>
        <v>0.02180992601</v>
      </c>
      <c r="D525" s="141">
        <f t="shared" si="7"/>
        <v>0.08771911105</v>
      </c>
      <c r="E525" s="141">
        <f t="shared" si="8"/>
        <v>0.0279258146</v>
      </c>
      <c r="F525" s="140">
        <f t="shared" si="9"/>
        <v>0.2194536654</v>
      </c>
      <c r="G525" s="141">
        <f t="shared" si="10"/>
        <v>0.04987502447</v>
      </c>
      <c r="H525" s="142">
        <f t="shared" si="11"/>
        <v>1</v>
      </c>
      <c r="I525" s="142">
        <f t="shared" si="12"/>
        <v>1</v>
      </c>
      <c r="J525" s="142">
        <f t="shared" si="13"/>
        <v>0</v>
      </c>
      <c r="K525" s="142">
        <f t="shared" si="14"/>
        <v>0</v>
      </c>
      <c r="L525" s="139">
        <f>Assumptions!$C$6*Assumptions!$C$7*(1+$G525-0.05*(1-1))^1+Assumptions!$C$6*Assumptions!$C$8*(1+Assumptions!$C$11)^1+Assumptions!$C$16*1+Assumptions!$C$6*Assumptions!$C$9*(1+Assumptions!$C$12)^1</f>
        <v>743.2559332</v>
      </c>
      <c r="M525" s="139">
        <f>Assumptions!$C$6*Assumptions!$C$7*(1+$G525-0.05*(1-$H525))^2+Assumptions!$C$6*Assumptions!$C$8*(1+Assumptions!$C$11)^2+Assumptions!$C$16*$H525+Assumptions!$C$6*Assumptions!$C$9*(1+Assumptions!$C$12)^2</f>
        <v>767.4785251</v>
      </c>
      <c r="N525" s="139">
        <f>Assumptions!$C$6*Assumptions!$C$7*(1+$G525-0.05*(1-$I525))^3+Assumptions!$C$6*Assumptions!$C$8*(1+Assumptions!$C$11)^3+Assumptions!$C$16*$I525+Assumptions!$C$6*Assumptions!$C$9*(1+Assumptions!$C$12)^3</f>
        <v>792.7121229</v>
      </c>
      <c r="O525" s="139">
        <f>Assumptions!$C$6*Assumptions!$C$7*(1+$G525-0.05*(1-$J525))^4+Assumptions!$C$6*Assumptions!$C$8*(1+Assumptions!$C$11)^4+Assumptions!$C$16*$J525+Assumptions!$C$6*Assumptions!$C$9*(1+Assumptions!$C$12)^4</f>
        <v>686.490325</v>
      </c>
      <c r="P525" s="139">
        <f>Assumptions!$C$6*Assumptions!$C$7*(1+$G525-0.05*(1-$K525))^5+Assumptions!$C$6*Assumptions!$C$8*(1+Assumptions!$C$11)^5+Assumptions!$C$16*$K525+Assumptions!$C$6*Assumptions!$C$9*(1+Assumptions!$C$12)^5</f>
        <v>693.4494505</v>
      </c>
      <c r="Q525" s="139">
        <f>($L525*(1-(Assumptions!$C$25+0.06*(1-1))-Assumptions!$C$27)-Assumptions!$C$28)-MAX(0,($L525*(1-(Assumptions!$C$25+0.06*(1-1))-Assumptions!$C$27)-Assumptions!$C$28)*Assumptions!$C$31)+Assumptions!$C$28-Assumptions!$C$29-$L525*Assumptions!$C$30</f>
        <v>92.30002565</v>
      </c>
      <c r="R525" s="139">
        <f>($M525*(1-(Assumptions!$C$25+0.06*(1-$H525))-Assumptions!$C$27)-Assumptions!$C$28)-MAX(0,($M525*(1-(Assumptions!$C$25+0.06*(1-$H525))-Assumptions!$C$27)-Assumptions!$C$28)*Assumptions!$C$31)+Assumptions!$C$28-Assumptions!$C$29-$M525*Assumptions!$C$30</f>
        <v>97.50788289</v>
      </c>
      <c r="S525" s="139">
        <f>($N525*(1-(Assumptions!$C$25+0.06*(1-$I525))-Assumptions!$C$27)-Assumptions!$C$28)-MAX(0,($N525*(1-(Assumptions!$C$25+0.06*(1-$I525))-Assumptions!$C$27)-Assumptions!$C$28)*Assumptions!$C$31)+Assumptions!$C$28-Assumptions!$C$29-$N525*Assumptions!$C$30</f>
        <v>102.9331064</v>
      </c>
      <c r="T525" s="139">
        <f>($O525*(1-(Assumptions!$C$25+0.06*(1-$J525))-Assumptions!$C$27)-Assumptions!$C$28)-MAX(0,($O525*(1-(Assumptions!$C$25+0.06*(1-$J525))-Assumptions!$C$27)-Assumptions!$C$28)*Assumptions!$C$31)+Assumptions!$C$28-Assumptions!$C$29-$O525*Assumptions!$C$30</f>
        <v>37.89277476</v>
      </c>
      <c r="U525" s="139">
        <f>($P525*(1-(Assumptions!$C$25+0.06*(1-$K525))-Assumptions!$C$27)-Assumptions!$C$28)-MAX(0,($P525*(1-(Assumptions!$C$25+0.06*(1-$K525))-Assumptions!$C$27)-Assumptions!$C$28)*Assumptions!$C$31)+Assumptions!$C$28-Assumptions!$C$29-$P525*Assumptions!$C$30</f>
        <v>39.49337362</v>
      </c>
      <c r="V525" s="143">
        <f>(($Q525/(1+$D525)^1+$R525/(1+$D525)^2+$S525/(1+$D525)^3+$T525/(1+$D525)^4+$U525/(1+$D525)^5+$U525*(1+$E525)/($D525-$E525)/(1+$D525)^5)-Assumptions!$C$37)/Assumptions!$C$40/Assumptions!$C$38</f>
        <v>0.4251339481</v>
      </c>
    </row>
    <row r="526" ht="12.0" customHeight="1">
      <c r="B526" s="139">
        <v>474.0</v>
      </c>
      <c r="C526" s="140">
        <f t="shared" si="6"/>
        <v>0.9944198748</v>
      </c>
      <c r="D526" s="141">
        <f t="shared" si="7"/>
        <v>0.1132306922</v>
      </c>
      <c r="E526" s="141">
        <f t="shared" si="8"/>
        <v>0.01612073631</v>
      </c>
      <c r="F526" s="140">
        <f t="shared" si="9"/>
        <v>0.9124202511</v>
      </c>
      <c r="G526" s="141">
        <f t="shared" si="10"/>
        <v>0.07744438182</v>
      </c>
      <c r="H526" s="142">
        <f t="shared" si="11"/>
        <v>1</v>
      </c>
      <c r="I526" s="142">
        <f t="shared" si="12"/>
        <v>1</v>
      </c>
      <c r="J526" s="142">
        <f t="shared" si="13"/>
        <v>0</v>
      </c>
      <c r="K526" s="142">
        <f t="shared" si="14"/>
        <v>1</v>
      </c>
      <c r="L526" s="139">
        <f>Assumptions!$C$6*Assumptions!$C$7*(1+$G526-0.05*(1-1))^1+Assumptions!$C$6*Assumptions!$C$8*(1+Assumptions!$C$11)^1+Assumptions!$C$16*1+Assumptions!$C$6*Assumptions!$C$9*(1+Assumptions!$C$12)^1</f>
        <v>752.5357789</v>
      </c>
      <c r="M526" s="139">
        <f>Assumptions!$C$6*Assumptions!$C$7*(1+$G526-0.05*(1-$H526))^2+Assumptions!$C$6*Assumptions!$C$8*(1+Assumptions!$C$11)^2+Assumptions!$C$16*$H526+Assumptions!$C$6*Assumptions!$C$9*(1+Assumptions!$C$12)^2</f>
        <v>787.2197209</v>
      </c>
      <c r="N526" s="139">
        <f>Assumptions!$C$6*Assumptions!$C$7*(1+$G526-0.05*(1-$I526))^3+Assumptions!$C$6*Assumptions!$C$8*(1+Assumptions!$C$11)^3+Assumptions!$C$16*$I526+Assumptions!$C$6*Assumptions!$C$9*(1+Assumptions!$C$12)^3</f>
        <v>824.210758</v>
      </c>
      <c r="O526" s="139">
        <f>Assumptions!$C$6*Assumptions!$C$7*(1+$G526-0.05*(1-$J526))^4+Assumptions!$C$6*Assumptions!$C$8*(1+Assumptions!$C$11)^4+Assumptions!$C$16*$J526+Assumptions!$C$6*Assumptions!$C$9*(1+Assumptions!$C$12)^4</f>
        <v>725.1588493</v>
      </c>
      <c r="P526" s="139">
        <f>Assumptions!$C$6*Assumptions!$C$7*(1+$G526-0.05*(1-$K526))^5+Assumptions!$C$6*Assumptions!$C$8*(1+Assumptions!$C$11)^5+Assumptions!$C$16*$K526+Assumptions!$C$6*Assumptions!$C$9*(1+Assumptions!$C$12)^5</f>
        <v>905.811584</v>
      </c>
      <c r="Q526" s="139">
        <f>($L526*(1-(Assumptions!$C$25+0.06*(1-1))-Assumptions!$C$27)-Assumptions!$C$28)-MAX(0,($L526*(1-(Assumptions!$C$25+0.06*(1-1))-Assumptions!$C$27)-Assumptions!$C$28)*Assumptions!$C$31)+Assumptions!$C$28-Assumptions!$C$29-$L526*Assumptions!$C$30</f>
        <v>94.29519247</v>
      </c>
      <c r="R526" s="139">
        <f>($M526*(1-(Assumptions!$C$25+0.06*(1-$H526))-Assumptions!$C$27)-Assumptions!$C$28)-MAX(0,($M526*(1-(Assumptions!$C$25+0.06*(1-$H526))-Assumptions!$C$27)-Assumptions!$C$28)*Assumptions!$C$31)+Assumptions!$C$28-Assumptions!$C$29-$M526*Assumptions!$C$30</f>
        <v>101.75224</v>
      </c>
      <c r="S526" s="139">
        <f>($N526*(1-(Assumptions!$C$25+0.06*(1-$I526))-Assumptions!$C$27)-Assumptions!$C$28)-MAX(0,($N526*(1-(Assumptions!$C$25+0.06*(1-$I526))-Assumptions!$C$27)-Assumptions!$C$28)*Assumptions!$C$31)+Assumptions!$C$28-Assumptions!$C$29-$N526*Assumptions!$C$30</f>
        <v>109.705313</v>
      </c>
      <c r="T526" s="139">
        <f>($O526*(1-(Assumptions!$C$25+0.06*(1-$J526))-Assumptions!$C$27)-Assumptions!$C$28)-MAX(0,($O526*(1-(Assumptions!$C$25+0.06*(1-$J526))-Assumptions!$C$27)-Assumptions!$C$28)*Assumptions!$C$31)+Assumptions!$C$28-Assumptions!$C$29-$O526*Assumptions!$C$30</f>
        <v>46.78653535</v>
      </c>
      <c r="U526" s="139">
        <f>($P526*(1-(Assumptions!$C$25+0.06*(1-$K526))-Assumptions!$C$27)-Assumptions!$C$28)-MAX(0,($P526*(1-(Assumptions!$C$25+0.06*(1-$K526))-Assumptions!$C$27)-Assumptions!$C$28)*Assumptions!$C$31)+Assumptions!$C$28-Assumptions!$C$29-$P526*Assumptions!$C$30</f>
        <v>127.2494906</v>
      </c>
      <c r="V526" s="143">
        <f>(($Q526/(1+$D526)^1+$R526/(1+$D526)^2+$S526/(1+$D526)^3+$T526/(1+$D526)^4+$U526/(1+$D526)^5+$U526*(1+$E526)/($D526-$E526)/(1+$D526)^5)-Assumptions!$C$37)/Assumptions!$C$40/Assumptions!$C$38</f>
        <v>3.4204316</v>
      </c>
    </row>
    <row r="527" ht="12.0" customHeight="1">
      <c r="B527" s="139">
        <v>475.0</v>
      </c>
      <c r="C527" s="140">
        <f t="shared" si="6"/>
        <v>0.7120946984</v>
      </c>
      <c r="D527" s="141">
        <f t="shared" si="7"/>
        <v>0.1022911498</v>
      </c>
      <c r="E527" s="141">
        <f t="shared" si="8"/>
        <v>0.01944798253</v>
      </c>
      <c r="F527" s="140">
        <f t="shared" si="9"/>
        <v>0.7816584277</v>
      </c>
      <c r="G527" s="141">
        <f t="shared" si="10"/>
        <v>0.07017539836</v>
      </c>
      <c r="H527" s="142">
        <f t="shared" si="11"/>
        <v>1</v>
      </c>
      <c r="I527" s="142">
        <f t="shared" si="12"/>
        <v>0</v>
      </c>
      <c r="J527" s="142">
        <f t="shared" si="13"/>
        <v>1</v>
      </c>
      <c r="K527" s="142">
        <f t="shared" si="14"/>
        <v>0</v>
      </c>
      <c r="L527" s="139">
        <f>Assumptions!$C$6*Assumptions!$C$7*(1+$G527-0.05*(1-1))^1+Assumptions!$C$6*Assumptions!$C$8*(1+Assumptions!$C$11)^1+Assumptions!$C$16*1+Assumptions!$C$6*Assumptions!$C$9*(1+Assumptions!$C$12)^1</f>
        <v>750.0890391</v>
      </c>
      <c r="M527" s="139">
        <f>Assumptions!$C$6*Assumptions!$C$7*(1+$G527-0.05*(1-$H527))^2+Assumptions!$C$6*Assumptions!$C$8*(1+Assumptions!$C$11)^2+Assumptions!$C$16*$H527+Assumptions!$C$6*Assumptions!$C$9*(1+Assumptions!$C$12)^2</f>
        <v>781.965054</v>
      </c>
      <c r="N527" s="139">
        <f>Assumptions!$C$6*Assumptions!$C$7*(1+$G527-0.05*(1-$I527))^3+Assumptions!$C$6*Assumptions!$C$8*(1+Assumptions!$C$11)^3+Assumptions!$C$16*$I527+Assumptions!$C$6*Assumptions!$C$9*(1+Assumptions!$C$12)^3</f>
        <v>700.5815845</v>
      </c>
      <c r="O527" s="139">
        <f>Assumptions!$C$6*Assumptions!$C$7*(1+$G527-0.05*(1-$J527))^4+Assumptions!$C$6*Assumptions!$C$8*(1+Assumptions!$C$11)^4+Assumptions!$C$16*$J527+Assumptions!$C$6*Assumptions!$C$9*(1+Assumptions!$C$12)^4</f>
        <v>851.5618703</v>
      </c>
      <c r="P527" s="139">
        <f>Assumptions!$C$6*Assumptions!$C$7*(1+$G527-0.05*(1-$K527))^5+Assumptions!$C$6*Assumptions!$C$8*(1+Assumptions!$C$11)^5+Assumptions!$C$16*$K527+Assumptions!$C$6*Assumptions!$C$9*(1+Assumptions!$C$12)^5</f>
        <v>729.0129691</v>
      </c>
      <c r="Q527" s="139">
        <f>($L527*(1-(Assumptions!$C$25+0.06*(1-1))-Assumptions!$C$27)-Assumptions!$C$28)-MAX(0,($L527*(1-(Assumptions!$C$25+0.06*(1-1))-Assumptions!$C$27)-Assumptions!$C$28)*Assumptions!$C$31)+Assumptions!$C$28-Assumptions!$C$29-$L527*Assumptions!$C$30</f>
        <v>93.7691434</v>
      </c>
      <c r="R527" s="139">
        <f>($M527*(1-(Assumptions!$C$25+0.06*(1-$H527))-Assumptions!$C$27)-Assumptions!$C$28)-MAX(0,($M527*(1-(Assumptions!$C$25+0.06*(1-$H527))-Assumptions!$C$27)-Assumptions!$C$28)*Assumptions!$C$31)+Assumptions!$C$28-Assumptions!$C$29-$M527*Assumptions!$C$30</f>
        <v>100.6224866</v>
      </c>
      <c r="S527" s="139">
        <f>($N527*(1-(Assumptions!$C$25+0.06*(1-$I527))-Assumptions!$C$27)-Assumptions!$C$28)-MAX(0,($N527*(1-(Assumptions!$C$25+0.06*(1-$I527))-Assumptions!$C$27)-Assumptions!$C$28)*Assumptions!$C$31)+Assumptions!$C$28-Assumptions!$C$29-$N527*Assumptions!$C$30</f>
        <v>41.13376443</v>
      </c>
      <c r="T527" s="139">
        <f>($O527*(1-(Assumptions!$C$25+0.06*(1-$J527))-Assumptions!$C$27)-Assumptions!$C$28)-MAX(0,($O527*(1-(Assumptions!$C$25+0.06*(1-$J527))-Assumptions!$C$27)-Assumptions!$C$28)*Assumptions!$C$31)+Assumptions!$C$28-Assumptions!$C$29-$O527*Assumptions!$C$30</f>
        <v>115.5858021</v>
      </c>
      <c r="U527" s="139">
        <f>($P527*(1-(Assumptions!$C$25+0.06*(1-$K527))-Assumptions!$C$27)-Assumptions!$C$28)-MAX(0,($P527*(1-(Assumptions!$C$25+0.06*(1-$K527))-Assumptions!$C$27)-Assumptions!$C$28)*Assumptions!$C$31)+Assumptions!$C$28-Assumptions!$C$29-$P527*Assumptions!$C$30</f>
        <v>47.67298288</v>
      </c>
      <c r="V527" s="143">
        <f>(($Q527/(1+$D527)^1+$R527/(1+$D527)^2+$S527/(1+$D527)^3+$T527/(1+$D527)^4+$U527/(1+$D527)^5+$U527*(1+$E527)/($D527-$E527)/(1+$D527)^5)-Assumptions!$C$37)/Assumptions!$C$40/Assumptions!$C$38</f>
        <v>-0.1952914611</v>
      </c>
    </row>
    <row r="528" ht="12.0" customHeight="1">
      <c r="B528" s="139">
        <v>476.0</v>
      </c>
      <c r="C528" s="140">
        <f t="shared" si="6"/>
        <v>0.2891323712</v>
      </c>
      <c r="D528" s="141">
        <f t="shared" si="7"/>
        <v>0.09490029665</v>
      </c>
      <c r="E528" s="141">
        <f t="shared" si="8"/>
        <v>0.01712729196</v>
      </c>
      <c r="F528" s="140">
        <f t="shared" si="9"/>
        <v>0.3645240361</v>
      </c>
      <c r="G528" s="141">
        <f t="shared" si="10"/>
        <v>0.05561529358</v>
      </c>
      <c r="H528" s="142">
        <f t="shared" si="11"/>
        <v>1</v>
      </c>
      <c r="I528" s="142">
        <f t="shared" si="12"/>
        <v>0</v>
      </c>
      <c r="J528" s="142">
        <f t="shared" si="13"/>
        <v>0</v>
      </c>
      <c r="K528" s="142">
        <f t="shared" si="14"/>
        <v>1</v>
      </c>
      <c r="L528" s="139">
        <f>Assumptions!$C$6*Assumptions!$C$7*(1+$G528-0.05*(1-1))^1+Assumptions!$C$6*Assumptions!$C$8*(1+Assumptions!$C$11)^1+Assumptions!$C$16*1+Assumptions!$C$6*Assumptions!$C$9*(1+Assumptions!$C$12)^1</f>
        <v>745.1881078</v>
      </c>
      <c r="M528" s="139">
        <f>Assumptions!$C$6*Assumptions!$C$7*(1+$G528-0.05*(1-$H528))^2+Assumptions!$C$6*Assumptions!$C$8*(1+Assumptions!$C$11)^2+Assumptions!$C$16*$H528+Assumptions!$C$6*Assumptions!$C$9*(1+Assumptions!$C$12)^2</f>
        <v>771.5466999</v>
      </c>
      <c r="N528" s="139">
        <f>Assumptions!$C$6*Assumptions!$C$7*(1+$G528-0.05*(1-$I528))^3+Assumptions!$C$6*Assumptions!$C$8*(1+Assumptions!$C$11)^3+Assumptions!$C$16*$I528+Assumptions!$C$6*Assumptions!$C$9*(1+Assumptions!$C$12)^3</f>
        <v>685.4968908</v>
      </c>
      <c r="O528" s="139">
        <f>Assumptions!$C$6*Assumptions!$C$7*(1+$G528-0.05*(1-$J528))^4+Assumptions!$C$6*Assumptions!$C$8*(1+Assumptions!$C$11)^4+Assumptions!$C$16*$J528+Assumptions!$C$6*Assumptions!$C$9*(1+Assumptions!$C$12)^4</f>
        <v>694.2829116</v>
      </c>
      <c r="P528" s="139">
        <f>Assumptions!$C$6*Assumptions!$C$7*(1+$G528-0.05*(1-$K528))^5+Assumptions!$C$6*Assumptions!$C$8*(1+Assumptions!$C$11)^5+Assumptions!$C$16*$K528+Assumptions!$C$6*Assumptions!$C$9*(1+Assumptions!$C$12)^5</f>
        <v>858.2668185</v>
      </c>
      <c r="Q528" s="139">
        <f>($L528*(1-(Assumptions!$C$25+0.06*(1-1))-Assumptions!$C$27)-Assumptions!$C$28)-MAX(0,($L528*(1-(Assumptions!$C$25+0.06*(1-1))-Assumptions!$C$27)-Assumptions!$C$28)*Assumptions!$C$31)+Assumptions!$C$28-Assumptions!$C$29-$L528*Assumptions!$C$30</f>
        <v>92.71544318</v>
      </c>
      <c r="R528" s="139">
        <f>($M528*(1-(Assumptions!$C$25+0.06*(1-$H528))-Assumptions!$C$27)-Assumptions!$C$28)-MAX(0,($M528*(1-(Assumptions!$C$25+0.06*(1-$H528))-Assumptions!$C$27)-Assumptions!$C$28)*Assumptions!$C$31)+Assumptions!$C$28-Assumptions!$C$29-$M528*Assumptions!$C$30</f>
        <v>98.38254048</v>
      </c>
      <c r="S528" s="139">
        <f>($N528*(1-(Assumptions!$C$25+0.06*(1-$I528))-Assumptions!$C$27)-Assumptions!$C$28)-MAX(0,($N528*(1-(Assumptions!$C$25+0.06*(1-$I528))-Assumptions!$C$27)-Assumptions!$C$28)*Assumptions!$C$31)+Assumptions!$C$28-Assumptions!$C$29-$N528*Assumptions!$C$30</f>
        <v>37.66428488</v>
      </c>
      <c r="T528" s="139">
        <f>($O528*(1-(Assumptions!$C$25+0.06*(1-$J528))-Assumptions!$C$27)-Assumptions!$C$28)-MAX(0,($O528*(1-(Assumptions!$C$25+0.06*(1-$J528))-Assumptions!$C$27)-Assumptions!$C$28)*Assumptions!$C$31)+Assumptions!$C$28-Assumptions!$C$29-$O528*Assumptions!$C$30</f>
        <v>39.68506967</v>
      </c>
      <c r="U528" s="139">
        <f>($P528*(1-(Assumptions!$C$25+0.06*(1-$K528))-Assumptions!$C$27)-Assumptions!$C$28)-MAX(0,($P528*(1-(Assumptions!$C$25+0.06*(1-$K528))-Assumptions!$C$27)-Assumptions!$C$28)*Assumptions!$C$31)+Assumptions!$C$28-Assumptions!$C$29-$P528*Assumptions!$C$30</f>
        <v>117.027366</v>
      </c>
      <c r="V528" s="143">
        <f>(($Q528/(1+$D528)^1+$R528/(1+$D528)^2+$S528/(1+$D528)^3+$T528/(1+$D528)^4+$U528/(1+$D528)^5+$U528*(1+$E528)/($D528-$E528)/(1+$D528)^5)-Assumptions!$C$37)/Assumptions!$C$40/Assumptions!$C$38</f>
        <v>4.513720127</v>
      </c>
    </row>
    <row r="529" ht="12.0" customHeight="1">
      <c r="B529" s="139">
        <v>477.0</v>
      </c>
      <c r="C529" s="140">
        <f t="shared" si="6"/>
        <v>0.2327769315</v>
      </c>
      <c r="D529" s="141">
        <f t="shared" si="7"/>
        <v>0.09388320774</v>
      </c>
      <c r="E529" s="141">
        <f t="shared" si="8"/>
        <v>0.02553576639</v>
      </c>
      <c r="F529" s="140">
        <f t="shared" si="9"/>
        <v>0.3531989057</v>
      </c>
      <c r="G529" s="141">
        <f t="shared" si="10"/>
        <v>0.05521424261</v>
      </c>
      <c r="H529" s="142">
        <f t="shared" si="11"/>
        <v>0</v>
      </c>
      <c r="I529" s="142">
        <f t="shared" si="12"/>
        <v>1</v>
      </c>
      <c r="J529" s="142">
        <f t="shared" si="13"/>
        <v>1</v>
      </c>
      <c r="K529" s="142">
        <f t="shared" si="14"/>
        <v>1</v>
      </c>
      <c r="L529" s="139">
        <f>Assumptions!$C$6*Assumptions!$C$7*(1+$G529-0.05*(1-1))^1+Assumptions!$C$6*Assumptions!$C$8*(1+Assumptions!$C$11)^1+Assumptions!$C$16*1+Assumptions!$C$6*Assumptions!$C$9*(1+Assumptions!$C$12)^1</f>
        <v>745.0531141</v>
      </c>
      <c r="M529" s="139">
        <f>Assumptions!$C$6*Assumptions!$C$7*(1+$G529-0.05*(1-$H529))^2+Assumptions!$C$6*Assumptions!$C$8*(1+Assumptions!$C$11)^2+Assumptions!$C$16*$H529+Assumptions!$C$6*Assumptions!$C$9*(1+Assumptions!$C$12)^2</f>
        <v>676.5847397</v>
      </c>
      <c r="N529" s="139">
        <f>Assumptions!$C$6*Assumptions!$C$7*(1+$G529-0.05*(1-$I529))^3+Assumptions!$C$6*Assumptions!$C$8*(1+Assumptions!$C$11)^3+Assumptions!$C$16*$I529+Assumptions!$C$6*Assumptions!$C$9*(1+Assumptions!$C$12)^3</f>
        <v>798.6851572</v>
      </c>
      <c r="O529" s="139">
        <f>Assumptions!$C$6*Assumptions!$C$7*(1+$G529-0.05*(1-$J529))^4+Assumptions!$C$6*Assumptions!$C$8*(1+Assumptions!$C$11)^4+Assumptions!$C$16*$J529+Assumptions!$C$6*Assumptions!$C$9*(1+Assumptions!$C$12)^4</f>
        <v>827.3857584</v>
      </c>
      <c r="P529" s="139">
        <f>Assumptions!$C$6*Assumptions!$C$7*(1+$G529-0.05*(1-$K529))^5+Assumptions!$C$6*Assumptions!$C$8*(1+Assumptions!$C$11)^5+Assumptions!$C$16*$K529+Assumptions!$C$6*Assumptions!$C$9*(1+Assumptions!$C$12)^5</f>
        <v>857.4293348</v>
      </c>
      <c r="Q529" s="139">
        <f>($L529*(1-(Assumptions!$C$25+0.06*(1-1))-Assumptions!$C$27)-Assumptions!$C$28)-MAX(0,($L529*(1-(Assumptions!$C$25+0.06*(1-1))-Assumptions!$C$27)-Assumptions!$C$28)*Assumptions!$C$31)+Assumptions!$C$28-Assumptions!$C$29-$L529*Assumptions!$C$30</f>
        <v>92.68641952</v>
      </c>
      <c r="R529" s="139">
        <f>($M529*(1-(Assumptions!$C$25+0.06*(1-$H529))-Assumptions!$C$27)-Assumptions!$C$28)-MAX(0,($M529*(1-(Assumptions!$C$25+0.06*(1-$H529))-Assumptions!$C$27)-Assumptions!$C$28)*Assumptions!$C$31)+Assumptions!$C$28-Assumptions!$C$29-$M529*Assumptions!$C$30</f>
        <v>35.61449013</v>
      </c>
      <c r="S529" s="139">
        <f>($N529*(1-(Assumptions!$C$25+0.06*(1-$I529))-Assumptions!$C$27)-Assumptions!$C$28)-MAX(0,($N529*(1-(Assumptions!$C$25+0.06*(1-$I529))-Assumptions!$C$27)-Assumptions!$C$28)*Assumptions!$C$31)+Assumptions!$C$28-Assumptions!$C$29-$N529*Assumptions!$C$30</f>
        <v>104.2173088</v>
      </c>
      <c r="T529" s="139">
        <f>($O529*(1-(Assumptions!$C$25+0.06*(1-$J529))-Assumptions!$C$27)-Assumptions!$C$28)-MAX(0,($O529*(1-(Assumptions!$C$25+0.06*(1-$J529))-Assumptions!$C$27)-Assumptions!$C$28)*Assumptions!$C$31)+Assumptions!$C$28-Assumptions!$C$29-$O529*Assumptions!$C$30</f>
        <v>110.3879381</v>
      </c>
      <c r="U529" s="139">
        <f>($P529*(1-(Assumptions!$C$25+0.06*(1-$K529))-Assumptions!$C$27)-Assumptions!$C$28)-MAX(0,($P529*(1-(Assumptions!$C$25+0.06*(1-$K529))-Assumptions!$C$27)-Assumptions!$C$28)*Assumptions!$C$31)+Assumptions!$C$28-Assumptions!$C$29-$P529*Assumptions!$C$30</f>
        <v>116.847307</v>
      </c>
      <c r="V529" s="143">
        <f>(($Q529/(1+$D529)^1+$R529/(1+$D529)^2+$S529/(1+$D529)^3+$T529/(1+$D529)^4+$U529/(1+$D529)^5+$U529*(1+$E529)/($D529-$E529)/(1+$D529)^5)-Assumptions!$C$37)/Assumptions!$C$40/Assumptions!$C$38</f>
        <v>6.036646311</v>
      </c>
    </row>
    <row r="530" ht="12.0" customHeight="1">
      <c r="B530" s="139">
        <v>478.0</v>
      </c>
      <c r="C530" s="140">
        <f t="shared" si="6"/>
        <v>0.2472653406</v>
      </c>
      <c r="D530" s="141">
        <f t="shared" si="7"/>
        <v>0.09415548745</v>
      </c>
      <c r="E530" s="141">
        <f t="shared" si="8"/>
        <v>0.02141679755</v>
      </c>
      <c r="F530" s="140">
        <f t="shared" si="9"/>
        <v>0.9989620821</v>
      </c>
      <c r="G530" s="141">
        <f t="shared" si="10"/>
        <v>0.08863315978</v>
      </c>
      <c r="H530" s="142">
        <f t="shared" si="11"/>
        <v>1</v>
      </c>
      <c r="I530" s="142">
        <f t="shared" si="12"/>
        <v>1</v>
      </c>
      <c r="J530" s="142">
        <f t="shared" si="13"/>
        <v>1</v>
      </c>
      <c r="K530" s="142">
        <f t="shared" si="14"/>
        <v>0</v>
      </c>
      <c r="L530" s="139">
        <f>Assumptions!$C$6*Assumptions!$C$7*(1+$G530-0.05*(1-1))^1+Assumptions!$C$6*Assumptions!$C$8*(1+Assumptions!$C$11)^1+Assumptions!$C$16*1+Assumptions!$C$6*Assumptions!$C$9*(1+Assumptions!$C$12)^1</f>
        <v>756.3019216</v>
      </c>
      <c r="M530" s="139">
        <f>Assumptions!$C$6*Assumptions!$C$7*(1+$G530-0.05*(1-$H530))^2+Assumptions!$C$6*Assumptions!$C$8*(1+Assumptions!$C$11)^2+Assumptions!$C$16*$H530+Assumptions!$C$6*Assumptions!$C$9*(1+Assumptions!$C$12)^2</f>
        <v>795.3774779</v>
      </c>
      <c r="N530" s="139">
        <f>Assumptions!$C$6*Assumptions!$C$7*(1+$G530-0.05*(1-$I530))^3+Assumptions!$C$6*Assumptions!$C$8*(1+Assumptions!$C$11)^3+Assumptions!$C$16*$I530+Assumptions!$C$6*Assumptions!$C$9*(1+Assumptions!$C$12)^3</f>
        <v>837.4636266</v>
      </c>
      <c r="O530" s="139">
        <f>Assumptions!$C$6*Assumptions!$C$7*(1+$G530-0.05*(1-$J530))^4+Assumptions!$C$6*Assumptions!$C$8*(1+Assumptions!$C$11)^4+Assumptions!$C$16*$J530+Assumptions!$C$6*Assumptions!$C$9*(1+Assumptions!$C$12)^4</f>
        <v>882.81815</v>
      </c>
      <c r="P530" s="139">
        <f>Assumptions!$C$6*Assumptions!$C$7*(1+$G530-0.05*(1-$K530))^5+Assumptions!$C$6*Assumptions!$C$8*(1+Assumptions!$C$11)^5+Assumptions!$C$16*$K530+Assumptions!$C$6*Assumptions!$C$9*(1+Assumptions!$C$12)^5</f>
        <v>763.9010298</v>
      </c>
      <c r="Q530" s="139">
        <f>($L530*(1-(Assumptions!$C$25+0.06*(1-1))-Assumptions!$C$27)-Assumptions!$C$28)-MAX(0,($L530*(1-(Assumptions!$C$25+0.06*(1-1))-Assumptions!$C$27)-Assumptions!$C$28)*Assumptions!$C$31)+Assumptions!$C$28-Assumptions!$C$29-$L530*Assumptions!$C$30</f>
        <v>95.10491314</v>
      </c>
      <c r="R530" s="139">
        <f>($M530*(1-(Assumptions!$C$25+0.06*(1-$H530))-Assumptions!$C$27)-Assumptions!$C$28)-MAX(0,($M530*(1-(Assumptions!$C$25+0.06*(1-$H530))-Assumptions!$C$27)-Assumptions!$C$28)*Assumptions!$C$31)+Assumptions!$C$28-Assumptions!$C$29-$M530*Assumptions!$C$30</f>
        <v>103.5061577</v>
      </c>
      <c r="S530" s="139">
        <f>($N530*(1-(Assumptions!$C$25+0.06*(1-$I530))-Assumptions!$C$27)-Assumptions!$C$28)-MAX(0,($N530*(1-(Assumptions!$C$25+0.06*(1-$I530))-Assumptions!$C$27)-Assumptions!$C$28)*Assumptions!$C$31)+Assumptions!$C$28-Assumptions!$C$29-$N530*Assumptions!$C$30</f>
        <v>112.5546797</v>
      </c>
      <c r="T530" s="139">
        <f>($O530*(1-(Assumptions!$C$25+0.06*(1-$J530))-Assumptions!$C$27)-Assumptions!$C$28)-MAX(0,($O530*(1-(Assumptions!$C$25+0.06*(1-$J530))-Assumptions!$C$27)-Assumptions!$C$28)*Assumptions!$C$31)+Assumptions!$C$28-Assumptions!$C$29-$O530*Assumptions!$C$30</f>
        <v>122.3059022</v>
      </c>
      <c r="U530" s="139">
        <f>($P530*(1-(Assumptions!$C$25+0.06*(1-$K530))-Assumptions!$C$27)-Assumptions!$C$28)-MAX(0,($P530*(1-(Assumptions!$C$25+0.06*(1-$K530))-Assumptions!$C$27)-Assumptions!$C$28)*Assumptions!$C$31)+Assumptions!$C$28-Assumptions!$C$29-$P530*Assumptions!$C$30</f>
        <v>55.69723685</v>
      </c>
      <c r="V530" s="143">
        <f>(($Q530/(1+$D530)^1+$R530/(1+$D530)^2+$S530/(1+$D530)^3+$T530/(1+$D530)^4+$U530/(1+$D530)^5+$U530*(1+$E530)/($D530-$E530)/(1+$D530)^5)-Assumptions!$C$37)/Assumptions!$C$40/Assumptions!$C$38</f>
        <v>1.460908166</v>
      </c>
    </row>
    <row r="531" ht="12.0" customHeight="1">
      <c r="B531" s="139">
        <v>479.0</v>
      </c>
      <c r="C531" s="140">
        <f t="shared" si="6"/>
        <v>0.3724223125</v>
      </c>
      <c r="D531" s="141">
        <f t="shared" si="7"/>
        <v>0.09623615432</v>
      </c>
      <c r="E531" s="141">
        <f t="shared" si="8"/>
        <v>0.02848806922</v>
      </c>
      <c r="F531" s="140">
        <f t="shared" si="9"/>
        <v>0.3721933326</v>
      </c>
      <c r="G531" s="141">
        <f t="shared" si="10"/>
        <v>0.0558833537</v>
      </c>
      <c r="H531" s="142">
        <f t="shared" si="11"/>
        <v>1</v>
      </c>
      <c r="I531" s="142">
        <f t="shared" si="12"/>
        <v>0</v>
      </c>
      <c r="J531" s="142">
        <f t="shared" si="13"/>
        <v>1</v>
      </c>
      <c r="K531" s="142">
        <f t="shared" si="14"/>
        <v>1</v>
      </c>
      <c r="L531" s="139">
        <f>Assumptions!$C$6*Assumptions!$C$7*(1+$G531-0.05*(1-1))^1+Assumptions!$C$6*Assumptions!$C$8*(1+Assumptions!$C$11)^1+Assumptions!$C$16*1+Assumptions!$C$6*Assumptions!$C$9*(1+Assumptions!$C$12)^1</f>
        <v>745.2783369</v>
      </c>
      <c r="M531" s="139">
        <f>Assumptions!$C$6*Assumptions!$C$7*(1+$G531-0.05*(1-$H531))^2+Assumptions!$C$6*Assumptions!$C$8*(1+Assumptions!$C$11)^2+Assumptions!$C$16*$H531+Assumptions!$C$6*Assumptions!$C$9*(1+Assumptions!$C$12)^2</f>
        <v>771.7372184</v>
      </c>
      <c r="N531" s="139">
        <f>Assumptions!$C$6*Assumptions!$C$7*(1+$G531-0.05*(1-$I531))^3+Assumptions!$C$6*Assumptions!$C$8*(1+Assumptions!$C$11)^3+Assumptions!$C$16*$I531+Assumptions!$C$6*Assumptions!$C$9*(1+Assumptions!$C$12)^3</f>
        <v>685.7706994</v>
      </c>
      <c r="O531" s="139">
        <f>Assumptions!$C$6*Assumptions!$C$7*(1+$G531-0.05*(1-$J531))^4+Assumptions!$C$6*Assumptions!$C$8*(1+Assumptions!$C$11)^4+Assumptions!$C$16*$J531+Assumptions!$C$6*Assumptions!$C$9*(1+Assumptions!$C$12)^4</f>
        <v>828.4452739</v>
      </c>
      <c r="P531" s="139">
        <f>Assumptions!$C$6*Assumptions!$C$7*(1+$G531-0.05*(1-$K531))^5+Assumptions!$C$6*Assumptions!$C$8*(1+Assumptions!$C$11)^5+Assumptions!$C$16*$K531+Assumptions!$C$6*Assumptions!$C$9*(1+Assumptions!$C$12)^5</f>
        <v>858.8272978</v>
      </c>
      <c r="Q531" s="139">
        <f>($L531*(1-(Assumptions!$C$25+0.06*(1-1))-Assumptions!$C$27)-Assumptions!$C$28)-MAX(0,($L531*(1-(Assumptions!$C$25+0.06*(1-1))-Assumptions!$C$27)-Assumptions!$C$28)*Assumptions!$C$31)+Assumptions!$C$28-Assumptions!$C$29-$L531*Assumptions!$C$30</f>
        <v>92.73484242</v>
      </c>
      <c r="R531" s="139">
        <f>($M531*(1-(Assumptions!$C$25+0.06*(1-$H531))-Assumptions!$C$27)-Assumptions!$C$28)-MAX(0,($M531*(1-(Assumptions!$C$25+0.06*(1-$H531))-Assumptions!$C$27)-Assumptions!$C$28)*Assumptions!$C$31)+Assumptions!$C$28-Assumptions!$C$29-$M531*Assumptions!$C$30</f>
        <v>98.42350196</v>
      </c>
      <c r="S531" s="139">
        <f>($N531*(1-(Assumptions!$C$25+0.06*(1-$I531))-Assumptions!$C$27)-Assumptions!$C$28)-MAX(0,($N531*(1-(Assumptions!$C$25+0.06*(1-$I531))-Assumptions!$C$27)-Assumptions!$C$28)*Assumptions!$C$31)+Assumptions!$C$28-Assumptions!$C$29-$N531*Assumptions!$C$30</f>
        <v>37.72726086</v>
      </c>
      <c r="T531" s="139">
        <f>($O531*(1-(Assumptions!$C$25+0.06*(1-$J531))-Assumptions!$C$27)-Assumptions!$C$28)-MAX(0,($O531*(1-(Assumptions!$C$25+0.06*(1-$J531))-Assumptions!$C$27)-Assumptions!$C$28)*Assumptions!$C$31)+Assumptions!$C$28-Assumptions!$C$29-$O531*Assumptions!$C$30</f>
        <v>110.6157339</v>
      </c>
      <c r="U531" s="139">
        <f>($P531*(1-(Assumptions!$C$25+0.06*(1-$K531))-Assumptions!$C$27)-Assumptions!$C$28)-MAX(0,($P531*(1-(Assumptions!$C$25+0.06*(1-$K531))-Assumptions!$C$27)-Assumptions!$C$28)*Assumptions!$C$31)+Assumptions!$C$28-Assumptions!$C$29-$P531*Assumptions!$C$30</f>
        <v>117.147869</v>
      </c>
      <c r="V531" s="143">
        <f>(($Q531/(1+$D531)^1+$R531/(1+$D531)^2+$S531/(1+$D531)^3+$T531/(1+$D531)^4+$U531/(1+$D531)^5+$U531*(1+$E531)/($D531-$E531)/(1+$D531)^5)-Assumptions!$C$37)/Assumptions!$C$40/Assumptions!$C$38</f>
        <v>6.066626197</v>
      </c>
    </row>
    <row r="532" ht="12.0" customHeight="1">
      <c r="B532" s="139">
        <v>480.0</v>
      </c>
      <c r="C532" s="140">
        <f t="shared" si="6"/>
        <v>0.5967182829</v>
      </c>
      <c r="D532" s="141">
        <f t="shared" si="7"/>
        <v>0.09995868878</v>
      </c>
      <c r="E532" s="141">
        <f t="shared" si="8"/>
        <v>0.02502928791</v>
      </c>
      <c r="F532" s="140">
        <f t="shared" si="9"/>
        <v>0.4906460881</v>
      </c>
      <c r="G532" s="141">
        <f t="shared" si="10"/>
        <v>0.05971805779</v>
      </c>
      <c r="H532" s="142">
        <f t="shared" si="11"/>
        <v>0</v>
      </c>
      <c r="I532" s="142">
        <f t="shared" si="12"/>
        <v>1</v>
      </c>
      <c r="J532" s="142">
        <f t="shared" si="13"/>
        <v>1</v>
      </c>
      <c r="K532" s="142">
        <f t="shared" si="14"/>
        <v>1</v>
      </c>
      <c r="L532" s="139">
        <f>Assumptions!$C$6*Assumptions!$C$7*(1+$G532-0.05*(1-1))^1+Assumptions!$C$6*Assumptions!$C$8*(1+Assumptions!$C$11)^1+Assumptions!$C$16*1+Assumptions!$C$6*Assumptions!$C$9*(1+Assumptions!$C$12)^1</f>
        <v>746.5690983</v>
      </c>
      <c r="M532" s="139">
        <f>Assumptions!$C$6*Assumptions!$C$7*(1+$G532-0.05*(1-$H532))^2+Assumptions!$C$6*Assumptions!$C$8*(1+Assumptions!$C$11)^2+Assumptions!$C$16*$H532+Assumptions!$C$6*Assumptions!$C$9*(1+Assumptions!$C$12)^2</f>
        <v>679.6393452</v>
      </c>
      <c r="N532" s="139">
        <f>Assumptions!$C$6*Assumptions!$C$7*(1+$G532-0.05*(1-$I532))^3+Assumptions!$C$6*Assumptions!$C$8*(1+Assumptions!$C$11)^3+Assumptions!$C$16*$I532+Assumptions!$C$6*Assumptions!$C$9*(1+Assumptions!$C$12)^3</f>
        <v>803.7708431</v>
      </c>
      <c r="O532" s="139">
        <f>Assumptions!$C$6*Assumptions!$C$7*(1+$G532-0.05*(1-$J532))^4+Assumptions!$C$6*Assumptions!$C$8*(1+Assumptions!$C$11)^4+Assumptions!$C$16*$J532+Assumptions!$C$6*Assumptions!$C$9*(1+Assumptions!$C$12)^4</f>
        <v>834.5563676</v>
      </c>
      <c r="P532" s="139">
        <f>Assumptions!$C$6*Assumptions!$C$7*(1+$G532-0.05*(1-$K532))^5+Assumptions!$C$6*Assumptions!$C$8*(1+Assumptions!$C$11)^5+Assumptions!$C$16*$K532+Assumptions!$C$6*Assumptions!$C$9*(1+Assumptions!$C$12)^5</f>
        <v>866.9077234</v>
      </c>
      <c r="Q532" s="139">
        <f>($L532*(1-(Assumptions!$C$25+0.06*(1-1))-Assumptions!$C$27)-Assumptions!$C$28)-MAX(0,($L532*(1-(Assumptions!$C$25+0.06*(1-1))-Assumptions!$C$27)-Assumptions!$C$28)*Assumptions!$C$31)+Assumptions!$C$28-Assumptions!$C$29-$L532*Assumptions!$C$30</f>
        <v>93.01235612</v>
      </c>
      <c r="R532" s="139">
        <f>($M532*(1-(Assumptions!$C$25+0.06*(1-$H532))-Assumptions!$C$27)-Assumptions!$C$28)-MAX(0,($M532*(1-(Assumptions!$C$25+0.06*(1-$H532))-Assumptions!$C$27)-Assumptions!$C$28)*Assumptions!$C$31)+Assumptions!$C$28-Assumptions!$C$29-$M532*Assumptions!$C$30</f>
        <v>36.3170494</v>
      </c>
      <c r="S532" s="139">
        <f>($N532*(1-(Assumptions!$C$25+0.06*(1-$I532))-Assumptions!$C$27)-Assumptions!$C$28)-MAX(0,($N532*(1-(Assumptions!$C$25+0.06*(1-$I532))-Assumptions!$C$27)-Assumptions!$C$28)*Assumptions!$C$31)+Assumptions!$C$28-Assumptions!$C$29-$N532*Assumptions!$C$30</f>
        <v>105.3107313</v>
      </c>
      <c r="T532" s="139">
        <f>($O532*(1-(Assumptions!$C$25+0.06*(1-$J532))-Assumptions!$C$27)-Assumptions!$C$28)-MAX(0,($O532*(1-(Assumptions!$C$25+0.06*(1-$J532))-Assumptions!$C$27)-Assumptions!$C$28)*Assumptions!$C$31)+Assumptions!$C$28-Assumptions!$C$29-$O532*Assumptions!$C$30</f>
        <v>111.929619</v>
      </c>
      <c r="U532" s="139">
        <f>($P532*(1-(Assumptions!$C$25+0.06*(1-$K532))-Assumptions!$C$27)-Assumptions!$C$28)-MAX(0,($P532*(1-(Assumptions!$C$25+0.06*(1-$K532))-Assumptions!$C$27)-Assumptions!$C$28)*Assumptions!$C$31)+Assumptions!$C$28-Assumptions!$C$29-$P532*Assumptions!$C$30</f>
        <v>118.8851605</v>
      </c>
      <c r="V532" s="143">
        <f>(($Q532/(1+$D532)^1+$R532/(1+$D532)^2+$S532/(1+$D532)^3+$T532/(1+$D532)^4+$U532/(1+$D532)^5+$U532*(1+$E532)/($D532-$E532)/(1+$D532)^5)-Assumptions!$C$37)/Assumptions!$C$40/Assumptions!$C$38</f>
        <v>5.168716424</v>
      </c>
    </row>
    <row r="533" ht="12.0" customHeight="1">
      <c r="B533" s="139">
        <v>481.0</v>
      </c>
      <c r="C533" s="140">
        <f t="shared" si="6"/>
        <v>0.5645945081</v>
      </c>
      <c r="D533" s="141">
        <f t="shared" si="7"/>
        <v>0.0993711011</v>
      </c>
      <c r="E533" s="141">
        <f t="shared" si="8"/>
        <v>0.01482134347</v>
      </c>
      <c r="F533" s="140">
        <f t="shared" si="9"/>
        <v>0.9728229428</v>
      </c>
      <c r="G533" s="141">
        <f t="shared" si="10"/>
        <v>0.08300580935</v>
      </c>
      <c r="H533" s="142">
        <f t="shared" si="11"/>
        <v>0</v>
      </c>
      <c r="I533" s="142">
        <f t="shared" si="12"/>
        <v>1</v>
      </c>
      <c r="J533" s="142">
        <f t="shared" si="13"/>
        <v>0</v>
      </c>
      <c r="K533" s="142">
        <f t="shared" si="14"/>
        <v>0</v>
      </c>
      <c r="L533" s="139">
        <f>Assumptions!$C$6*Assumptions!$C$7*(1+$G533-0.05*(1-1))^1+Assumptions!$C$6*Assumptions!$C$8*(1+Assumptions!$C$11)^1+Assumptions!$C$16*1+Assumptions!$C$6*Assumptions!$C$9*(1+Assumptions!$C$12)^1</f>
        <v>754.4077554</v>
      </c>
      <c r="M533" s="139">
        <f>Assumptions!$C$6*Assumptions!$C$7*(1+$G533-0.05*(1-$H533))^2+Assumptions!$C$6*Assumptions!$C$8*(1+Assumptions!$C$11)^2+Assumptions!$C$16*$H533+Assumptions!$C$6*Assumptions!$C$9*(1+Assumptions!$C$12)^2</f>
        <v>695.6515573</v>
      </c>
      <c r="N533" s="139">
        <f>Assumptions!$C$6*Assumptions!$C$7*(1+$G533-0.05*(1-$I533))^3+Assumptions!$C$6*Assumptions!$C$8*(1+Assumptions!$C$11)^3+Assumptions!$C$16*$I533+Assumptions!$C$6*Assumptions!$C$9*(1+Assumptions!$C$12)^3</f>
        <v>830.7639234</v>
      </c>
      <c r="O533" s="139">
        <f>Assumptions!$C$6*Assumptions!$C$7*(1+$G533-0.05*(1-$J533))^4+Assumptions!$C$6*Assumptions!$C$8*(1+Assumptions!$C$11)^4+Assumptions!$C$16*$J533+Assumptions!$C$6*Assumptions!$C$9*(1+Assumptions!$C$12)^4</f>
        <v>733.3465117</v>
      </c>
      <c r="P533" s="139">
        <f>Assumptions!$C$6*Assumptions!$C$7*(1+$G533-0.05*(1-$K533))^5+Assumptions!$C$6*Assumptions!$C$8*(1+Assumptions!$C$11)^5+Assumptions!$C$16*$K533+Assumptions!$C$6*Assumptions!$C$9*(1+Assumptions!$C$12)^5</f>
        <v>752.9984119</v>
      </c>
      <c r="Q533" s="139">
        <f>($L533*(1-(Assumptions!$C$25+0.06*(1-1))-Assumptions!$C$27)-Assumptions!$C$28)-MAX(0,($L533*(1-(Assumptions!$C$25+0.06*(1-1))-Assumptions!$C$27)-Assumptions!$C$28)*Assumptions!$C$31)+Assumptions!$C$28-Assumptions!$C$29-$L533*Assumptions!$C$30</f>
        <v>94.69766742</v>
      </c>
      <c r="R533" s="139">
        <f>($M533*(1-(Assumptions!$C$25+0.06*(1-$H533))-Assumptions!$C$27)-Assumptions!$C$28)-MAX(0,($M533*(1-(Assumptions!$C$25+0.06*(1-$H533))-Assumptions!$C$27)-Assumptions!$C$28)*Assumptions!$C$31)+Assumptions!$C$28-Assumptions!$C$29-$M533*Assumptions!$C$30</f>
        <v>39.99985818</v>
      </c>
      <c r="S533" s="139">
        <f>($N533*(1-(Assumptions!$C$25+0.06*(1-$I533))-Assumptions!$C$27)-Assumptions!$C$28)-MAX(0,($N533*(1-(Assumptions!$C$25+0.06*(1-$I533))-Assumptions!$C$27)-Assumptions!$C$28)*Assumptions!$C$31)+Assumptions!$C$28-Assumptions!$C$29-$N533*Assumptions!$C$30</f>
        <v>111.1142435</v>
      </c>
      <c r="T533" s="139">
        <f>($O533*(1-(Assumptions!$C$25+0.06*(1-$J533))-Assumptions!$C$27)-Assumptions!$C$28)-MAX(0,($O533*(1-(Assumptions!$C$25+0.06*(1-$J533))-Assumptions!$C$27)-Assumptions!$C$28)*Assumptions!$C$31)+Assumptions!$C$28-Assumptions!$C$29-$O533*Assumptions!$C$30</f>
        <v>48.66969768</v>
      </c>
      <c r="U533" s="139">
        <f>($P533*(1-(Assumptions!$C$25+0.06*(1-$K533))-Assumptions!$C$27)-Assumptions!$C$28)-MAX(0,($P533*(1-(Assumptions!$C$25+0.06*(1-$K533))-Assumptions!$C$27)-Assumptions!$C$28)*Assumptions!$C$31)+Assumptions!$C$28-Assumptions!$C$29-$P533*Assumptions!$C$30</f>
        <v>53.18963474</v>
      </c>
      <c r="V533" s="143">
        <f>(($Q533/(1+$D533)^1+$R533/(1+$D533)^2+$S533/(1+$D533)^3+$T533/(1+$D533)^4+$U533/(1+$D533)^5+$U533*(1+$E533)/($D533-$E533)/(1+$D533)^5)-Assumptions!$C$37)/Assumptions!$C$40/Assumptions!$C$38</f>
        <v>-0.1940086497</v>
      </c>
    </row>
    <row r="534" ht="12.0" customHeight="1">
      <c r="B534" s="139">
        <v>482.0</v>
      </c>
      <c r="C534" s="140">
        <f t="shared" si="6"/>
        <v>0.4949742478</v>
      </c>
      <c r="D534" s="141">
        <f t="shared" si="7"/>
        <v>0.09816790426</v>
      </c>
      <c r="E534" s="141">
        <f t="shared" si="8"/>
        <v>0.0238198285</v>
      </c>
      <c r="F534" s="140">
        <f t="shared" si="9"/>
        <v>0.5170032578</v>
      </c>
      <c r="G534" s="141">
        <f t="shared" si="10"/>
        <v>0.06051450974</v>
      </c>
      <c r="H534" s="142">
        <f t="shared" si="11"/>
        <v>1</v>
      </c>
      <c r="I534" s="142">
        <f t="shared" si="12"/>
        <v>1</v>
      </c>
      <c r="J534" s="142">
        <f t="shared" si="13"/>
        <v>0</v>
      </c>
      <c r="K534" s="142">
        <f t="shared" si="14"/>
        <v>1</v>
      </c>
      <c r="L534" s="139">
        <f>Assumptions!$C$6*Assumptions!$C$7*(1+$G534-0.05*(1-1))^1+Assumptions!$C$6*Assumptions!$C$8*(1+Assumptions!$C$11)^1+Assumptions!$C$16*1+Assumptions!$C$6*Assumptions!$C$9*(1+Assumptions!$C$12)^1</f>
        <v>746.837184</v>
      </c>
      <c r="M534" s="139">
        <f>Assumptions!$C$6*Assumptions!$C$7*(1+$G534-0.05*(1-$H534))^2+Assumptions!$C$6*Assumptions!$C$8*(1+Assumptions!$C$11)^2+Assumptions!$C$16*$H534+Assumptions!$C$6*Assumptions!$C$9*(1+Assumptions!$C$12)^2</f>
        <v>775.0363591</v>
      </c>
      <c r="N534" s="139">
        <f>Assumptions!$C$6*Assumptions!$C$7*(1+$G534-0.05*(1-$I534))^3+Assumptions!$C$6*Assumptions!$C$8*(1+Assumptions!$C$11)^3+Assumptions!$C$16*$I534+Assumptions!$C$6*Assumptions!$C$9*(1+Assumptions!$C$12)^3</f>
        <v>804.6747048</v>
      </c>
      <c r="O534" s="139">
        <f>Assumptions!$C$6*Assumptions!$C$7*(1+$G534-0.05*(1-$J534))^4+Assumptions!$C$6*Assumptions!$C$8*(1+Assumptions!$C$11)^4+Assumptions!$C$16*$J534+Assumptions!$C$6*Assumptions!$C$9*(1+Assumptions!$C$12)^4</f>
        <v>701.0401424</v>
      </c>
      <c r="P534" s="139">
        <f>Assumptions!$C$6*Assumptions!$C$7*(1+$G534-0.05*(1-$K534))^5+Assumptions!$C$6*Assumptions!$C$8*(1+Assumptions!$C$11)^5+Assumptions!$C$16*$K534+Assumptions!$C$6*Assumptions!$C$9*(1+Assumptions!$C$12)^5</f>
        <v>868.6007269</v>
      </c>
      <c r="Q534" s="139">
        <f>($L534*(1-(Assumptions!$C$25+0.06*(1-1))-Assumptions!$C$27)-Assumptions!$C$28)-MAX(0,($L534*(1-(Assumptions!$C$25+0.06*(1-1))-Assumptions!$C$27)-Assumptions!$C$28)*Assumptions!$C$31)+Assumptions!$C$28-Assumptions!$C$29-$L534*Assumptions!$C$30</f>
        <v>93.06999456</v>
      </c>
      <c r="R534" s="139">
        <f>($M534*(1-(Assumptions!$C$25+0.06*(1-$H534))-Assumptions!$C$27)-Assumptions!$C$28)-MAX(0,($M534*(1-(Assumptions!$C$25+0.06*(1-$H534))-Assumptions!$C$27)-Assumptions!$C$28)*Assumptions!$C$31)+Assumptions!$C$28-Assumptions!$C$29-$M534*Assumptions!$C$30</f>
        <v>99.13281721</v>
      </c>
      <c r="S534" s="139">
        <f>($N534*(1-(Assumptions!$C$25+0.06*(1-$I534))-Assumptions!$C$27)-Assumptions!$C$28)-MAX(0,($N534*(1-(Assumptions!$C$25+0.06*(1-$I534))-Assumptions!$C$27)-Assumptions!$C$28)*Assumptions!$C$31)+Assumptions!$C$28-Assumptions!$C$29-$N534*Assumptions!$C$30</f>
        <v>105.5050615</v>
      </c>
      <c r="T534" s="139">
        <f>($O534*(1-(Assumptions!$C$25+0.06*(1-$J534))-Assumptions!$C$27)-Assumptions!$C$28)-MAX(0,($O534*(1-(Assumptions!$C$25+0.06*(1-$J534))-Assumptions!$C$27)-Assumptions!$C$28)*Assumptions!$C$31)+Assumptions!$C$28-Assumptions!$C$29-$O534*Assumptions!$C$30</f>
        <v>41.23923275</v>
      </c>
      <c r="U534" s="139">
        <f>($P534*(1-(Assumptions!$C$25+0.06*(1-$K534))-Assumptions!$C$27)-Assumptions!$C$28)-MAX(0,($P534*(1-(Assumptions!$C$25+0.06*(1-$K534))-Assumptions!$C$27)-Assumptions!$C$28)*Assumptions!$C$31)+Assumptions!$C$28-Assumptions!$C$29-$P534*Assumptions!$C$30</f>
        <v>119.2491563</v>
      </c>
      <c r="V534" s="143">
        <f>(($Q534/(1+$D534)^1+$R534/(1+$D534)^2+$S534/(1+$D534)^3+$T534/(1+$D534)^4+$U534/(1+$D534)^5+$U534*(1+$E534)/($D534-$E534)/(1+$D534)^5)-Assumptions!$C$37)/Assumptions!$C$40/Assumptions!$C$38</f>
        <v>5.354356301</v>
      </c>
    </row>
    <row r="535" ht="12.0" customHeight="1">
      <c r="B535" s="139">
        <v>483.0</v>
      </c>
      <c r="C535" s="140">
        <f t="shared" si="6"/>
        <v>0.5844575773</v>
      </c>
      <c r="D535" s="141">
        <f t="shared" si="7"/>
        <v>0.0997317552</v>
      </c>
      <c r="E535" s="141">
        <f t="shared" si="8"/>
        <v>0.02172922588</v>
      </c>
      <c r="F535" s="140">
        <f t="shared" si="9"/>
        <v>0.3539779669</v>
      </c>
      <c r="G535" s="141">
        <f t="shared" si="10"/>
        <v>0.05524203519</v>
      </c>
      <c r="H535" s="142">
        <f t="shared" si="11"/>
        <v>1</v>
      </c>
      <c r="I535" s="142">
        <f t="shared" si="12"/>
        <v>1</v>
      </c>
      <c r="J535" s="142">
        <f t="shared" si="13"/>
        <v>0</v>
      </c>
      <c r="K535" s="142">
        <f t="shared" si="14"/>
        <v>1</v>
      </c>
      <c r="L535" s="139">
        <f>Assumptions!$C$6*Assumptions!$C$7*(1+$G535-0.05*(1-1))^1+Assumptions!$C$6*Assumptions!$C$8*(1+Assumptions!$C$11)^1+Assumptions!$C$16*1+Assumptions!$C$6*Assumptions!$C$9*(1+Assumptions!$C$12)^1</f>
        <v>745.062469</v>
      </c>
      <c r="M535" s="139">
        <f>Assumptions!$C$6*Assumptions!$C$7*(1+$G535-0.05*(1-$H535))^2+Assumptions!$C$6*Assumptions!$C$8*(1+Assumptions!$C$11)^2+Assumptions!$C$16*$H535+Assumptions!$C$6*Assumptions!$C$9*(1+Assumptions!$C$12)^2</f>
        <v>771.2814944</v>
      </c>
      <c r="N535" s="139">
        <f>Assumptions!$C$6*Assumptions!$C$7*(1+$G535-0.05*(1-$I535))^3+Assumptions!$C$6*Assumptions!$C$8*(1+Assumptions!$C$11)^3+Assumptions!$C$16*$I535+Assumptions!$C$6*Assumptions!$C$9*(1+Assumptions!$C$12)^3</f>
        <v>798.7164077</v>
      </c>
      <c r="O535" s="139">
        <f>Assumptions!$C$6*Assumptions!$C$7*(1+$G535-0.05*(1-$J535))^4+Assumptions!$C$6*Assumptions!$C$8*(1+Assumptions!$C$11)^4+Assumptions!$C$16*$J535+Assumptions!$C$6*Assumptions!$C$9*(1+Assumptions!$C$12)^4</f>
        <v>693.7721274</v>
      </c>
      <c r="P535" s="139">
        <f>Assumptions!$C$6*Assumptions!$C$7*(1+$G535-0.05*(1-$K535))^5+Assumptions!$C$6*Assumptions!$C$8*(1+Assumptions!$C$11)^5+Assumptions!$C$16*$K535+Assumptions!$C$6*Assumptions!$C$9*(1+Assumptions!$C$12)^5</f>
        <v>857.4873308</v>
      </c>
      <c r="Q535" s="139">
        <f>($L535*(1-(Assumptions!$C$25+0.06*(1-1))-Assumptions!$C$27)-Assumptions!$C$28)-MAX(0,($L535*(1-(Assumptions!$C$25+0.06*(1-1))-Assumptions!$C$27)-Assumptions!$C$28)*Assumptions!$C$31)+Assumptions!$C$28-Assumptions!$C$29-$L535*Assumptions!$C$30</f>
        <v>92.68843084</v>
      </c>
      <c r="R535" s="139">
        <f>($M535*(1-(Assumptions!$C$25+0.06*(1-$H535))-Assumptions!$C$27)-Assumptions!$C$28)-MAX(0,($M535*(1-(Assumptions!$C$25+0.06*(1-$H535))-Assumptions!$C$27)-Assumptions!$C$28)*Assumptions!$C$31)+Assumptions!$C$28-Assumptions!$C$29-$M535*Assumptions!$C$30</f>
        <v>98.3255213</v>
      </c>
      <c r="S535" s="139">
        <f>($N535*(1-(Assumptions!$C$25+0.06*(1-$I535))-Assumptions!$C$27)-Assumptions!$C$28)-MAX(0,($N535*(1-(Assumptions!$C$25+0.06*(1-$I535))-Assumptions!$C$27)-Assumptions!$C$28)*Assumptions!$C$31)+Assumptions!$C$28-Assumptions!$C$29-$N535*Assumptions!$C$30</f>
        <v>104.2240277</v>
      </c>
      <c r="T535" s="139">
        <f>($O535*(1-(Assumptions!$C$25+0.06*(1-$J535))-Assumptions!$C$27)-Assumptions!$C$28)-MAX(0,($O535*(1-(Assumptions!$C$25+0.06*(1-$J535))-Assumptions!$C$27)-Assumptions!$C$28)*Assumptions!$C$31)+Assumptions!$C$28-Assumptions!$C$29-$O535*Assumptions!$C$30</f>
        <v>39.5675893</v>
      </c>
      <c r="U535" s="139">
        <f>($P535*(1-(Assumptions!$C$25+0.06*(1-$K535))-Assumptions!$C$27)-Assumptions!$C$28)-MAX(0,($P535*(1-(Assumptions!$C$25+0.06*(1-$K535))-Assumptions!$C$27)-Assumptions!$C$28)*Assumptions!$C$31)+Assumptions!$C$28-Assumptions!$C$29-$P535*Assumptions!$C$30</f>
        <v>116.8597761</v>
      </c>
      <c r="V535" s="143">
        <f>(($Q535/(1+$D535)^1+$R535/(1+$D535)^2+$S535/(1+$D535)^3+$T535/(1+$D535)^4+$U535/(1+$D535)^5+$U535*(1+$E535)/($D535-$E535)/(1+$D535)^5)-Assumptions!$C$37)/Assumptions!$C$40/Assumptions!$C$38</f>
        <v>4.710121469</v>
      </c>
    </row>
    <row r="536" ht="12.0" customHeight="1">
      <c r="B536" s="139">
        <v>484.0</v>
      </c>
      <c r="C536" s="140">
        <f t="shared" si="6"/>
        <v>0.5430275201</v>
      </c>
      <c r="D536" s="141">
        <f t="shared" si="7"/>
        <v>0.0989887052</v>
      </c>
      <c r="E536" s="141">
        <f t="shared" si="8"/>
        <v>0.01725434985</v>
      </c>
      <c r="F536" s="140">
        <f t="shared" si="9"/>
        <v>0.5176789614</v>
      </c>
      <c r="G536" s="141">
        <f t="shared" si="10"/>
        <v>0.06053514179</v>
      </c>
      <c r="H536" s="142">
        <f t="shared" si="11"/>
        <v>1</v>
      </c>
      <c r="I536" s="142">
        <f t="shared" si="12"/>
        <v>1</v>
      </c>
      <c r="J536" s="142">
        <f t="shared" si="13"/>
        <v>0</v>
      </c>
      <c r="K536" s="142">
        <f t="shared" si="14"/>
        <v>1</v>
      </c>
      <c r="L536" s="139">
        <f>Assumptions!$C$6*Assumptions!$C$7*(1+$G536-0.05*(1-1))^1+Assumptions!$C$6*Assumptions!$C$8*(1+Assumptions!$C$11)^1+Assumptions!$C$16*1+Assumptions!$C$6*Assumptions!$C$9*(1+Assumptions!$C$12)^1</f>
        <v>746.8441287</v>
      </c>
      <c r="M536" s="139">
        <f>Assumptions!$C$6*Assumptions!$C$7*(1+$G536-0.05*(1-$H536))^2+Assumptions!$C$6*Assumptions!$C$8*(1+Assumptions!$C$11)^2+Assumptions!$C$16*$H536+Assumptions!$C$6*Assumptions!$C$9*(1+Assumptions!$C$12)^2</f>
        <v>775.0510893</v>
      </c>
      <c r="N536" s="139">
        <f>Assumptions!$C$6*Assumptions!$C$7*(1+$G536-0.05*(1-$I536))^3+Assumptions!$C$6*Assumptions!$C$8*(1+Assumptions!$C$11)^3+Assumptions!$C$16*$I536+Assumptions!$C$6*Assumptions!$C$9*(1+Assumptions!$C$12)^3</f>
        <v>804.6981373</v>
      </c>
      <c r="O536" s="139">
        <f>Assumptions!$C$6*Assumptions!$C$7*(1+$G536-0.05*(1-$J536))^4+Assumptions!$C$6*Assumptions!$C$8*(1+Assumptions!$C$11)^4+Assumptions!$C$16*$J536+Assumptions!$C$6*Assumptions!$C$9*(1+Assumptions!$C$12)^4</f>
        <v>701.0688077</v>
      </c>
      <c r="P536" s="139">
        <f>Assumptions!$C$6*Assumptions!$C$7*(1+$G536-0.05*(1-$K536))^5+Assumptions!$C$6*Assumptions!$C$8*(1+Assumptions!$C$11)^5+Assumptions!$C$16*$K536+Assumptions!$C$6*Assumptions!$C$9*(1+Assumptions!$C$12)^5</f>
        <v>868.6446517</v>
      </c>
      <c r="Q536" s="139">
        <f>($L536*(1-(Assumptions!$C$25+0.06*(1-1))-Assumptions!$C$27)-Assumptions!$C$28)-MAX(0,($L536*(1-(Assumptions!$C$25+0.06*(1-1))-Assumptions!$C$27)-Assumptions!$C$28)*Assumptions!$C$31)+Assumptions!$C$28-Assumptions!$C$29-$L536*Assumptions!$C$30</f>
        <v>93.07148768</v>
      </c>
      <c r="R536" s="139">
        <f>($M536*(1-(Assumptions!$C$25+0.06*(1-$H536))-Assumptions!$C$27)-Assumptions!$C$28)-MAX(0,($M536*(1-(Assumptions!$C$25+0.06*(1-$H536))-Assumptions!$C$27)-Assumptions!$C$28)*Assumptions!$C$31)+Assumptions!$C$28-Assumptions!$C$29-$M536*Assumptions!$C$30</f>
        <v>99.1359842</v>
      </c>
      <c r="S536" s="139">
        <f>($N536*(1-(Assumptions!$C$25+0.06*(1-$I536))-Assumptions!$C$27)-Assumptions!$C$28)-MAX(0,($N536*(1-(Assumptions!$C$25+0.06*(1-$I536))-Assumptions!$C$27)-Assumptions!$C$28)*Assumptions!$C$31)+Assumptions!$C$28-Assumptions!$C$29-$N536*Assumptions!$C$30</f>
        <v>105.5100995</v>
      </c>
      <c r="T536" s="139">
        <f>($O536*(1-(Assumptions!$C$25+0.06*(1-$J536))-Assumptions!$C$27)-Assumptions!$C$28)-MAX(0,($O536*(1-(Assumptions!$C$25+0.06*(1-$J536))-Assumptions!$C$27)-Assumptions!$C$28)*Assumptions!$C$31)+Assumptions!$C$28-Assumptions!$C$29-$O536*Assumptions!$C$30</f>
        <v>41.24582578</v>
      </c>
      <c r="U536" s="139">
        <f>($P536*(1-(Assumptions!$C$25+0.06*(1-$K536))-Assumptions!$C$27)-Assumptions!$C$28)-MAX(0,($P536*(1-(Assumptions!$C$25+0.06*(1-$K536))-Assumptions!$C$27)-Assumptions!$C$28)*Assumptions!$C$31)+Assumptions!$C$28-Assumptions!$C$29-$P536*Assumptions!$C$30</f>
        <v>119.2586001</v>
      </c>
      <c r="V536" s="143">
        <f>(($Q536/(1+$D536)^1+$R536/(1+$D536)^2+$S536/(1+$D536)^3+$T536/(1+$D536)^4+$U536/(1+$D536)^5+$U536*(1+$E536)/($D536-$E536)/(1+$D536)^5)-Assumptions!$C$37)/Assumptions!$C$40/Assumptions!$C$38</f>
        <v>4.550441858</v>
      </c>
    </row>
    <row r="537" ht="12.0" customHeight="1">
      <c r="B537" s="139">
        <v>485.0</v>
      </c>
      <c r="C537" s="140">
        <f t="shared" si="6"/>
        <v>0.3437687324</v>
      </c>
      <c r="D537" s="141">
        <f t="shared" si="7"/>
        <v>0.09579525823</v>
      </c>
      <c r="E537" s="141">
        <f t="shared" si="8"/>
        <v>0.02403577204</v>
      </c>
      <c r="F537" s="140">
        <f t="shared" si="9"/>
        <v>0.8142659891</v>
      </c>
      <c r="G537" s="141">
        <f t="shared" si="10"/>
        <v>0.07171554705</v>
      </c>
      <c r="H537" s="142">
        <f t="shared" si="11"/>
        <v>1</v>
      </c>
      <c r="I537" s="142">
        <f t="shared" si="12"/>
        <v>0</v>
      </c>
      <c r="J537" s="142">
        <f t="shared" si="13"/>
        <v>0</v>
      </c>
      <c r="K537" s="142">
        <f t="shared" si="14"/>
        <v>0</v>
      </c>
      <c r="L537" s="139">
        <f>Assumptions!$C$6*Assumptions!$C$7*(1+$G537-0.05*(1-1))^1+Assumptions!$C$6*Assumptions!$C$8*(1+Assumptions!$C$11)^1+Assumptions!$C$16*1+Assumptions!$C$6*Assumptions!$C$9*(1+Assumptions!$C$12)^1</f>
        <v>750.6074531</v>
      </c>
      <c r="M537" s="139">
        <f>Assumptions!$C$6*Assumptions!$C$7*(1+$G537-0.05*(1-$H537))^2+Assumptions!$C$6*Assumptions!$C$8*(1+Assumptions!$C$11)^2+Assumptions!$C$16*$H537+Assumptions!$C$6*Assumptions!$C$9*(1+Assumptions!$C$12)^2</f>
        <v>783.0754404</v>
      </c>
      <c r="N537" s="139">
        <f>Assumptions!$C$6*Assumptions!$C$7*(1+$G537-0.05*(1-$I537))^3+Assumptions!$C$6*Assumptions!$C$8*(1+Assumptions!$C$11)^3+Assumptions!$C$16*$I537+Assumptions!$C$6*Assumptions!$C$9*(1+Assumptions!$C$12)^3</f>
        <v>702.2026598</v>
      </c>
      <c r="O537" s="139">
        <f>Assumptions!$C$6*Assumptions!$C$7*(1+$G537-0.05*(1-$J537))^4+Assumptions!$C$6*Assumptions!$C$8*(1+Assumptions!$C$11)^4+Assumptions!$C$16*$J537+Assumptions!$C$6*Assumptions!$C$9*(1+Assumptions!$C$12)^4</f>
        <v>716.8626081</v>
      </c>
      <c r="P537" s="139">
        <f>Assumptions!$C$6*Assumptions!$C$7*(1+$G537-0.05*(1-$K537))^5+Assumptions!$C$6*Assumptions!$C$8*(1+Assumptions!$C$11)^5+Assumptions!$C$16*$K537+Assumptions!$C$6*Assumptions!$C$9*(1+Assumptions!$C$12)^5</f>
        <v>731.8291299</v>
      </c>
      <c r="Q537" s="139">
        <f>($L537*(1-(Assumptions!$C$25+0.06*(1-1))-Assumptions!$C$27)-Assumptions!$C$28)-MAX(0,($L537*(1-(Assumptions!$C$25+0.06*(1-1))-Assumptions!$C$27)-Assumptions!$C$28)*Assumptions!$C$31)+Assumptions!$C$28-Assumptions!$C$29-$L537*Assumptions!$C$30</f>
        <v>93.88060242</v>
      </c>
      <c r="R537" s="139">
        <f>($M537*(1-(Assumptions!$C$25+0.06*(1-$H537))-Assumptions!$C$27)-Assumptions!$C$28)-MAX(0,($M537*(1-(Assumptions!$C$25+0.06*(1-$H537))-Assumptions!$C$27)-Assumptions!$C$28)*Assumptions!$C$31)+Assumptions!$C$28-Assumptions!$C$29-$M537*Assumptions!$C$30</f>
        <v>100.8612197</v>
      </c>
      <c r="S537" s="139">
        <f>($N537*(1-(Assumptions!$C$25+0.06*(1-$I537))-Assumptions!$C$27)-Assumptions!$C$28)-MAX(0,($N537*(1-(Assumptions!$C$25+0.06*(1-$I537))-Assumptions!$C$27)-Assumptions!$C$28)*Assumptions!$C$31)+Assumptions!$C$28-Assumptions!$C$29-$N537*Assumptions!$C$30</f>
        <v>41.50661176</v>
      </c>
      <c r="T537" s="139">
        <f>($O537*(1-(Assumptions!$C$25+0.06*(1-$J537))-Assumptions!$C$27)-Assumptions!$C$28)-MAX(0,($O537*(1-(Assumptions!$C$25+0.06*(1-$J537))-Assumptions!$C$27)-Assumptions!$C$28)*Assumptions!$C$31)+Assumptions!$C$28-Assumptions!$C$29-$O537*Assumptions!$C$30</f>
        <v>44.87839987</v>
      </c>
      <c r="U537" s="139">
        <f>($P537*(1-(Assumptions!$C$25+0.06*(1-$K537))-Assumptions!$C$27)-Assumptions!$C$28)-MAX(0,($P537*(1-(Assumptions!$C$25+0.06*(1-$K537))-Assumptions!$C$27)-Assumptions!$C$28)*Assumptions!$C$31)+Assumptions!$C$28-Assumptions!$C$29-$P537*Assumptions!$C$30</f>
        <v>48.32069987</v>
      </c>
      <c r="V537" s="143">
        <f>(($Q537/(1+$D537)^1+$R537/(1+$D537)^2+$S537/(1+$D537)^3+$T537/(1+$D537)^4+$U537/(1+$D537)^5+$U537*(1+$E537)/($D537-$E537)/(1+$D537)^5)-Assumptions!$C$37)/Assumptions!$C$40/Assumptions!$C$38</f>
        <v>0.05979581973</v>
      </c>
    </row>
    <row r="538" ht="12.0" customHeight="1">
      <c r="B538" s="139">
        <v>486.0</v>
      </c>
      <c r="C538" s="140">
        <f t="shared" si="6"/>
        <v>0.6033593072</v>
      </c>
      <c r="D538" s="141">
        <f t="shared" si="7"/>
        <v>0.1000830489</v>
      </c>
      <c r="E538" s="141">
        <f t="shared" si="8"/>
        <v>0.01951990384</v>
      </c>
      <c r="F538" s="140">
        <f t="shared" si="9"/>
        <v>0.9041554577</v>
      </c>
      <c r="G538" s="141">
        <f t="shared" si="10"/>
        <v>0.07686530639</v>
      </c>
      <c r="H538" s="142">
        <f t="shared" si="11"/>
        <v>1</v>
      </c>
      <c r="I538" s="142">
        <f t="shared" si="12"/>
        <v>0</v>
      </c>
      <c r="J538" s="142">
        <f t="shared" si="13"/>
        <v>0</v>
      </c>
      <c r="K538" s="142">
        <f t="shared" si="14"/>
        <v>0</v>
      </c>
      <c r="L538" s="139">
        <f>Assumptions!$C$6*Assumptions!$C$7*(1+$G538-0.05*(1-1))^1+Assumptions!$C$6*Assumptions!$C$8*(1+Assumptions!$C$11)^1+Assumptions!$C$16*1+Assumptions!$C$6*Assumptions!$C$9*(1+Assumptions!$C$12)^1</f>
        <v>752.3408621</v>
      </c>
      <c r="M538" s="139">
        <f>Assumptions!$C$6*Assumptions!$C$7*(1+$G538-0.05*(1-$H538))^2+Assumptions!$C$6*Assumptions!$C$8*(1+Assumptions!$C$11)^2+Assumptions!$C$16*$H538+Assumptions!$C$6*Assumptions!$C$9*(1+Assumptions!$C$12)^2</f>
        <v>786.7998097</v>
      </c>
      <c r="N538" s="139">
        <f>Assumptions!$C$6*Assumptions!$C$7*(1+$G538-0.05*(1-$I538))^3+Assumptions!$C$6*Assumptions!$C$8*(1+Assumptions!$C$11)^3+Assumptions!$C$16*$I538+Assumptions!$C$6*Assumptions!$C$9*(1+Assumptions!$C$12)^3</f>
        <v>707.658598</v>
      </c>
      <c r="O538" s="139">
        <f>Assumptions!$C$6*Assumptions!$C$7*(1+$G538-0.05*(1-$J538))^4+Assumptions!$C$6*Assumptions!$C$8*(1+Assumptions!$C$11)^4+Assumptions!$C$16*$J538+Assumptions!$C$6*Assumptions!$C$9*(1+Assumptions!$C$12)^4</f>
        <v>724.3139265</v>
      </c>
      <c r="P538" s="139">
        <f>Assumptions!$C$6*Assumptions!$C$7*(1+$G538-0.05*(1-$K538))^5+Assumptions!$C$6*Assumptions!$C$8*(1+Assumptions!$C$11)^5+Assumptions!$C$16*$K538+Assumptions!$C$6*Assumptions!$C$9*(1+Assumptions!$C$12)^5</f>
        <v>741.3695828</v>
      </c>
      <c r="Q538" s="139">
        <f>($L538*(1-(Assumptions!$C$25+0.06*(1-1))-Assumptions!$C$27)-Assumptions!$C$28)-MAX(0,($L538*(1-(Assumptions!$C$25+0.06*(1-1))-Assumptions!$C$27)-Assumptions!$C$28)*Assumptions!$C$31)+Assumptions!$C$28-Assumptions!$C$29-$L538*Assumptions!$C$30</f>
        <v>94.25328536</v>
      </c>
      <c r="R538" s="139">
        <f>($M538*(1-(Assumptions!$C$25+0.06*(1-$H538))-Assumptions!$C$27)-Assumptions!$C$28)-MAX(0,($M538*(1-(Assumptions!$C$25+0.06*(1-$H538))-Assumptions!$C$27)-Assumptions!$C$28)*Assumptions!$C$31)+Assumptions!$C$28-Assumptions!$C$29-$M538*Assumptions!$C$30</f>
        <v>101.6619591</v>
      </c>
      <c r="S538" s="139">
        <f>($N538*(1-(Assumptions!$C$25+0.06*(1-$I538))-Assumptions!$C$27)-Assumptions!$C$28)-MAX(0,($N538*(1-(Assumptions!$C$25+0.06*(1-$I538))-Assumptions!$C$27)-Assumptions!$C$28)*Assumptions!$C$31)+Assumptions!$C$28-Assumptions!$C$29-$N538*Assumptions!$C$30</f>
        <v>42.76147754</v>
      </c>
      <c r="T538" s="139">
        <f>($O538*(1-(Assumptions!$C$25+0.06*(1-$J538))-Assumptions!$C$27)-Assumptions!$C$28)-MAX(0,($O538*(1-(Assumptions!$C$25+0.06*(1-$J538))-Assumptions!$C$27)-Assumptions!$C$28)*Assumptions!$C$31)+Assumptions!$C$28-Assumptions!$C$29-$O538*Assumptions!$C$30</f>
        <v>46.5922031</v>
      </c>
      <c r="U538" s="139">
        <f>($P538*(1-(Assumptions!$C$25+0.06*(1-$K538))-Assumptions!$C$27)-Assumptions!$C$28)-MAX(0,($P538*(1-(Assumptions!$C$25+0.06*(1-$K538))-Assumptions!$C$27)-Assumptions!$C$28)*Assumptions!$C$31)+Assumptions!$C$28-Assumptions!$C$29-$P538*Assumptions!$C$30</f>
        <v>50.51500405</v>
      </c>
      <c r="V538" s="143">
        <f>(($Q538/(1+$D538)^1+$R538/(1+$D538)^2+$S538/(1+$D538)^3+$T538/(1+$D538)^4+$U538/(1+$D538)^5+$U538*(1+$E538)/($D538-$E538)/(1+$D538)^5)-Assumptions!$C$37)/Assumptions!$C$40/Assumptions!$C$38</f>
        <v>-0.2336999824</v>
      </c>
    </row>
    <row r="539" ht="12.0" customHeight="1">
      <c r="B539" s="139">
        <v>487.0</v>
      </c>
      <c r="C539" s="140">
        <f t="shared" si="6"/>
        <v>0.8174268148</v>
      </c>
      <c r="D539" s="141">
        <f t="shared" si="7"/>
        <v>0.1048795476</v>
      </c>
      <c r="E539" s="141">
        <f t="shared" si="8"/>
        <v>0.02095946212</v>
      </c>
      <c r="F539" s="140">
        <f t="shared" si="9"/>
        <v>0.1575992607</v>
      </c>
      <c r="G539" s="141">
        <f t="shared" si="10"/>
        <v>0.04684276311</v>
      </c>
      <c r="H539" s="142">
        <f t="shared" si="11"/>
        <v>1</v>
      </c>
      <c r="I539" s="142">
        <f t="shared" si="12"/>
        <v>1</v>
      </c>
      <c r="J539" s="142">
        <f t="shared" si="13"/>
        <v>1</v>
      </c>
      <c r="K539" s="142">
        <f t="shared" si="14"/>
        <v>0</v>
      </c>
      <c r="L539" s="139">
        <f>Assumptions!$C$6*Assumptions!$C$7*(1+$G539-0.05*(1-1))^1+Assumptions!$C$6*Assumptions!$C$8*(1+Assumptions!$C$11)^1+Assumptions!$C$16*1+Assumptions!$C$6*Assumptions!$C$9*(1+Assumptions!$C$12)^1</f>
        <v>742.2352741</v>
      </c>
      <c r="M539" s="139">
        <f>Assumptions!$C$6*Assumptions!$C$7*(1+$G539-0.05*(1-$H539))^2+Assumptions!$C$6*Assumptions!$C$8*(1+Assumptions!$C$11)^2+Assumptions!$C$16*$H539+Assumptions!$C$6*Assumptions!$C$9*(1+Assumptions!$C$12)^2</f>
        <v>765.3384908</v>
      </c>
      <c r="N539" s="139">
        <f>Assumptions!$C$6*Assumptions!$C$7*(1+$G539-0.05*(1-$I539))^3+Assumptions!$C$6*Assumptions!$C$8*(1+Assumptions!$C$11)^3+Assumptions!$C$16*$I539+Assumptions!$C$6*Assumptions!$C$9*(1+Assumptions!$C$12)^3</f>
        <v>789.3468347</v>
      </c>
      <c r="O539" s="139">
        <f>Assumptions!$C$6*Assumptions!$C$7*(1+$G539-0.05*(1-$J539))^4+Assumptions!$C$6*Assumptions!$C$8*(1+Assumptions!$C$11)^4+Assumptions!$C$16*$J539+Assumptions!$C$6*Assumptions!$C$9*(1+Assumptions!$C$12)^4</f>
        <v>814.2991625</v>
      </c>
      <c r="P539" s="139">
        <f>Assumptions!$C$6*Assumptions!$C$7*(1+$G539-0.05*(1-$K539))^5+Assumptions!$C$6*Assumptions!$C$8*(1+Assumptions!$C$11)^5+Assumptions!$C$16*$K539+Assumptions!$C$6*Assumptions!$C$9*(1+Assumptions!$C$12)^5</f>
        <v>688.3795491</v>
      </c>
      <c r="Q539" s="139">
        <f>($L539*(1-(Assumptions!$C$25+0.06*(1-1))-Assumptions!$C$27)-Assumptions!$C$28)-MAX(0,($L539*(1-(Assumptions!$C$25+0.06*(1-1))-Assumptions!$C$27)-Assumptions!$C$28)*Assumptions!$C$31)+Assumptions!$C$28-Assumptions!$C$29-$L539*Assumptions!$C$30</f>
        <v>92.08058392</v>
      </c>
      <c r="R539" s="139">
        <f>($M539*(1-(Assumptions!$C$25+0.06*(1-$H539))-Assumptions!$C$27)-Assumptions!$C$28)-MAX(0,($M539*(1-(Assumptions!$C$25+0.06*(1-$H539))-Assumptions!$C$27)-Assumptions!$C$28)*Assumptions!$C$31)+Assumptions!$C$28-Assumptions!$C$29-$M539*Assumptions!$C$30</f>
        <v>97.04777552</v>
      </c>
      <c r="S539" s="139">
        <f>($N539*(1-(Assumptions!$C$25+0.06*(1-$I539))-Assumptions!$C$27)-Assumptions!$C$28)-MAX(0,($N539*(1-(Assumptions!$C$25+0.06*(1-$I539))-Assumptions!$C$27)-Assumptions!$C$28)*Assumptions!$C$31)+Assumptions!$C$28-Assumptions!$C$29-$N539*Assumptions!$C$30</f>
        <v>102.2095695</v>
      </c>
      <c r="T539" s="139">
        <f>($O539*(1-(Assumptions!$C$25+0.06*(1-$J539))-Assumptions!$C$27)-Assumptions!$C$28)-MAX(0,($O539*(1-(Assumptions!$C$25+0.06*(1-$J539))-Assumptions!$C$27)-Assumptions!$C$28)*Assumptions!$C$31)+Assumptions!$C$28-Assumptions!$C$29-$O539*Assumptions!$C$30</f>
        <v>107.5743199</v>
      </c>
      <c r="U539" s="139">
        <f>($P539*(1-(Assumptions!$C$25+0.06*(1-$K539))-Assumptions!$C$27)-Assumptions!$C$28)-MAX(0,($P539*(1-(Assumptions!$C$25+0.06*(1-$K539))-Assumptions!$C$27)-Assumptions!$C$28)*Assumptions!$C$31)+Assumptions!$C$28-Assumptions!$C$29-$P539*Assumptions!$C$30</f>
        <v>38.32729629</v>
      </c>
      <c r="V539" s="143">
        <f>(($Q539/(1+$D539)^1+$R539/(1+$D539)^2+$S539/(1+$D539)^3+$T539/(1+$D539)^4+$U539/(1+$D539)^5+$U539*(1+$E539)/($D539-$E539)/(1+$D539)^5)-Assumptions!$C$37)/Assumptions!$C$40/Assumptions!$C$38</f>
        <v>-0.5808650626</v>
      </c>
    </row>
    <row r="540" ht="12.0" customHeight="1">
      <c r="B540" s="139">
        <v>488.0</v>
      </c>
      <c r="C540" s="140">
        <f t="shared" si="6"/>
        <v>0.3072631406</v>
      </c>
      <c r="D540" s="141">
        <f t="shared" si="7"/>
        <v>0.09520598867</v>
      </c>
      <c r="E540" s="141">
        <f t="shared" si="8"/>
        <v>0.02821794187</v>
      </c>
      <c r="F540" s="140">
        <f t="shared" si="9"/>
        <v>0.9555714567</v>
      </c>
      <c r="G540" s="141">
        <f t="shared" si="10"/>
        <v>0.08105732826</v>
      </c>
      <c r="H540" s="142">
        <f t="shared" si="11"/>
        <v>1</v>
      </c>
      <c r="I540" s="142">
        <f t="shared" si="12"/>
        <v>0</v>
      </c>
      <c r="J540" s="142">
        <f t="shared" si="13"/>
        <v>0</v>
      </c>
      <c r="K540" s="142">
        <f t="shared" si="14"/>
        <v>0</v>
      </c>
      <c r="L540" s="139">
        <f>Assumptions!$C$6*Assumptions!$C$7*(1+$G540-0.05*(1-1))^1+Assumptions!$C$6*Assumptions!$C$8*(1+Assumptions!$C$11)^1+Assumptions!$C$16*1+Assumptions!$C$6*Assumptions!$C$9*(1+Assumptions!$C$12)^1</f>
        <v>753.7518967</v>
      </c>
      <c r="M540" s="139">
        <f>Assumptions!$C$6*Assumptions!$C$7*(1+$G540-0.05*(1-$H540))^2+Assumptions!$C$6*Assumptions!$C$8*(1+Assumptions!$C$11)^2+Assumptions!$C$16*$H540+Assumptions!$C$6*Assumptions!$C$9*(1+Assumptions!$C$12)^2</f>
        <v>789.8447132</v>
      </c>
      <c r="N540" s="139">
        <f>Assumptions!$C$6*Assumptions!$C$7*(1+$G540-0.05*(1-$I540))^3+Assumptions!$C$6*Assumptions!$C$8*(1+Assumptions!$C$11)^3+Assumptions!$C$16*$I540+Assumptions!$C$6*Assumptions!$C$9*(1+Assumptions!$C$12)^3</f>
        <v>712.140451</v>
      </c>
      <c r="O540" s="139">
        <f>Assumptions!$C$6*Assumptions!$C$7*(1+$G540-0.05*(1-$J540))^4+Assumptions!$C$6*Assumptions!$C$8*(1+Assumptions!$C$11)^4+Assumptions!$C$16*$J540+Assumptions!$C$6*Assumptions!$C$9*(1+Assumptions!$C$12)^4</f>
        <v>730.4628146</v>
      </c>
      <c r="P540" s="139">
        <f>Assumptions!$C$6*Assumptions!$C$7*(1+$G540-0.05*(1-$K540))^5+Assumptions!$C$6*Assumptions!$C$8*(1+Assumptions!$C$11)^5+Assumptions!$C$16*$K540+Assumptions!$C$6*Assumptions!$C$9*(1+Assumptions!$C$12)^5</f>
        <v>749.2783256</v>
      </c>
      <c r="Q540" s="139">
        <f>($L540*(1-(Assumptions!$C$25+0.06*(1-1))-Assumptions!$C$27)-Assumptions!$C$28)-MAX(0,($L540*(1-(Assumptions!$C$25+0.06*(1-1))-Assumptions!$C$27)-Assumptions!$C$28)*Assumptions!$C$31)+Assumptions!$C$28-Assumptions!$C$29-$L540*Assumptions!$C$30</f>
        <v>94.55665779</v>
      </c>
      <c r="R540" s="139">
        <f>($M540*(1-(Assumptions!$C$25+0.06*(1-$H540))-Assumptions!$C$27)-Assumptions!$C$28)-MAX(0,($M540*(1-(Assumptions!$C$25+0.06*(1-$H540))-Assumptions!$C$27)-Assumptions!$C$28)*Assumptions!$C$31)+Assumptions!$C$28-Assumptions!$C$29-$M540*Assumptions!$C$30</f>
        <v>102.3166133</v>
      </c>
      <c r="S540" s="139">
        <f>($N540*(1-(Assumptions!$C$25+0.06*(1-$I540))-Assumptions!$C$27)-Assumptions!$C$28)-MAX(0,($N540*(1-(Assumptions!$C$25+0.06*(1-$I540))-Assumptions!$C$27)-Assumptions!$C$28)*Assumptions!$C$31)+Assumptions!$C$28-Assumptions!$C$29-$N540*Assumptions!$C$30</f>
        <v>43.79230372</v>
      </c>
      <c r="T540" s="139">
        <f>($O540*(1-(Assumptions!$C$25+0.06*(1-$J540))-Assumptions!$C$27)-Assumptions!$C$28)-MAX(0,($O540*(1-(Assumptions!$C$25+0.06*(1-$J540))-Assumptions!$C$27)-Assumptions!$C$28)*Assumptions!$C$31)+Assumptions!$C$28-Assumptions!$C$29-$O540*Assumptions!$C$30</f>
        <v>48.00644736</v>
      </c>
      <c r="U540" s="139">
        <f>($P540*(1-(Assumptions!$C$25+0.06*(1-$K540))-Assumptions!$C$27)-Assumptions!$C$28)-MAX(0,($P540*(1-(Assumptions!$C$25+0.06*(1-$K540))-Assumptions!$C$27)-Assumptions!$C$28)*Assumptions!$C$31)+Assumptions!$C$28-Assumptions!$C$29-$P540*Assumptions!$C$30</f>
        <v>52.33401489</v>
      </c>
      <c r="V540" s="143">
        <f>(($Q540/(1+$D540)^1+$R540/(1+$D540)^2+$S540/(1+$D540)^3+$T540/(1+$D540)^4+$U540/(1+$D540)^5+$U540*(1+$E540)/($D540-$E540)/(1+$D540)^5)-Assumptions!$C$37)/Assumptions!$C$40/Assumptions!$C$38</f>
        <v>0.6995882329</v>
      </c>
    </row>
    <row r="541" ht="12.0" customHeight="1">
      <c r="B541" s="139">
        <v>489.0</v>
      </c>
      <c r="C541" s="140">
        <f t="shared" si="6"/>
        <v>0.9309488543</v>
      </c>
      <c r="D541" s="141">
        <f t="shared" si="7"/>
        <v>0.1087760388</v>
      </c>
      <c r="E541" s="141">
        <f t="shared" si="8"/>
        <v>0.01850059048</v>
      </c>
      <c r="F541" s="140">
        <f t="shared" si="9"/>
        <v>0.6675382039</v>
      </c>
      <c r="G541" s="141">
        <f t="shared" si="10"/>
        <v>0.06553714585</v>
      </c>
      <c r="H541" s="142">
        <f t="shared" si="11"/>
        <v>1</v>
      </c>
      <c r="I541" s="142">
        <f t="shared" si="12"/>
        <v>1</v>
      </c>
      <c r="J541" s="142">
        <f t="shared" si="13"/>
        <v>1</v>
      </c>
      <c r="K541" s="142">
        <f t="shared" si="14"/>
        <v>0</v>
      </c>
      <c r="L541" s="139">
        <f>Assumptions!$C$6*Assumptions!$C$7*(1+$G541-0.05*(1-1))^1+Assumptions!$C$6*Assumptions!$C$8*(1+Assumptions!$C$11)^1+Assumptions!$C$16*1+Assumptions!$C$6*Assumptions!$C$9*(1+Assumptions!$C$12)^1</f>
        <v>748.5278033</v>
      </c>
      <c r="M541" s="139">
        <f>Assumptions!$C$6*Assumptions!$C$7*(1+$G541-0.05*(1-$H541))^2+Assumptions!$C$6*Assumptions!$C$8*(1+Assumptions!$C$11)^2+Assumptions!$C$16*$H541+Assumptions!$C$6*Assumptions!$C$9*(1+Assumptions!$C$12)^2</f>
        <v>778.6307031</v>
      </c>
      <c r="N541" s="139">
        <f>Assumptions!$C$6*Assumptions!$C$7*(1+$G541-0.05*(1-$I541))^3+Assumptions!$C$6*Assumptions!$C$8*(1+Assumptions!$C$11)^3+Assumptions!$C$16*$I541+Assumptions!$C$6*Assumptions!$C$9*(1+Assumptions!$C$12)^3</f>
        <v>810.4060362</v>
      </c>
      <c r="O541" s="139">
        <f>Assumptions!$C$6*Assumptions!$C$7*(1+$G541-0.05*(1-$J541))^4+Assumptions!$C$6*Assumptions!$C$8*(1+Assumptions!$C$11)^4+Assumptions!$C$16*$J541+Assumptions!$C$6*Assumptions!$C$9*(1+Assumptions!$C$12)^4</f>
        <v>843.9574004</v>
      </c>
      <c r="P541" s="139">
        <f>Assumptions!$C$6*Assumptions!$C$7*(1+$G541-0.05*(1-$K541))^5+Assumptions!$C$6*Assumptions!$C$8*(1+Assumptions!$C$11)^5+Assumptions!$C$16*$K541+Assumptions!$C$6*Assumptions!$C$9*(1+Assumptions!$C$12)^5</f>
        <v>720.6340337</v>
      </c>
      <c r="Q541" s="139">
        <f>($L541*(1-(Assumptions!$C$25+0.06*(1-1))-Assumptions!$C$27)-Assumptions!$C$28)-MAX(0,($L541*(1-(Assumptions!$C$25+0.06*(1-1))-Assumptions!$C$27)-Assumptions!$C$28)*Assumptions!$C$31)+Assumptions!$C$28-Assumptions!$C$29-$L541*Assumptions!$C$30</f>
        <v>93.43347771</v>
      </c>
      <c r="R541" s="139">
        <f>($M541*(1-(Assumptions!$C$25+0.06*(1-$H541))-Assumptions!$C$27)-Assumptions!$C$28)-MAX(0,($M541*(1-(Assumptions!$C$25+0.06*(1-$H541))-Assumptions!$C$27)-Assumptions!$C$28)*Assumptions!$C$31)+Assumptions!$C$28-Assumptions!$C$29-$M541*Assumptions!$C$30</f>
        <v>99.90560117</v>
      </c>
      <c r="S541" s="139">
        <f>($N541*(1-(Assumptions!$C$25+0.06*(1-$I541))-Assumptions!$C$27)-Assumptions!$C$28)-MAX(0,($N541*(1-(Assumptions!$C$25+0.06*(1-$I541))-Assumptions!$C$27)-Assumptions!$C$28)*Assumptions!$C$31)+Assumptions!$C$28-Assumptions!$C$29-$N541*Assumptions!$C$30</f>
        <v>106.7372978</v>
      </c>
      <c r="T541" s="139">
        <f>($O541*(1-(Assumptions!$C$25+0.06*(1-$J541))-Assumptions!$C$27)-Assumptions!$C$28)-MAX(0,($O541*(1-(Assumptions!$C$25+0.06*(1-$J541))-Assumptions!$C$27)-Assumptions!$C$28)*Assumptions!$C$31)+Assumptions!$C$28-Assumptions!$C$29-$O541*Assumptions!$C$30</f>
        <v>113.9508411</v>
      </c>
      <c r="U541" s="139">
        <f>($P541*(1-(Assumptions!$C$25+0.06*(1-$K541))-Assumptions!$C$27)-Assumptions!$C$28)-MAX(0,($P541*(1-(Assumptions!$C$25+0.06*(1-$K541))-Assumptions!$C$27)-Assumptions!$C$28)*Assumptions!$C$31)+Assumptions!$C$28-Assumptions!$C$29-$P541*Assumptions!$C$30</f>
        <v>45.74582774</v>
      </c>
      <c r="V541" s="143">
        <f>(($Q541/(1+$D541)^1+$R541/(1+$D541)^2+$S541/(1+$D541)^3+$T541/(1+$D541)^4+$U541/(1+$D541)^5+$U541*(1+$E541)/($D541-$E541)/(1+$D541)^5)-Assumptions!$C$37)/Assumptions!$C$40/Assumptions!$C$38</f>
        <v>-0.2902281437</v>
      </c>
    </row>
    <row r="542" ht="12.0" customHeight="1">
      <c r="B542" s="139">
        <v>490.0</v>
      </c>
      <c r="C542" s="140">
        <f t="shared" si="6"/>
        <v>0.02961744943</v>
      </c>
      <c r="D542" s="141">
        <f t="shared" si="7"/>
        <v>0.08816864567</v>
      </c>
      <c r="E542" s="141">
        <f t="shared" si="8"/>
        <v>0.02125047011</v>
      </c>
      <c r="F542" s="140">
        <f t="shared" si="9"/>
        <v>0.04398265429</v>
      </c>
      <c r="G542" s="141">
        <f t="shared" si="10"/>
        <v>0.03889768384</v>
      </c>
      <c r="H542" s="142">
        <f t="shared" si="11"/>
        <v>0</v>
      </c>
      <c r="I542" s="142">
        <f t="shared" si="12"/>
        <v>0</v>
      </c>
      <c r="J542" s="142">
        <f t="shared" si="13"/>
        <v>1</v>
      </c>
      <c r="K542" s="142">
        <f t="shared" si="14"/>
        <v>1</v>
      </c>
      <c r="L542" s="139">
        <f>Assumptions!$C$6*Assumptions!$C$7*(1+$G542-0.05*(1-1))^1+Assumptions!$C$6*Assumptions!$C$8*(1+Assumptions!$C$11)^1+Assumptions!$C$16*1+Assumptions!$C$6*Assumptions!$C$9*(1+Assumptions!$C$12)^1</f>
        <v>739.5609604</v>
      </c>
      <c r="M542" s="139">
        <f>Assumptions!$C$6*Assumptions!$C$7*(1+$G542-0.05*(1-$H542))^2+Assumptions!$C$6*Assumptions!$C$8*(1+Assumptions!$C$11)^2+Assumptions!$C$16*$H542+Assumptions!$C$6*Assumptions!$C$9*(1+Assumptions!$C$12)^2</f>
        <v>665.6327706</v>
      </c>
      <c r="N542" s="139">
        <f>Assumptions!$C$6*Assumptions!$C$7*(1+$G542-0.05*(1-$I542))^3+Assumptions!$C$6*Assumptions!$C$8*(1+Assumptions!$C$11)^3+Assumptions!$C$16*$I542+Assumptions!$C$6*Assumptions!$C$9*(1+Assumptions!$C$12)^3</f>
        <v>668.7075571</v>
      </c>
      <c r="O542" s="139">
        <f>Assumptions!$C$6*Assumptions!$C$7*(1+$G542-0.05*(1-$J542))^4+Assumptions!$C$6*Assumptions!$C$8*(1+Assumptions!$C$11)^4+Assumptions!$C$16*$J542+Assumptions!$C$6*Assumptions!$C$9*(1+Assumptions!$C$12)^4</f>
        <v>802.1661278</v>
      </c>
      <c r="P542" s="139">
        <f>Assumptions!$C$6*Assumptions!$C$7*(1+$G542-0.05*(1-$K542))^5+Assumptions!$C$6*Assumptions!$C$8*(1+Assumptions!$C$11)^5+Assumptions!$C$16*$K542+Assumptions!$C$6*Assumptions!$C$9*(1+Assumptions!$C$12)^5</f>
        <v>824.4193752</v>
      </c>
      <c r="Q542" s="139">
        <f>($L542*(1-(Assumptions!$C$25+0.06*(1-1))-Assumptions!$C$27)-Assumptions!$C$28)-MAX(0,($L542*(1-(Assumptions!$C$25+0.06*(1-1))-Assumptions!$C$27)-Assumptions!$C$28)*Assumptions!$C$31)+Assumptions!$C$28-Assumptions!$C$29-$L542*Assumptions!$C$30</f>
        <v>91.50560648</v>
      </c>
      <c r="R542" s="139">
        <f>($M542*(1-(Assumptions!$C$25+0.06*(1-$H542))-Assumptions!$C$27)-Assumptions!$C$28)-MAX(0,($M542*(1-(Assumptions!$C$25+0.06*(1-$H542))-Assumptions!$C$27)-Assumptions!$C$28)*Assumptions!$C$31)+Assumptions!$C$28-Assumptions!$C$29-$M542*Assumptions!$C$30</f>
        <v>33.09553723</v>
      </c>
      <c r="S542" s="139">
        <f>($N542*(1-(Assumptions!$C$25+0.06*(1-$I542))-Assumptions!$C$27)-Assumptions!$C$28)-MAX(0,($N542*(1-(Assumptions!$C$25+0.06*(1-$I542))-Assumptions!$C$27)-Assumptions!$C$28)*Assumptions!$C$31)+Assumptions!$C$28-Assumptions!$C$29-$N542*Assumptions!$C$30</f>
        <v>33.80273813</v>
      </c>
      <c r="T542" s="139">
        <f>($O542*(1-(Assumptions!$C$25+0.06*(1-$J542))-Assumptions!$C$27)-Assumptions!$C$28)-MAX(0,($O542*(1-(Assumptions!$C$25+0.06*(1-$J542))-Assumptions!$C$27)-Assumptions!$C$28)*Assumptions!$C$31)+Assumptions!$C$28-Assumptions!$C$29-$O542*Assumptions!$C$30</f>
        <v>104.9657175</v>
      </c>
      <c r="U542" s="139">
        <f>($P542*(1-(Assumptions!$C$25+0.06*(1-$K542))-Assumptions!$C$27)-Assumptions!$C$28)-MAX(0,($P542*(1-(Assumptions!$C$25+0.06*(1-$K542))-Assumptions!$C$27)-Assumptions!$C$28)*Assumptions!$C$31)+Assumptions!$C$28-Assumptions!$C$29-$P542*Assumptions!$C$30</f>
        <v>109.7501657</v>
      </c>
      <c r="V542" s="143">
        <f>(($Q542/(1+$D542)^1+$R542/(1+$D542)^2+$S542/(1+$D542)^3+$T542/(1+$D542)^4+$U542/(1+$D542)^5+$U542*(1+$E542)/($D542-$E542)/(1+$D542)^5)-Assumptions!$C$37)/Assumptions!$C$40/Assumptions!$C$38</f>
        <v>5.393647398</v>
      </c>
    </row>
    <row r="543" ht="12.0" customHeight="1">
      <c r="B543" s="139">
        <v>491.0</v>
      </c>
      <c r="C543" s="140">
        <f t="shared" si="6"/>
        <v>0.5384222878</v>
      </c>
      <c r="D543" s="141">
        <f t="shared" si="7"/>
        <v>0.09890822892</v>
      </c>
      <c r="E543" s="141">
        <f t="shared" si="8"/>
        <v>0.01273005991</v>
      </c>
      <c r="F543" s="140">
        <f t="shared" si="9"/>
        <v>0.3855600917</v>
      </c>
      <c r="G543" s="141">
        <f t="shared" si="10"/>
        <v>0.05634403472</v>
      </c>
      <c r="H543" s="142">
        <f t="shared" si="11"/>
        <v>1</v>
      </c>
      <c r="I543" s="142">
        <f t="shared" si="12"/>
        <v>1</v>
      </c>
      <c r="J543" s="142">
        <f t="shared" si="13"/>
        <v>0</v>
      </c>
      <c r="K543" s="142">
        <f t="shared" si="14"/>
        <v>0</v>
      </c>
      <c r="L543" s="139">
        <f>Assumptions!$C$6*Assumptions!$C$7*(1+$G543-0.05*(1-1))^1+Assumptions!$C$6*Assumptions!$C$8*(1+Assumptions!$C$11)^1+Assumptions!$C$16*1+Assumptions!$C$6*Assumptions!$C$9*(1+Assumptions!$C$12)^1</f>
        <v>745.4334021</v>
      </c>
      <c r="M543" s="139">
        <f>Assumptions!$C$6*Assumptions!$C$7*(1+$G543-0.05*(1-$H543))^2+Assumptions!$C$6*Assumptions!$C$8*(1+Assumptions!$C$11)^2+Assumptions!$C$16*$H543+Assumptions!$C$6*Assumptions!$C$9*(1+Assumptions!$C$12)^2</f>
        <v>772.0647514</v>
      </c>
      <c r="N543" s="139">
        <f>Assumptions!$C$6*Assumptions!$C$7*(1+$G543-0.05*(1-$I543))^3+Assumptions!$C$6*Assumptions!$C$8*(1+Assumptions!$C$11)^3+Assumptions!$C$16*$I543+Assumptions!$C$6*Assumptions!$C$9*(1+Assumptions!$C$12)^3</f>
        <v>799.9568438</v>
      </c>
      <c r="O543" s="139">
        <f>Assumptions!$C$6*Assumptions!$C$7*(1+$G543-0.05*(1-$J543))^4+Assumptions!$C$6*Assumptions!$C$8*(1+Assumptions!$C$11)^4+Assumptions!$C$16*$J543+Assumptions!$C$6*Assumptions!$C$9*(1+Assumptions!$C$12)^4</f>
        <v>695.2817956</v>
      </c>
      <c r="P543" s="139">
        <f>Assumptions!$C$6*Assumptions!$C$7*(1+$G543-0.05*(1-$K543))^5+Assumptions!$C$6*Assumptions!$C$8*(1+Assumptions!$C$11)^5+Assumptions!$C$16*$K543+Assumptions!$C$6*Assumptions!$C$9*(1+Assumptions!$C$12)^5</f>
        <v>704.473075</v>
      </c>
      <c r="Q543" s="139">
        <f>($L543*(1-(Assumptions!$C$25+0.06*(1-1))-Assumptions!$C$27)-Assumptions!$C$28)-MAX(0,($L543*(1-(Assumptions!$C$25+0.06*(1-1))-Assumptions!$C$27)-Assumptions!$C$28)*Assumptions!$C$31)+Assumptions!$C$28-Assumptions!$C$29-$L543*Assumptions!$C$30</f>
        <v>92.76818145</v>
      </c>
      <c r="R543" s="139">
        <f>($M543*(1-(Assumptions!$C$25+0.06*(1-$H543))-Assumptions!$C$27)-Assumptions!$C$28)-MAX(0,($M543*(1-(Assumptions!$C$25+0.06*(1-$H543))-Assumptions!$C$27)-Assumptions!$C$28)*Assumptions!$C$31)+Assumptions!$C$28-Assumptions!$C$29-$M543*Assumptions!$C$30</f>
        <v>98.49392156</v>
      </c>
      <c r="S543" s="139">
        <f>($N543*(1-(Assumptions!$C$25+0.06*(1-$I543))-Assumptions!$C$27)-Assumptions!$C$28)-MAX(0,($N543*(1-(Assumptions!$C$25+0.06*(1-$I543))-Assumptions!$C$27)-Assumptions!$C$28)*Assumptions!$C$31)+Assumptions!$C$28-Assumptions!$C$29-$N543*Assumptions!$C$30</f>
        <v>104.4907214</v>
      </c>
      <c r="T543" s="139">
        <f>($O543*(1-(Assumptions!$C$25+0.06*(1-$J543))-Assumptions!$C$27)-Assumptions!$C$28)-MAX(0,($O543*(1-(Assumptions!$C$25+0.06*(1-$J543))-Assumptions!$C$27)-Assumptions!$C$28)*Assumptions!$C$31)+Assumptions!$C$28-Assumptions!$C$29-$O543*Assumptions!$C$30</f>
        <v>39.91481299</v>
      </c>
      <c r="U543" s="139">
        <f>($P543*(1-(Assumptions!$C$25+0.06*(1-$K543))-Assumptions!$C$27)-Assumptions!$C$28)-MAX(0,($P543*(1-(Assumptions!$C$25+0.06*(1-$K543))-Assumptions!$C$27)-Assumptions!$C$28)*Assumptions!$C$31)+Assumptions!$C$28-Assumptions!$C$29-$P543*Assumptions!$C$30</f>
        <v>42.02880725</v>
      </c>
      <c r="V543" s="143">
        <f>(($Q543/(1+$D543)^1+$R543/(1+$D543)^2+$S543/(1+$D543)^3+$T543/(1+$D543)^4+$U543/(1+$D543)^5+$U543*(1+$E543)/($D543-$E543)/(1+$D543)^5)-Assumptions!$C$37)/Assumptions!$C$40/Assumptions!$C$38</f>
        <v>-0.6647425597</v>
      </c>
    </row>
    <row r="544" ht="12.0" customHeight="1">
      <c r="B544" s="139">
        <v>492.0</v>
      </c>
      <c r="C544" s="140">
        <f t="shared" si="6"/>
        <v>0.07481325572</v>
      </c>
      <c r="D544" s="141">
        <f t="shared" si="7"/>
        <v>0.09003603948</v>
      </c>
      <c r="E544" s="141">
        <f t="shared" si="8"/>
        <v>0.01782213588</v>
      </c>
      <c r="F544" s="140">
        <f t="shared" si="9"/>
        <v>0.9136366103</v>
      </c>
      <c r="G544" s="141">
        <f t="shared" si="10"/>
        <v>0.07753187659</v>
      </c>
      <c r="H544" s="142">
        <f t="shared" si="11"/>
        <v>1</v>
      </c>
      <c r="I544" s="142">
        <f t="shared" si="12"/>
        <v>0</v>
      </c>
      <c r="J544" s="142">
        <f t="shared" si="13"/>
        <v>0</v>
      </c>
      <c r="K544" s="142">
        <f t="shared" si="14"/>
        <v>1</v>
      </c>
      <c r="L544" s="139">
        <f>Assumptions!$C$6*Assumptions!$C$7*(1+$G544-0.05*(1-1))^1+Assumptions!$C$6*Assumptions!$C$8*(1+Assumptions!$C$11)^1+Assumptions!$C$16*1+Assumptions!$C$6*Assumptions!$C$9*(1+Assumptions!$C$12)^1</f>
        <v>752.5652297</v>
      </c>
      <c r="M544" s="139">
        <f>Assumptions!$C$6*Assumptions!$C$7*(1+$G544-0.05*(1-$H544))^2+Assumptions!$C$6*Assumptions!$C$8*(1+Assumptions!$C$11)^2+Assumptions!$C$16*$H544+Assumptions!$C$6*Assumptions!$C$9*(1+Assumptions!$C$12)^2</f>
        <v>787.2831865</v>
      </c>
      <c r="N544" s="139">
        <f>Assumptions!$C$6*Assumptions!$C$7*(1+$G544-0.05*(1-$I544))^3+Assumptions!$C$6*Assumptions!$C$8*(1+Assumptions!$C$11)^3+Assumptions!$C$16*$I544+Assumptions!$C$6*Assumptions!$C$9*(1+Assumptions!$C$12)^3</f>
        <v>708.3688134</v>
      </c>
      <c r="O544" s="139">
        <f>Assumptions!$C$6*Assumptions!$C$7*(1+$G544-0.05*(1-$J544))^4+Assumptions!$C$6*Assumptions!$C$8*(1+Assumptions!$C$11)^4+Assumptions!$C$16*$J544+Assumptions!$C$6*Assumptions!$C$9*(1+Assumptions!$C$12)^4</f>
        <v>725.2866363</v>
      </c>
      <c r="P544" s="139">
        <f>Assumptions!$C$6*Assumptions!$C$7*(1+$G544-0.05*(1-$K544))^5+Assumptions!$C$6*Assumptions!$C$8*(1+Assumptions!$C$11)^5+Assumptions!$C$16*$K544+Assumptions!$C$6*Assumptions!$C$9*(1+Assumptions!$C$12)^5</f>
        <v>906.0100638</v>
      </c>
      <c r="Q544" s="139">
        <f>($L544*(1-(Assumptions!$C$25+0.06*(1-1))-Assumptions!$C$27)-Assumptions!$C$28)-MAX(0,($L544*(1-(Assumptions!$C$25+0.06*(1-1))-Assumptions!$C$27)-Assumptions!$C$28)*Assumptions!$C$31)+Assumptions!$C$28-Assumptions!$C$29-$L544*Assumptions!$C$30</f>
        <v>94.30152438</v>
      </c>
      <c r="R544" s="139">
        <f>($M544*(1-(Assumptions!$C$25+0.06*(1-$H544))-Assumptions!$C$27)-Assumptions!$C$28)-MAX(0,($M544*(1-(Assumptions!$C$25+0.06*(1-$H544))-Assumptions!$C$27)-Assumptions!$C$28)*Assumptions!$C$31)+Assumptions!$C$28-Assumptions!$C$29-$M544*Assumptions!$C$30</f>
        <v>101.7658851</v>
      </c>
      <c r="S544" s="139">
        <f>($N544*(1-(Assumptions!$C$25+0.06*(1-$I544))-Assumptions!$C$27)-Assumptions!$C$28)-MAX(0,($N544*(1-(Assumptions!$C$25+0.06*(1-$I544))-Assumptions!$C$27)-Assumptions!$C$28)*Assumptions!$C$31)+Assumptions!$C$28-Assumptions!$C$29-$N544*Assumptions!$C$30</f>
        <v>42.92482709</v>
      </c>
      <c r="T544" s="139">
        <f>($O544*(1-(Assumptions!$C$25+0.06*(1-$J544))-Assumptions!$C$27)-Assumptions!$C$28)-MAX(0,($O544*(1-(Assumptions!$C$25+0.06*(1-$J544))-Assumptions!$C$27)-Assumptions!$C$28)*Assumptions!$C$31)+Assumptions!$C$28-Assumptions!$C$29-$O544*Assumptions!$C$30</f>
        <v>46.81592635</v>
      </c>
      <c r="U544" s="139">
        <f>($P544*(1-(Assumptions!$C$25+0.06*(1-$K544))-Assumptions!$C$27)-Assumptions!$C$28)-MAX(0,($P544*(1-(Assumptions!$C$25+0.06*(1-$K544))-Assumptions!$C$27)-Assumptions!$C$28)*Assumptions!$C$31)+Assumptions!$C$28-Assumptions!$C$29-$P544*Assumptions!$C$30</f>
        <v>127.2921637</v>
      </c>
      <c r="V544" s="143">
        <f>(($Q544/(1+$D544)^1+$R544/(1+$D544)^2+$S544/(1+$D544)^3+$T544/(1+$D544)^4+$U544/(1+$D544)^5+$U544*(1+$E544)/($D544-$E544)/(1+$D544)^5)-Assumptions!$C$37)/Assumptions!$C$40/Assumptions!$C$38</f>
        <v>6.206865139</v>
      </c>
    </row>
    <row r="545" ht="12.0" customHeight="1">
      <c r="B545" s="139">
        <v>493.0</v>
      </c>
      <c r="C545" s="140">
        <f t="shared" si="6"/>
        <v>0.9724736102</v>
      </c>
      <c r="D545" s="141">
        <f t="shared" si="7"/>
        <v>0.1110703302</v>
      </c>
      <c r="E545" s="141">
        <f t="shared" si="8"/>
        <v>0.01890000776</v>
      </c>
      <c r="F545" s="140">
        <f t="shared" si="9"/>
        <v>0.1812938994</v>
      </c>
      <c r="G545" s="141">
        <f t="shared" si="10"/>
        <v>0.04806457912</v>
      </c>
      <c r="H545" s="142">
        <f t="shared" si="11"/>
        <v>1</v>
      </c>
      <c r="I545" s="142">
        <f t="shared" si="12"/>
        <v>1</v>
      </c>
      <c r="J545" s="142">
        <f t="shared" si="13"/>
        <v>0</v>
      </c>
      <c r="K545" s="142">
        <f t="shared" si="14"/>
        <v>1</v>
      </c>
      <c r="L545" s="139">
        <f>Assumptions!$C$6*Assumptions!$C$7*(1+$G545-0.05*(1-1))^1+Assumptions!$C$6*Assumptions!$C$8*(1+Assumptions!$C$11)^1+Assumptions!$C$16*1+Assumptions!$C$6*Assumptions!$C$9*(1+Assumptions!$C$12)^1</f>
        <v>742.6465373</v>
      </c>
      <c r="M545" s="139">
        <f>Assumptions!$C$6*Assumptions!$C$7*(1+$G545-0.05*(1-$H545))^2+Assumptions!$C$6*Assumptions!$C$8*(1+Assumptions!$C$11)^2+Assumptions!$C$16*$H545+Assumptions!$C$6*Assumptions!$C$9*(1+Assumptions!$C$12)^2</f>
        <v>766.2000493</v>
      </c>
      <c r="N545" s="139">
        <f>Assumptions!$C$6*Assumptions!$C$7*(1+$G545-0.05*(1-$I545))^3+Assumptions!$C$6*Assumptions!$C$8*(1+Assumptions!$C$11)^3+Assumptions!$C$16*$I545+Assumptions!$C$6*Assumptions!$C$9*(1+Assumptions!$C$12)^3</f>
        <v>790.7004987</v>
      </c>
      <c r="O545" s="139">
        <f>Assumptions!$C$6*Assumptions!$C$7*(1+$G545-0.05*(1-$J545))^4+Assumptions!$C$6*Assumptions!$C$8*(1+Assumptions!$C$11)^4+Assumptions!$C$16*$J545+Assumptions!$C$6*Assumptions!$C$9*(1+Assumptions!$C$12)^4</f>
        <v>684.0602652</v>
      </c>
      <c r="P545" s="139">
        <f>Assumptions!$C$6*Assumptions!$C$7*(1+$G545-0.05*(1-$K545))^5+Assumptions!$C$6*Assumptions!$C$8*(1+Assumptions!$C$11)^5+Assumptions!$C$16*$K545+Assumptions!$C$6*Assumptions!$C$9*(1+Assumptions!$C$12)^5</f>
        <v>842.7113901</v>
      </c>
      <c r="Q545" s="139">
        <f>($L545*(1-(Assumptions!$C$25+0.06*(1-1))-Assumptions!$C$27)-Assumptions!$C$28)-MAX(0,($L545*(1-(Assumptions!$C$25+0.06*(1-1))-Assumptions!$C$27)-Assumptions!$C$28)*Assumptions!$C$31)+Assumptions!$C$28-Assumptions!$C$29-$L545*Assumptions!$C$30</f>
        <v>92.16900553</v>
      </c>
      <c r="R545" s="139">
        <f>($M545*(1-(Assumptions!$C$25+0.06*(1-$H545))-Assumptions!$C$27)-Assumptions!$C$28)-MAX(0,($M545*(1-(Assumptions!$C$25+0.06*(1-$H545))-Assumptions!$C$27)-Assumptions!$C$28)*Assumptions!$C$31)+Assumptions!$C$28-Assumptions!$C$29-$M545*Assumptions!$C$30</f>
        <v>97.23301059</v>
      </c>
      <c r="S545" s="139">
        <f>($N545*(1-(Assumptions!$C$25+0.06*(1-$I545))-Assumptions!$C$27)-Assumptions!$C$28)-MAX(0,($N545*(1-(Assumptions!$C$25+0.06*(1-$I545))-Assumptions!$C$27)-Assumptions!$C$28)*Assumptions!$C$31)+Assumptions!$C$28-Assumptions!$C$29-$N545*Assumptions!$C$30</f>
        <v>102.5006072</v>
      </c>
      <c r="T545" s="139">
        <f>($O545*(1-(Assumptions!$C$25+0.06*(1-$J545))-Assumptions!$C$27)-Assumptions!$C$28)-MAX(0,($O545*(1-(Assumptions!$C$25+0.06*(1-$J545))-Assumptions!$C$27)-Assumptions!$C$28)*Assumptions!$C$31)+Assumptions!$C$28-Assumptions!$C$29-$O545*Assumptions!$C$30</f>
        <v>37.33386101</v>
      </c>
      <c r="U545" s="139">
        <f>($P545*(1-(Assumptions!$C$25+0.06*(1-$K545))-Assumptions!$C$27)-Assumptions!$C$28)-MAX(0,($P545*(1-(Assumptions!$C$25+0.06*(1-$K545))-Assumptions!$C$27)-Assumptions!$C$28)*Assumptions!$C$31)+Assumptions!$C$28-Assumptions!$C$29-$P545*Assumptions!$C$30</f>
        <v>113.6829489</v>
      </c>
      <c r="V545" s="143">
        <f>(($Q545/(1+$D545)^1+$R545/(1+$D545)^2+$S545/(1+$D545)^3+$T545/(1+$D545)^4+$U545/(1+$D545)^5+$U545*(1+$E545)/($D545-$E545)/(1+$D545)^5)-Assumptions!$C$37)/Assumptions!$C$40/Assumptions!$C$38</f>
        <v>2.954598562</v>
      </c>
    </row>
    <row r="546" ht="12.0" customHeight="1">
      <c r="B546" s="139">
        <v>494.0</v>
      </c>
      <c r="C546" s="140">
        <f t="shared" si="6"/>
        <v>0.8803842709</v>
      </c>
      <c r="D546" s="141">
        <f t="shared" si="7"/>
        <v>0.106808271</v>
      </c>
      <c r="E546" s="141">
        <f t="shared" si="8"/>
        <v>0.02650467775</v>
      </c>
      <c r="F546" s="140">
        <f t="shared" si="9"/>
        <v>0.1439599655</v>
      </c>
      <c r="G546" s="141">
        <f t="shared" si="10"/>
        <v>0.04609745129</v>
      </c>
      <c r="H546" s="142">
        <f t="shared" si="11"/>
        <v>1</v>
      </c>
      <c r="I546" s="142">
        <f t="shared" si="12"/>
        <v>1</v>
      </c>
      <c r="J546" s="142">
        <f t="shared" si="13"/>
        <v>0</v>
      </c>
      <c r="K546" s="142">
        <f t="shared" si="14"/>
        <v>0</v>
      </c>
      <c r="L546" s="139">
        <f>Assumptions!$C$6*Assumptions!$C$7*(1+$G546-0.05*(1-1))^1+Assumptions!$C$6*Assumptions!$C$8*(1+Assumptions!$C$11)^1+Assumptions!$C$16*1+Assumptions!$C$6*Assumptions!$C$9*(1+Assumptions!$C$12)^1</f>
        <v>741.9844021</v>
      </c>
      <c r="M546" s="139">
        <f>Assumptions!$C$6*Assumptions!$C$7*(1+$G546-0.05*(1-$H546))^2+Assumptions!$C$6*Assumptions!$C$8*(1+Assumptions!$C$11)^2+Assumptions!$C$16*$H546+Assumptions!$C$6*Assumptions!$C$9*(1+Assumptions!$C$12)^2</f>
        <v>764.8134308</v>
      </c>
      <c r="N546" s="139">
        <f>Assumptions!$C$6*Assumptions!$C$7*(1+$G546-0.05*(1-$I546))^3+Assumptions!$C$6*Assumptions!$C$8*(1+Assumptions!$C$11)^3+Assumptions!$C$16*$I546+Assumptions!$C$6*Assumptions!$C$9*(1+Assumptions!$C$12)^3</f>
        <v>788.5226452</v>
      </c>
      <c r="O546" s="139">
        <f>Assumptions!$C$6*Assumptions!$C$7*(1+$G546-0.05*(1-$J546))^4+Assumptions!$C$6*Assumptions!$C$8*(1+Assumptions!$C$11)^4+Assumptions!$C$16*$J546+Assumptions!$C$6*Assumptions!$C$9*(1+Assumptions!$C$12)^4</f>
        <v>681.4348473</v>
      </c>
      <c r="P546" s="139">
        <f>Assumptions!$C$6*Assumptions!$C$7*(1+$G546-0.05*(1-$K546))^5+Assumptions!$C$6*Assumptions!$C$8*(1+Assumptions!$C$11)^5+Assumptions!$C$16*$K546+Assumptions!$C$6*Assumptions!$C$9*(1+Assumptions!$C$12)^5</f>
        <v>687.1428064</v>
      </c>
      <c r="Q546" s="139">
        <f>($L546*(1-(Assumptions!$C$25+0.06*(1-1))-Assumptions!$C$27)-Assumptions!$C$28)-MAX(0,($L546*(1-(Assumptions!$C$25+0.06*(1-1))-Assumptions!$C$27)-Assumptions!$C$28)*Assumptions!$C$31)+Assumptions!$C$28-Assumptions!$C$29-$L546*Assumptions!$C$30</f>
        <v>92.02664645</v>
      </c>
      <c r="R546" s="139">
        <f>($M546*(1-(Assumptions!$C$25+0.06*(1-$H546))-Assumptions!$C$27)-Assumptions!$C$28)-MAX(0,($M546*(1-(Assumptions!$C$25+0.06*(1-$H546))-Assumptions!$C$27)-Assumptions!$C$28)*Assumptions!$C$31)+Assumptions!$C$28-Assumptions!$C$29-$M546*Assumptions!$C$30</f>
        <v>96.93488762</v>
      </c>
      <c r="S546" s="139">
        <f>($N546*(1-(Assumptions!$C$25+0.06*(1-$I546))-Assumptions!$C$27)-Assumptions!$C$28)-MAX(0,($N546*(1-(Assumptions!$C$25+0.06*(1-$I546))-Assumptions!$C$27)-Assumptions!$C$28)*Assumptions!$C$31)+Assumptions!$C$28-Assumptions!$C$29-$N546*Assumptions!$C$30</f>
        <v>102.0323687</v>
      </c>
      <c r="T546" s="139">
        <f>($O546*(1-(Assumptions!$C$25+0.06*(1-$J546))-Assumptions!$C$27)-Assumptions!$C$28)-MAX(0,($O546*(1-(Assumptions!$C$25+0.06*(1-$J546))-Assumptions!$C$27)-Assumptions!$C$28)*Assumptions!$C$31)+Assumptions!$C$28-Assumptions!$C$29-$O546*Assumptions!$C$30</f>
        <v>36.73001488</v>
      </c>
      <c r="U546" s="139">
        <f>($P546*(1-(Assumptions!$C$25+0.06*(1-$K546))-Assumptions!$C$27)-Assumptions!$C$28)-MAX(0,($P546*(1-(Assumptions!$C$25+0.06*(1-$K546))-Assumptions!$C$27)-Assumptions!$C$28)*Assumptions!$C$31)+Assumptions!$C$28-Assumptions!$C$29-$P546*Assumptions!$C$30</f>
        <v>38.04284547</v>
      </c>
      <c r="V546" s="143">
        <f>(($Q546/(1+$D546)^1+$R546/(1+$D546)^2+$S546/(1+$D546)^3+$T546/(1+$D546)^4+$U546/(1+$D546)^5+$U546*(1+$E546)/($D546-$E546)/(1+$D546)^5)-Assumptions!$C$37)/Assumptions!$C$40/Assumptions!$C$38</f>
        <v>-0.8897778541</v>
      </c>
    </row>
    <row r="547" ht="12.0" customHeight="1">
      <c r="B547" s="139">
        <v>495.0</v>
      </c>
      <c r="C547" s="140">
        <f t="shared" si="6"/>
        <v>0.1150834244</v>
      </c>
      <c r="D547" s="141">
        <f t="shared" si="7"/>
        <v>0.09124606123</v>
      </c>
      <c r="E547" s="141">
        <f t="shared" si="8"/>
        <v>0.02863564318</v>
      </c>
      <c r="F547" s="140">
        <f t="shared" si="9"/>
        <v>0.7599929133</v>
      </c>
      <c r="G547" s="141">
        <f t="shared" si="10"/>
        <v>0.06921508345</v>
      </c>
      <c r="H547" s="142">
        <f t="shared" si="11"/>
        <v>1</v>
      </c>
      <c r="I547" s="142">
        <f t="shared" si="12"/>
        <v>0</v>
      </c>
      <c r="J547" s="142">
        <f t="shared" si="13"/>
        <v>1</v>
      </c>
      <c r="K547" s="142">
        <f t="shared" si="14"/>
        <v>1</v>
      </c>
      <c r="L547" s="139">
        <f>Assumptions!$C$6*Assumptions!$C$7*(1+$G547-0.05*(1-1))^1+Assumptions!$C$6*Assumptions!$C$8*(1+Assumptions!$C$11)^1+Assumptions!$C$16*1+Assumptions!$C$6*Assumptions!$C$9*(1+Assumptions!$C$12)^1</f>
        <v>749.7657971</v>
      </c>
      <c r="M547" s="139">
        <f>Assumptions!$C$6*Assumptions!$C$7*(1+$G547-0.05*(1-$H547))^2+Assumptions!$C$6*Assumptions!$C$8*(1+Assumptions!$C$11)^2+Assumptions!$C$16*$H547+Assumptions!$C$6*Assumptions!$C$9*(1+Assumptions!$C$12)^2</f>
        <v>781.2735131</v>
      </c>
      <c r="N547" s="139">
        <f>Assumptions!$C$6*Assumptions!$C$7*(1+$G547-0.05*(1-$I547))^3+Assumptions!$C$6*Assumptions!$C$8*(1+Assumptions!$C$11)^3+Assumptions!$C$16*$I547+Assumptions!$C$6*Assumptions!$C$9*(1+Assumptions!$C$12)^3</f>
        <v>699.5732843</v>
      </c>
      <c r="O547" s="139">
        <f>Assumptions!$C$6*Assumptions!$C$7*(1+$G547-0.05*(1-$J547))^4+Assumptions!$C$6*Assumptions!$C$8*(1+Assumptions!$C$11)^4+Assumptions!$C$16*$J547+Assumptions!$C$6*Assumptions!$C$9*(1+Assumptions!$C$12)^4</f>
        <v>849.9792817</v>
      </c>
      <c r="P547" s="139">
        <f>Assumptions!$C$6*Assumptions!$C$7*(1+$G547-0.05*(1-$K547))^5+Assumptions!$C$6*Assumptions!$C$8*(1+Assumptions!$C$11)^5+Assumptions!$C$16*$K547+Assumptions!$C$6*Assumptions!$C$9*(1+Assumptions!$C$12)^5</f>
        <v>887.4296023</v>
      </c>
      <c r="Q547" s="139">
        <f>($L547*(1-(Assumptions!$C$25+0.06*(1-1))-Assumptions!$C$27)-Assumptions!$C$28)-MAX(0,($L547*(1-(Assumptions!$C$25+0.06*(1-1))-Assumptions!$C$27)-Assumptions!$C$28)*Assumptions!$C$31)+Assumptions!$C$28-Assumptions!$C$29-$L547*Assumptions!$C$30</f>
        <v>93.69964637</v>
      </c>
      <c r="R547" s="139">
        <f>($M547*(1-(Assumptions!$C$25+0.06*(1-$H547))-Assumptions!$C$27)-Assumptions!$C$28)-MAX(0,($M547*(1-(Assumptions!$C$25+0.06*(1-$H547))-Assumptions!$C$27)-Assumptions!$C$28)*Assumptions!$C$31)+Assumptions!$C$28-Assumptions!$C$29-$M547*Assumptions!$C$30</f>
        <v>100.4738053</v>
      </c>
      <c r="S547" s="139">
        <f>($N547*(1-(Assumptions!$C$25+0.06*(1-$I547))-Assumptions!$C$27)-Assumptions!$C$28)-MAX(0,($N547*(1-(Assumptions!$C$25+0.06*(1-$I547))-Assumptions!$C$27)-Assumptions!$C$28)*Assumptions!$C$31)+Assumptions!$C$28-Assumptions!$C$29-$N547*Assumptions!$C$30</f>
        <v>40.90185539</v>
      </c>
      <c r="T547" s="139">
        <f>($O547*(1-(Assumptions!$C$25+0.06*(1-$J547))-Assumptions!$C$27)-Assumptions!$C$28)-MAX(0,($O547*(1-(Assumptions!$C$25+0.06*(1-$J547))-Assumptions!$C$27)-Assumptions!$C$28)*Assumptions!$C$31)+Assumptions!$C$28-Assumptions!$C$29-$O547*Assumptions!$C$30</f>
        <v>115.2455456</v>
      </c>
      <c r="U547" s="139">
        <f>($P547*(1-(Assumptions!$C$25+0.06*(1-$K547))-Assumptions!$C$27)-Assumptions!$C$28)-MAX(0,($P547*(1-(Assumptions!$C$25+0.06*(1-$K547))-Assumptions!$C$27)-Assumptions!$C$28)*Assumptions!$C$31)+Assumptions!$C$28-Assumptions!$C$29-$P547*Assumptions!$C$30</f>
        <v>123.2973645</v>
      </c>
      <c r="V547" s="143">
        <f>(($Q547/(1+$D547)^1+$R547/(1+$D547)^2+$S547/(1+$D547)^3+$T547/(1+$D547)^4+$U547/(1+$D547)^5+$U547*(1+$E547)/($D547-$E547)/(1+$D547)^5)-Assumptions!$C$37)/Assumptions!$C$40/Assumptions!$C$38</f>
        <v>7.647966446</v>
      </c>
    </row>
    <row r="548" ht="12.0" customHeight="1">
      <c r="B548" s="139">
        <v>496.0</v>
      </c>
      <c r="C548" s="140">
        <f t="shared" si="6"/>
        <v>0.3699945851</v>
      </c>
      <c r="D548" s="141">
        <f t="shared" si="7"/>
        <v>0.09619947161</v>
      </c>
      <c r="E548" s="141">
        <f t="shared" si="8"/>
        <v>0.01159456085</v>
      </c>
      <c r="F548" s="140">
        <f t="shared" si="9"/>
        <v>0.4449112874</v>
      </c>
      <c r="G548" s="141">
        <f t="shared" si="10"/>
        <v>0.0582991222</v>
      </c>
      <c r="H548" s="142">
        <f t="shared" si="11"/>
        <v>1</v>
      </c>
      <c r="I548" s="142">
        <f t="shared" si="12"/>
        <v>1</v>
      </c>
      <c r="J548" s="142">
        <f t="shared" si="13"/>
        <v>1</v>
      </c>
      <c r="K548" s="142">
        <f t="shared" si="14"/>
        <v>1</v>
      </c>
      <c r="L548" s="139">
        <f>Assumptions!$C$6*Assumptions!$C$7*(1+$G548-0.05*(1-1))^1+Assumptions!$C$6*Assumptions!$C$8*(1+Assumptions!$C$11)^1+Assumptions!$C$16*1+Assumptions!$C$6*Assumptions!$C$9*(1+Assumptions!$C$12)^1</f>
        <v>746.0914845</v>
      </c>
      <c r="M548" s="139">
        <f>Assumptions!$C$6*Assumptions!$C$7*(1+$G548-0.05*(1-$H548))^2+Assumptions!$C$6*Assumptions!$C$8*(1+Assumptions!$C$11)^2+Assumptions!$C$16*$H548+Assumptions!$C$6*Assumptions!$C$9*(1+Assumptions!$C$12)^2</f>
        <v>773.456361</v>
      </c>
      <c r="N548" s="139">
        <f>Assumptions!$C$6*Assumptions!$C$7*(1+$G548-0.05*(1-$I548))^3+Assumptions!$C$6*Assumptions!$C$8*(1+Assumptions!$C$11)^3+Assumptions!$C$16*$I548+Assumptions!$C$6*Assumptions!$C$9*(1+Assumptions!$C$12)^3</f>
        <v>802.1639126</v>
      </c>
      <c r="O548" s="139">
        <f>Assumptions!$C$6*Assumptions!$C$7*(1+$G548-0.05*(1-$J548))^4+Assumptions!$C$6*Assumptions!$C$8*(1+Assumptions!$C$11)^4+Assumptions!$C$16*$J548+Assumptions!$C$6*Assumptions!$C$9*(1+Assumptions!$C$12)^4</f>
        <v>832.2873628</v>
      </c>
      <c r="P548" s="139">
        <f>Assumptions!$C$6*Assumptions!$C$7*(1+$G548-0.05*(1-$K548))^5+Assumptions!$C$6*Assumptions!$C$8*(1+Assumptions!$C$11)^5+Assumptions!$C$16*$K548+Assumptions!$C$6*Assumptions!$C$9*(1+Assumptions!$C$12)^5</f>
        <v>863.9041025</v>
      </c>
      <c r="Q548" s="139">
        <f>($L548*(1-(Assumptions!$C$25+0.06*(1-1))-Assumptions!$C$27)-Assumptions!$C$28)-MAX(0,($L548*(1-(Assumptions!$C$25+0.06*(1-1))-Assumptions!$C$27)-Assumptions!$C$28)*Assumptions!$C$31)+Assumptions!$C$28-Assumptions!$C$29-$L548*Assumptions!$C$30</f>
        <v>92.90966917</v>
      </c>
      <c r="R548" s="139">
        <f>($M548*(1-(Assumptions!$C$25+0.06*(1-$H548))-Assumptions!$C$27)-Assumptions!$C$28)-MAX(0,($M548*(1-(Assumptions!$C$25+0.06*(1-$H548))-Assumptions!$C$27)-Assumptions!$C$28)*Assumptions!$C$31)+Assumptions!$C$28-Assumptions!$C$29-$M548*Assumptions!$C$30</f>
        <v>98.79311761</v>
      </c>
      <c r="S548" s="139">
        <f>($N548*(1-(Assumptions!$C$25+0.06*(1-$I548))-Assumptions!$C$27)-Assumptions!$C$28)-MAX(0,($N548*(1-(Assumptions!$C$25+0.06*(1-$I548))-Assumptions!$C$27)-Assumptions!$C$28)*Assumptions!$C$31)+Assumptions!$C$28-Assumptions!$C$29-$N548*Assumptions!$C$30</f>
        <v>104.9652412</v>
      </c>
      <c r="T548" s="139">
        <f>($O548*(1-(Assumptions!$C$25+0.06*(1-$J548))-Assumptions!$C$27)-Assumptions!$C$28)-MAX(0,($O548*(1-(Assumptions!$C$25+0.06*(1-$J548))-Assumptions!$C$27)-Assumptions!$C$28)*Assumptions!$C$31)+Assumptions!$C$28-Assumptions!$C$29-$O548*Assumptions!$C$30</f>
        <v>111.441783</v>
      </c>
      <c r="U548" s="139">
        <f>($P548*(1-(Assumptions!$C$25+0.06*(1-$K548))-Assumptions!$C$27)-Assumptions!$C$28)-MAX(0,($P548*(1-(Assumptions!$C$25+0.06*(1-$K548))-Assumptions!$C$27)-Assumptions!$C$28)*Assumptions!$C$31)+Assumptions!$C$28-Assumptions!$C$29-$P548*Assumptions!$C$30</f>
        <v>118.239382</v>
      </c>
      <c r="V548" s="143">
        <f>(($Q548/(1+$D548)^1+$R548/(1+$D548)^2+$S548/(1+$D548)^3+$T548/(1+$D548)^4+$U548/(1+$D548)^5+$U548*(1+$E548)/($D548-$E548)/(1+$D548)^5)-Assumptions!$C$37)/Assumptions!$C$40/Assumptions!$C$38</f>
        <v>4.682247795</v>
      </c>
    </row>
    <row r="549" ht="12.0" customHeight="1">
      <c r="B549" s="139">
        <v>497.0</v>
      </c>
      <c r="C549" s="140">
        <f t="shared" si="6"/>
        <v>0.3497637267</v>
      </c>
      <c r="D549" s="141">
        <f t="shared" si="7"/>
        <v>0.09588898082</v>
      </c>
      <c r="E549" s="141">
        <f t="shared" si="8"/>
        <v>0.01533516927</v>
      </c>
      <c r="F549" s="140">
        <f t="shared" si="9"/>
        <v>0.7682064517</v>
      </c>
      <c r="G549" s="141">
        <f t="shared" si="10"/>
        <v>0.06957383083</v>
      </c>
      <c r="H549" s="142">
        <f t="shared" si="11"/>
        <v>0</v>
      </c>
      <c r="I549" s="142">
        <f t="shared" si="12"/>
        <v>0</v>
      </c>
      <c r="J549" s="142">
        <f t="shared" si="13"/>
        <v>0</v>
      </c>
      <c r="K549" s="142">
        <f t="shared" si="14"/>
        <v>1</v>
      </c>
      <c r="L549" s="139">
        <f>Assumptions!$C$6*Assumptions!$C$7*(1+$G549-0.05*(1-1))^1+Assumptions!$C$6*Assumptions!$C$8*(1+Assumptions!$C$11)^1+Assumptions!$C$16*1+Assumptions!$C$6*Assumptions!$C$9*(1+Assumptions!$C$12)^1</f>
        <v>749.8865515</v>
      </c>
      <c r="M549" s="139">
        <f>Assumptions!$C$6*Assumptions!$C$7*(1+$G549-0.05*(1-$H549))^2+Assumptions!$C$6*Assumptions!$C$8*(1+Assumptions!$C$11)^2+Assumptions!$C$16*$H549+Assumptions!$C$6*Assumptions!$C$9*(1+Assumptions!$C$12)^2</f>
        <v>686.3714261</v>
      </c>
      <c r="N549" s="139">
        <f>Assumptions!$C$6*Assumptions!$C$7*(1+$G549-0.05*(1-$I549))^3+Assumptions!$C$6*Assumptions!$C$8*(1+Assumptions!$C$11)^3+Assumptions!$C$16*$I549+Assumptions!$C$6*Assumptions!$C$9*(1+Assumptions!$C$12)^3</f>
        <v>699.9497355</v>
      </c>
      <c r="O549" s="139">
        <f>Assumptions!$C$6*Assumptions!$C$7*(1+$G549-0.05*(1-$J549))^4+Assumptions!$C$6*Assumptions!$C$8*(1+Assumptions!$C$11)^4+Assumptions!$C$16*$J549+Assumptions!$C$6*Assumptions!$C$9*(1+Assumptions!$C$12)^4</f>
        <v>713.7966922</v>
      </c>
      <c r="P549" s="139">
        <f>Assumptions!$C$6*Assumptions!$C$7*(1+$G549-0.05*(1-$K549))^5+Assumptions!$C$6*Assumptions!$C$8*(1+Assumptions!$C$11)^5+Assumptions!$C$16*$K549+Assumptions!$C$6*Assumptions!$C$9*(1+Assumptions!$C$12)^5</f>
        <v>888.219234</v>
      </c>
      <c r="Q549" s="139">
        <f>($L549*(1-(Assumptions!$C$25+0.06*(1-1))-Assumptions!$C$27)-Assumptions!$C$28)-MAX(0,($L549*(1-(Assumptions!$C$25+0.06*(1-1))-Assumptions!$C$27)-Assumptions!$C$28)*Assumptions!$C$31)+Assumptions!$C$28-Assumptions!$C$29-$L549*Assumptions!$C$30</f>
        <v>93.72560856</v>
      </c>
      <c r="R549" s="139">
        <f>($M549*(1-(Assumptions!$C$25+0.06*(1-$H549))-Assumptions!$C$27)-Assumptions!$C$28)-MAX(0,($M549*(1-(Assumptions!$C$25+0.06*(1-$H549))-Assumptions!$C$27)-Assumptions!$C$28)*Assumptions!$C$31)+Assumptions!$C$28-Assumptions!$C$29-$M549*Assumptions!$C$30</f>
        <v>37.865428</v>
      </c>
      <c r="S549" s="139">
        <f>($N549*(1-(Assumptions!$C$25+0.06*(1-$I549))-Assumptions!$C$27)-Assumptions!$C$28)-MAX(0,($N549*(1-(Assumptions!$C$25+0.06*(1-$I549))-Assumptions!$C$27)-Assumptions!$C$28)*Assumptions!$C$31)+Assumptions!$C$28-Assumptions!$C$29-$N549*Assumptions!$C$30</f>
        <v>40.98843915</v>
      </c>
      <c r="T549" s="139">
        <f>($O549*(1-(Assumptions!$C$25+0.06*(1-$J549))-Assumptions!$C$27)-Assumptions!$C$28)-MAX(0,($O549*(1-(Assumptions!$C$25+0.06*(1-$J549))-Assumptions!$C$27)-Assumptions!$C$28)*Assumptions!$C$31)+Assumptions!$C$28-Assumptions!$C$29-$O549*Assumptions!$C$30</f>
        <v>44.1732392</v>
      </c>
      <c r="U549" s="139">
        <f>($P549*(1-(Assumptions!$C$25+0.06*(1-$K549))-Assumptions!$C$27)-Assumptions!$C$28)-MAX(0,($P549*(1-(Assumptions!$C$25+0.06*(1-$K549))-Assumptions!$C$27)-Assumptions!$C$28)*Assumptions!$C$31)+Assumptions!$C$28-Assumptions!$C$29-$P549*Assumptions!$C$30</f>
        <v>123.4671353</v>
      </c>
      <c r="V549" s="143">
        <f>(($Q549/(1+$D549)^1+$R549/(1+$D549)^2+$S549/(1+$D549)^3+$T549/(1+$D549)^4+$U549/(1+$D549)^5+$U549*(1+$E549)/($D549-$E549)/(1+$D549)^5)-Assumptions!$C$37)/Assumptions!$C$40/Assumptions!$C$38</f>
        <v>4.290576615</v>
      </c>
    </row>
    <row r="550" ht="12.0" customHeight="1">
      <c r="B550" s="139">
        <v>498.0</v>
      </c>
      <c r="C550" s="140">
        <f t="shared" si="6"/>
        <v>0.7304782606</v>
      </c>
      <c r="D550" s="141">
        <f t="shared" si="7"/>
        <v>0.1027035901</v>
      </c>
      <c r="E550" s="141">
        <f t="shared" si="8"/>
        <v>0.02590325579</v>
      </c>
      <c r="F550" s="140">
        <f t="shared" si="9"/>
        <v>0.2468028122</v>
      </c>
      <c r="G550" s="141">
        <f t="shared" si="10"/>
        <v>0.05107712177</v>
      </c>
      <c r="H550" s="142">
        <f t="shared" si="11"/>
        <v>1</v>
      </c>
      <c r="I550" s="142">
        <f t="shared" si="12"/>
        <v>1</v>
      </c>
      <c r="J550" s="142">
        <f t="shared" si="13"/>
        <v>1</v>
      </c>
      <c r="K550" s="142">
        <f t="shared" si="14"/>
        <v>0</v>
      </c>
      <c r="L550" s="139">
        <f>Assumptions!$C$6*Assumptions!$C$7*(1+$G550-0.05*(1-1))^1+Assumptions!$C$6*Assumptions!$C$8*(1+Assumptions!$C$11)^1+Assumptions!$C$16*1+Assumptions!$C$6*Assumptions!$C$9*(1+Assumptions!$C$12)^1</f>
        <v>743.6605592</v>
      </c>
      <c r="M550" s="139">
        <f>Assumptions!$C$6*Assumptions!$C$7*(1+$G550-0.05*(1-$H550))^2+Assumptions!$C$6*Assumptions!$C$8*(1+Assumptions!$C$11)^2+Assumptions!$C$16*$H550+Assumptions!$C$6*Assumptions!$C$9*(1+Assumptions!$C$12)^2</f>
        <v>768.3286248</v>
      </c>
      <c r="N550" s="139">
        <f>Assumptions!$C$6*Assumptions!$C$7*(1+$G550-0.05*(1-$I550))^3+Assumptions!$C$6*Assumptions!$C$8*(1+Assumptions!$C$11)^3+Assumptions!$C$16*$I550+Assumptions!$C$6*Assumptions!$C$9*(1+Assumptions!$C$12)^3</f>
        <v>794.0516373</v>
      </c>
      <c r="O550" s="139">
        <f>Assumptions!$C$6*Assumptions!$C$7*(1+$G550-0.05*(1-$J550))^4+Assumptions!$C$6*Assumptions!$C$8*(1+Assumptions!$C$11)^4+Assumptions!$C$16*$J550+Assumptions!$C$6*Assumptions!$C$9*(1+Assumptions!$C$12)^4</f>
        <v>820.8793797</v>
      </c>
      <c r="P550" s="139">
        <f>Assumptions!$C$6*Assumptions!$C$7*(1+$G550-0.05*(1-$K550))^5+Assumptions!$C$6*Assumptions!$C$8*(1+Assumptions!$C$11)^5+Assumptions!$C$16*$K550+Assumptions!$C$6*Assumptions!$C$9*(1+Assumptions!$C$12)^5</f>
        <v>695.4764371</v>
      </c>
      <c r="Q550" s="139">
        <f>($L550*(1-(Assumptions!$C$25+0.06*(1-1))-Assumptions!$C$27)-Assumptions!$C$28)-MAX(0,($L550*(1-(Assumptions!$C$25+0.06*(1-1))-Assumptions!$C$27)-Assumptions!$C$28)*Assumptions!$C$31)+Assumptions!$C$28-Assumptions!$C$29-$L550*Assumptions!$C$30</f>
        <v>92.38702023</v>
      </c>
      <c r="R550" s="139">
        <f>($M550*(1-(Assumptions!$C$25+0.06*(1-$H550))-Assumptions!$C$27)-Assumptions!$C$28)-MAX(0,($M550*(1-(Assumptions!$C$25+0.06*(1-$H550))-Assumptions!$C$27)-Assumptions!$C$28)*Assumptions!$C$31)+Assumptions!$C$28-Assumptions!$C$29-$M550*Assumptions!$C$30</f>
        <v>97.69065433</v>
      </c>
      <c r="S550" s="139">
        <f>($N550*(1-(Assumptions!$C$25+0.06*(1-$I550))-Assumptions!$C$27)-Assumptions!$C$28)-MAX(0,($N550*(1-(Assumptions!$C$25+0.06*(1-$I550))-Assumptions!$C$27)-Assumptions!$C$28)*Assumptions!$C$31)+Assumptions!$C$28-Assumptions!$C$29-$N550*Assumptions!$C$30</f>
        <v>103.221102</v>
      </c>
      <c r="T550" s="139">
        <f>($O550*(1-(Assumptions!$C$25+0.06*(1-$J550))-Assumptions!$C$27)-Assumptions!$C$28)-MAX(0,($O550*(1-(Assumptions!$C$25+0.06*(1-$J550))-Assumptions!$C$27)-Assumptions!$C$28)*Assumptions!$C$31)+Assumptions!$C$28-Assumptions!$C$29-$O550*Assumptions!$C$30</f>
        <v>108.9890666</v>
      </c>
      <c r="U550" s="139">
        <f>($P550*(1-(Assumptions!$C$25+0.06*(1-$K550))-Assumptions!$C$27)-Assumptions!$C$28)-MAX(0,($P550*(1-(Assumptions!$C$25+0.06*(1-$K550))-Assumptions!$C$27)-Assumptions!$C$28)*Assumptions!$C$31)+Assumptions!$C$28-Assumptions!$C$29-$P550*Assumptions!$C$30</f>
        <v>39.95958053</v>
      </c>
      <c r="V550" s="143">
        <f>(($Q550/(1+$D550)^1+$R550/(1+$D550)^2+$S550/(1+$D550)^3+$T550/(1+$D550)^4+$U550/(1+$D550)^5+$U550*(1+$E550)/($D550-$E550)/(1+$D550)^5)-Assumptions!$C$37)/Assumptions!$C$40/Assumptions!$C$38</f>
        <v>-0.1949286627</v>
      </c>
    </row>
    <row r="551" ht="12.0" customHeight="1">
      <c r="B551" s="139">
        <v>499.0</v>
      </c>
      <c r="C551" s="140">
        <f t="shared" si="6"/>
        <v>0.9564227185</v>
      </c>
      <c r="D551" s="141">
        <f t="shared" si="7"/>
        <v>0.1100556239</v>
      </c>
      <c r="E551" s="141">
        <f t="shared" si="8"/>
        <v>0.02944528311</v>
      </c>
      <c r="F551" s="140">
        <f t="shared" si="9"/>
        <v>0.002488076484</v>
      </c>
      <c r="G551" s="141">
        <f t="shared" si="10"/>
        <v>0.03211625558</v>
      </c>
      <c r="H551" s="142">
        <f t="shared" si="11"/>
        <v>1</v>
      </c>
      <c r="I551" s="142">
        <f t="shared" si="12"/>
        <v>1</v>
      </c>
      <c r="J551" s="142">
        <f t="shared" si="13"/>
        <v>1</v>
      </c>
      <c r="K551" s="142">
        <f t="shared" si="14"/>
        <v>1</v>
      </c>
      <c r="L551" s="139">
        <f>Assumptions!$C$6*Assumptions!$C$7*(1+$G551-0.05*(1-1))^1+Assumptions!$C$6*Assumptions!$C$8*(1+Assumptions!$C$11)^1+Assumptions!$C$16*1+Assumptions!$C$6*Assumptions!$C$9*(1+Assumptions!$C$12)^1</f>
        <v>737.2783316</v>
      </c>
      <c r="M551" s="139">
        <f>Assumptions!$C$6*Assumptions!$C$7*(1+$G551-0.05*(1-$H551))^2+Assumptions!$C$6*Assumptions!$C$8*(1+Assumptions!$C$11)^2+Assumptions!$C$16*$H551+Assumptions!$C$6*Assumptions!$C$9*(1+Assumptions!$C$12)^2</f>
        <v>755.0332106</v>
      </c>
      <c r="N551" s="139">
        <f>Assumptions!$C$6*Assumptions!$C$7*(1+$G551-0.05*(1-$I551))^3+Assumptions!$C$6*Assumptions!$C$8*(1+Assumptions!$C$11)^3+Assumptions!$C$16*$I551+Assumptions!$C$6*Assumptions!$C$9*(1+Assumptions!$C$12)^3</f>
        <v>773.2783746</v>
      </c>
      <c r="O551" s="139">
        <f>Assumptions!$C$6*Assumptions!$C$7*(1+$G551-0.05*(1-$J551))^4+Assumptions!$C$6*Assumptions!$C$8*(1+Assumptions!$C$11)^4+Assumptions!$C$16*$J551+Assumptions!$C$6*Assumptions!$C$9*(1+Assumptions!$C$12)^4</f>
        <v>792.0279708</v>
      </c>
      <c r="P551" s="139">
        <f>Assumptions!$C$6*Assumptions!$C$7*(1+$G551-0.05*(1-$K551))^5+Assumptions!$C$6*Assumptions!$C$8*(1+Assumptions!$C$11)^5+Assumptions!$C$16*$K551+Assumptions!$C$6*Assumptions!$C$9*(1+Assumptions!$C$12)^5</f>
        <v>811.2965693</v>
      </c>
      <c r="Q551" s="139">
        <f>($L551*(1-(Assumptions!$C$25+0.06*(1-1))-Assumptions!$C$27)-Assumptions!$C$28)-MAX(0,($L551*(1-(Assumptions!$C$25+0.06*(1-1))-Assumptions!$C$27)-Assumptions!$C$28)*Assumptions!$C$31)+Assumptions!$C$28-Assumptions!$C$29-$L551*Assumptions!$C$30</f>
        <v>91.0148413</v>
      </c>
      <c r="R551" s="139">
        <f>($M551*(1-(Assumptions!$C$25+0.06*(1-$H551))-Assumptions!$C$27)-Assumptions!$C$28)-MAX(0,($M551*(1-(Assumptions!$C$25+0.06*(1-$H551))-Assumptions!$C$27)-Assumptions!$C$28)*Assumptions!$C$31)+Assumptions!$C$28-Assumptions!$C$29-$M551*Assumptions!$C$30</f>
        <v>94.83214029</v>
      </c>
      <c r="S551" s="139">
        <f>($N551*(1-(Assumptions!$C$25+0.06*(1-$I551))-Assumptions!$C$27)-Assumptions!$C$28)-MAX(0,($N551*(1-(Assumptions!$C$25+0.06*(1-$I551))-Assumptions!$C$27)-Assumptions!$C$28)*Assumptions!$C$31)+Assumptions!$C$28-Assumptions!$C$29-$N551*Assumptions!$C$30</f>
        <v>98.75485053</v>
      </c>
      <c r="T551" s="139">
        <f>($O551*(1-(Assumptions!$C$25+0.06*(1-$J551))-Assumptions!$C$27)-Assumptions!$C$28)-MAX(0,($O551*(1-(Assumptions!$C$25+0.06*(1-$J551))-Assumptions!$C$27)-Assumptions!$C$28)*Assumptions!$C$31)+Assumptions!$C$28-Assumptions!$C$29-$O551*Assumptions!$C$30</f>
        <v>102.7860137</v>
      </c>
      <c r="U551" s="139">
        <f>($P551*(1-(Assumptions!$C$25+0.06*(1-$K551))-Assumptions!$C$27)-Assumptions!$C$28)-MAX(0,($P551*(1-(Assumptions!$C$25+0.06*(1-$K551))-Assumptions!$C$27)-Assumptions!$C$28)*Assumptions!$C$31)+Assumptions!$C$28-Assumptions!$C$29-$P551*Assumptions!$C$30</f>
        <v>106.9287624</v>
      </c>
      <c r="V551" s="143">
        <f>(($Q551/(1+$D551)^1+$R551/(1+$D551)^2+$S551/(1+$D551)^3+$T551/(1+$D551)^4+$U551/(1+$D551)^5+$U551*(1+$E551)/($D551-$E551)/(1+$D551)^5)-Assumptions!$C$37)/Assumptions!$C$40/Assumptions!$C$38</f>
        <v>3.751900652</v>
      </c>
    </row>
    <row r="552" ht="12.0" customHeight="1">
      <c r="B552" s="139">
        <v>500.0</v>
      </c>
      <c r="C552" s="140">
        <f t="shared" si="6"/>
        <v>0.04488692389</v>
      </c>
      <c r="D552" s="141">
        <f t="shared" si="7"/>
        <v>0.08890085468</v>
      </c>
      <c r="E552" s="141">
        <f t="shared" si="8"/>
        <v>0.02382832091</v>
      </c>
      <c r="F552" s="140">
        <f t="shared" si="9"/>
        <v>0.9759274898</v>
      </c>
      <c r="G552" s="141">
        <f t="shared" si="10"/>
        <v>0.08341740793</v>
      </c>
      <c r="H552" s="142">
        <f t="shared" si="11"/>
        <v>1</v>
      </c>
      <c r="I552" s="142">
        <f t="shared" si="12"/>
        <v>1</v>
      </c>
      <c r="J552" s="142">
        <f t="shared" si="13"/>
        <v>1</v>
      </c>
      <c r="K552" s="142">
        <f t="shared" si="14"/>
        <v>1</v>
      </c>
      <c r="L552" s="139">
        <f>Assumptions!$C$6*Assumptions!$C$7*(1+$G552-0.05*(1-1))^1+Assumptions!$C$6*Assumptions!$C$8*(1+Assumptions!$C$11)^1+Assumptions!$C$16*1+Assumptions!$C$6*Assumptions!$C$9*(1+Assumptions!$C$12)^1</f>
        <v>754.5462995</v>
      </c>
      <c r="M552" s="139">
        <f>Assumptions!$C$6*Assumptions!$C$7*(1+$G552-0.05*(1-$H552))^2+Assumptions!$C$6*Assumptions!$C$8*(1+Assumptions!$C$11)^2+Assumptions!$C$16*$H552+Assumptions!$C$6*Assumptions!$C$9*(1+Assumptions!$C$12)^2</f>
        <v>791.564178</v>
      </c>
      <c r="N552" s="139">
        <f>Assumptions!$C$6*Assumptions!$C$7*(1+$G552-0.05*(1-$I552))^3+Assumptions!$C$6*Assumptions!$C$8*(1+Assumptions!$C$11)^3+Assumptions!$C$16*$I552+Assumptions!$C$6*Assumptions!$C$9*(1+Assumptions!$C$12)^3</f>
        <v>831.2516045</v>
      </c>
      <c r="O552" s="139">
        <f>Assumptions!$C$6*Assumptions!$C$7*(1+$G552-0.05*(1-$J552))^4+Assumptions!$C$6*Assumptions!$C$8*(1+Assumptions!$C$11)^4+Assumptions!$C$16*$J552+Assumptions!$C$6*Assumptions!$C$9*(1+Assumptions!$C$12)^4</f>
        <v>873.8228979</v>
      </c>
      <c r="P552" s="139">
        <f>Assumptions!$C$6*Assumptions!$C$7*(1+$G552-0.05*(1-$K552))^5+Assumptions!$C$6*Assumptions!$C$8*(1+Assumptions!$C$11)^5+Assumptions!$C$16*$K552+Assumptions!$C$6*Assumptions!$C$9*(1+Assumptions!$C$12)^5</f>
        <v>919.5100881</v>
      </c>
      <c r="Q552" s="139">
        <f>($L552*(1-(Assumptions!$C$25+0.06*(1-1))-Assumptions!$C$27)-Assumptions!$C$28)-MAX(0,($L552*(1-(Assumptions!$C$25+0.06*(1-1))-Assumptions!$C$27)-Assumptions!$C$28)*Assumptions!$C$31)+Assumptions!$C$28-Assumptions!$C$29-$L552*Assumptions!$C$30</f>
        <v>94.72745439</v>
      </c>
      <c r="R552" s="139">
        <f>($M552*(1-(Assumptions!$C$25+0.06*(1-$H552))-Assumptions!$C$27)-Assumptions!$C$28)-MAX(0,($M552*(1-(Assumptions!$C$25+0.06*(1-$H552))-Assumptions!$C$27)-Assumptions!$C$28)*Assumptions!$C$31)+Assumptions!$C$28-Assumptions!$C$29-$M552*Assumptions!$C$30</f>
        <v>102.6862983</v>
      </c>
      <c r="S552" s="139">
        <f>($N552*(1-(Assumptions!$C$25+0.06*(1-$I552))-Assumptions!$C$27)-Assumptions!$C$28)-MAX(0,($N552*(1-(Assumptions!$C$25+0.06*(1-$I552))-Assumptions!$C$27)-Assumptions!$C$28)*Assumptions!$C$31)+Assumptions!$C$28-Assumptions!$C$29-$N552*Assumptions!$C$30</f>
        <v>111.219095</v>
      </c>
      <c r="T552" s="139">
        <f>($O552*(1-(Assumptions!$C$25+0.06*(1-$J552))-Assumptions!$C$27)-Assumptions!$C$28)-MAX(0,($O552*(1-(Assumptions!$C$25+0.06*(1-$J552))-Assumptions!$C$27)-Assumptions!$C$28)*Assumptions!$C$31)+Assumptions!$C$28-Assumptions!$C$29-$O552*Assumptions!$C$30</f>
        <v>120.3719231</v>
      </c>
      <c r="U552" s="139">
        <f>($P552*(1-(Assumptions!$C$25+0.06*(1-$K552))-Assumptions!$C$27)-Assumptions!$C$28)-MAX(0,($P552*(1-(Assumptions!$C$25+0.06*(1-$K552))-Assumptions!$C$27)-Assumptions!$C$28)*Assumptions!$C$31)+Assumptions!$C$28-Assumptions!$C$29-$P552*Assumptions!$C$30</f>
        <v>130.1946689</v>
      </c>
      <c r="V552" s="143">
        <f>(($Q552/(1+$D552)^1+$R552/(1+$D552)^2+$S552/(1+$D552)^3+$T552/(1+$D552)^4+$U552/(1+$D552)^5+$U552*(1+$E552)/($D552-$E552)/(1+$D552)^5)-Assumptions!$C$37)/Assumptions!$C$40/Assumptions!$C$38</f>
        <v>8.403156103</v>
      </c>
    </row>
    <row r="553" ht="12.0" customHeight="1">
      <c r="B553" s="139">
        <v>501.0</v>
      </c>
      <c r="C553" s="140">
        <f t="shared" si="6"/>
        <v>0.6105270103</v>
      </c>
      <c r="D553" s="141">
        <f t="shared" si="7"/>
        <v>0.1002184457</v>
      </c>
      <c r="E553" s="141">
        <f t="shared" si="8"/>
        <v>0.01895046327</v>
      </c>
      <c r="F553" s="140">
        <f t="shared" si="9"/>
        <v>0.1333908437</v>
      </c>
      <c r="G553" s="141">
        <f t="shared" si="10"/>
        <v>0.04549527407</v>
      </c>
      <c r="H553" s="142">
        <f t="shared" si="11"/>
        <v>1</v>
      </c>
      <c r="I553" s="142">
        <f t="shared" si="12"/>
        <v>1</v>
      </c>
      <c r="J553" s="142">
        <f t="shared" si="13"/>
        <v>1</v>
      </c>
      <c r="K553" s="142">
        <f t="shared" si="14"/>
        <v>0</v>
      </c>
      <c r="L553" s="139">
        <f>Assumptions!$C$6*Assumptions!$C$7*(1+$G553-0.05*(1-1))^1+Assumptions!$C$6*Assumptions!$C$8*(1+Assumptions!$C$11)^1+Assumptions!$C$16*1+Assumptions!$C$6*Assumptions!$C$9*(1+Assumptions!$C$12)^1</f>
        <v>741.7817093</v>
      </c>
      <c r="M553" s="139">
        <f>Assumptions!$C$6*Assumptions!$C$7*(1+$G553-0.05*(1-$H553))^2+Assumptions!$C$6*Assumptions!$C$8*(1+Assumptions!$C$11)^2+Assumptions!$C$16*$H553+Assumptions!$C$6*Assumptions!$C$9*(1+Assumptions!$C$12)^2</f>
        <v>764.3894799</v>
      </c>
      <c r="N553" s="139">
        <f>Assumptions!$C$6*Assumptions!$C$7*(1+$G553-0.05*(1-$I553))^3+Assumptions!$C$6*Assumptions!$C$8*(1+Assumptions!$C$11)^3+Assumptions!$C$16*$I553+Assumptions!$C$6*Assumptions!$C$9*(1+Assumptions!$C$12)^3</f>
        <v>787.8575958</v>
      </c>
      <c r="O553" s="139">
        <f>Assumptions!$C$6*Assumptions!$C$7*(1+$G553-0.05*(1-$J553))^4+Assumptions!$C$6*Assumptions!$C$8*(1+Assumptions!$C$11)^4+Assumptions!$C$16*$J553+Assumptions!$C$6*Assumptions!$C$9*(1+Assumptions!$C$12)^4</f>
        <v>812.2218345</v>
      </c>
      <c r="P553" s="139">
        <f>Assumptions!$C$6*Assumptions!$C$7*(1+$G553-0.05*(1-$K553))^5+Assumptions!$C$6*Assumptions!$C$8*(1+Assumptions!$C$11)^5+Assumptions!$C$16*$K553+Assumptions!$C$6*Assumptions!$C$9*(1+Assumptions!$C$12)^5</f>
        <v>686.1462758</v>
      </c>
      <c r="Q553" s="139">
        <f>($L553*(1-(Assumptions!$C$25+0.06*(1-1))-Assumptions!$C$27)-Assumptions!$C$28)-MAX(0,($L553*(1-(Assumptions!$C$25+0.06*(1-1))-Assumptions!$C$27)-Assumptions!$C$28)*Assumptions!$C$31)+Assumptions!$C$28-Assumptions!$C$29-$L553*Assumptions!$C$30</f>
        <v>91.98306749</v>
      </c>
      <c r="R553" s="139">
        <f>($M553*(1-(Assumptions!$C$25+0.06*(1-$H553))-Assumptions!$C$27)-Assumptions!$C$28)-MAX(0,($M553*(1-(Assumptions!$C$25+0.06*(1-$H553))-Assumptions!$C$27)-Assumptions!$C$28)*Assumptions!$C$31)+Assumptions!$C$28-Assumptions!$C$29-$M553*Assumptions!$C$30</f>
        <v>96.84373818</v>
      </c>
      <c r="S553" s="139">
        <f>($N553*(1-(Assumptions!$C$25+0.06*(1-$I553))-Assumptions!$C$27)-Assumptions!$C$28)-MAX(0,($N553*(1-(Assumptions!$C$25+0.06*(1-$I553))-Assumptions!$C$27)-Assumptions!$C$28)*Assumptions!$C$31)+Assumptions!$C$28-Assumptions!$C$29-$N553*Assumptions!$C$30</f>
        <v>101.8893831</v>
      </c>
      <c r="T553" s="139">
        <f>($O553*(1-(Assumptions!$C$25+0.06*(1-$J553))-Assumptions!$C$27)-Assumptions!$C$28)-MAX(0,($O553*(1-(Assumptions!$C$25+0.06*(1-$J553))-Assumptions!$C$27)-Assumptions!$C$28)*Assumptions!$C$31)+Assumptions!$C$28-Assumptions!$C$29-$O553*Assumptions!$C$30</f>
        <v>107.1276944</v>
      </c>
      <c r="U553" s="139">
        <f>($P553*(1-(Assumptions!$C$25+0.06*(1-$K553))-Assumptions!$C$27)-Assumptions!$C$28)-MAX(0,($P553*(1-(Assumptions!$C$25+0.06*(1-$K553))-Assumptions!$C$27)-Assumptions!$C$28)*Assumptions!$C$31)+Assumptions!$C$28-Assumptions!$C$29-$P553*Assumptions!$C$30</f>
        <v>37.81364342</v>
      </c>
      <c r="V553" s="143">
        <f>(($Q553/(1+$D553)^1+$R553/(1+$D553)^2+$S553/(1+$D553)^3+$T553/(1+$D553)^4+$U553/(1+$D553)^5+$U553*(1+$E553)/($D553-$E553)/(1+$D553)^5)-Assumptions!$C$37)/Assumptions!$C$40/Assumptions!$C$38</f>
        <v>-0.4754438794</v>
      </c>
    </row>
    <row r="554" ht="12.0" customHeight="1">
      <c r="B554" s="139">
        <v>502.0</v>
      </c>
      <c r="C554" s="140">
        <f t="shared" si="6"/>
        <v>0.4718965046</v>
      </c>
      <c r="D554" s="141">
        <f t="shared" si="7"/>
        <v>0.09778761896</v>
      </c>
      <c r="E554" s="141">
        <f t="shared" si="8"/>
        <v>0.02105047006</v>
      </c>
      <c r="F554" s="140">
        <f t="shared" si="9"/>
        <v>0.1642596037</v>
      </c>
      <c r="G554" s="141">
        <f t="shared" si="10"/>
        <v>0.04719497853</v>
      </c>
      <c r="H554" s="142">
        <f t="shared" si="11"/>
        <v>1</v>
      </c>
      <c r="I554" s="142">
        <f t="shared" si="12"/>
        <v>1</v>
      </c>
      <c r="J554" s="142">
        <f t="shared" si="13"/>
        <v>1</v>
      </c>
      <c r="K554" s="142">
        <f t="shared" si="14"/>
        <v>1</v>
      </c>
      <c r="L554" s="139">
        <f>Assumptions!$C$6*Assumptions!$C$7*(1+$G554-0.05*(1-1))^1+Assumptions!$C$6*Assumptions!$C$8*(1+Assumptions!$C$11)^1+Assumptions!$C$16*1+Assumptions!$C$6*Assumptions!$C$9*(1+Assumptions!$C$12)^1</f>
        <v>742.3538298</v>
      </c>
      <c r="M554" s="139">
        <f>Assumptions!$C$6*Assumptions!$C$7*(1+$G554-0.05*(1-$H554))^2+Assumptions!$C$6*Assumptions!$C$8*(1+Assumptions!$C$11)^2+Assumptions!$C$16*$H554+Assumptions!$C$6*Assumptions!$C$9*(1+Assumptions!$C$12)^2</f>
        <v>765.5867509</v>
      </c>
      <c r="N554" s="139">
        <f>Assumptions!$C$6*Assumptions!$C$7*(1+$G554-0.05*(1-$I554))^3+Assumptions!$C$6*Assumptions!$C$8*(1+Assumptions!$C$11)^3+Assumptions!$C$16*$I554+Assumptions!$C$6*Assumptions!$C$9*(1+Assumptions!$C$12)^3</f>
        <v>789.7367343</v>
      </c>
      <c r="O554" s="139">
        <f>Assumptions!$C$6*Assumptions!$C$7*(1+$G554-0.05*(1-$J554))^4+Assumptions!$C$6*Assumptions!$C$8*(1+Assumptions!$C$11)^4+Assumptions!$C$16*$J554+Assumptions!$C$6*Assumptions!$C$9*(1+Assumptions!$C$12)^4</f>
        <v>814.8434722</v>
      </c>
      <c r="P554" s="139">
        <f>Assumptions!$C$6*Assumptions!$C$7*(1+$G554-0.05*(1-$K554))^5+Assumptions!$C$6*Assumptions!$C$8*(1+Assumptions!$C$11)^5+Assumptions!$C$16*$K554+Assumptions!$C$6*Assumptions!$C$9*(1+Assumptions!$C$12)^5</f>
        <v>840.9484586</v>
      </c>
      <c r="Q554" s="139">
        <f>($L554*(1-(Assumptions!$C$25+0.06*(1-1))-Assumptions!$C$27)-Assumptions!$C$28)-MAX(0,($L554*(1-(Assumptions!$C$25+0.06*(1-1))-Assumptions!$C$27)-Assumptions!$C$28)*Assumptions!$C$31)+Assumptions!$C$28-Assumptions!$C$29-$L554*Assumptions!$C$30</f>
        <v>92.1060734</v>
      </c>
      <c r="R554" s="139">
        <f>($M554*(1-(Assumptions!$C$25+0.06*(1-$H554))-Assumptions!$C$27)-Assumptions!$C$28)-MAX(0,($M554*(1-(Assumptions!$C$25+0.06*(1-$H554))-Assumptions!$C$27)-Assumptions!$C$28)*Assumptions!$C$31)+Assumptions!$C$28-Assumptions!$C$29-$M554*Assumptions!$C$30</f>
        <v>97.10115145</v>
      </c>
      <c r="S554" s="139">
        <f>($N554*(1-(Assumptions!$C$25+0.06*(1-$I554))-Assumptions!$C$27)-Assumptions!$C$28)-MAX(0,($N554*(1-(Assumptions!$C$25+0.06*(1-$I554))-Assumptions!$C$27)-Assumptions!$C$28)*Assumptions!$C$31)+Assumptions!$C$28-Assumptions!$C$29-$N554*Assumptions!$C$30</f>
        <v>102.2933979</v>
      </c>
      <c r="T554" s="139">
        <f>($O554*(1-(Assumptions!$C$25+0.06*(1-$J554))-Assumptions!$C$27)-Assumptions!$C$28)-MAX(0,($O554*(1-(Assumptions!$C$25+0.06*(1-$J554))-Assumptions!$C$27)-Assumptions!$C$28)*Assumptions!$C$31)+Assumptions!$C$28-Assumptions!$C$29-$O554*Assumptions!$C$30</f>
        <v>107.6913465</v>
      </c>
      <c r="U554" s="139">
        <f>($P554*(1-(Assumptions!$C$25+0.06*(1-$K554))-Assumptions!$C$27)-Assumptions!$C$28)-MAX(0,($P554*(1-(Assumptions!$C$25+0.06*(1-$K554))-Assumptions!$C$27)-Assumptions!$C$28)*Assumptions!$C$31)+Assumptions!$C$28-Assumptions!$C$29-$P554*Assumptions!$C$30</f>
        <v>113.3039186</v>
      </c>
      <c r="V554" s="143">
        <f>(($Q554/(1+$D554)^1+$R554/(1+$D554)^2+$S554/(1+$D554)^3+$T554/(1+$D554)^4+$U554/(1+$D554)^5+$U554*(1+$E554)/($D554-$E554)/(1+$D554)^5)-Assumptions!$C$37)/Assumptions!$C$40/Assumptions!$C$38</f>
        <v>5.001411148</v>
      </c>
    </row>
    <row r="555" ht="12.0" customHeight="1">
      <c r="B555" s="139">
        <v>503.0</v>
      </c>
      <c r="C555" s="140">
        <f t="shared" si="6"/>
        <v>0.2739073541</v>
      </c>
      <c r="D555" s="141">
        <f t="shared" si="7"/>
        <v>0.09463610881</v>
      </c>
      <c r="E555" s="141">
        <f t="shared" si="8"/>
        <v>0.0149846556</v>
      </c>
      <c r="F555" s="140">
        <f t="shared" si="9"/>
        <v>0.5789283546</v>
      </c>
      <c r="G555" s="141">
        <f t="shared" si="10"/>
        <v>0.06246949035</v>
      </c>
      <c r="H555" s="142">
        <f t="shared" si="11"/>
        <v>0</v>
      </c>
      <c r="I555" s="142">
        <f t="shared" si="12"/>
        <v>1</v>
      </c>
      <c r="J555" s="142">
        <f t="shared" si="13"/>
        <v>1</v>
      </c>
      <c r="K555" s="142">
        <f t="shared" si="14"/>
        <v>0</v>
      </c>
      <c r="L555" s="139">
        <f>Assumptions!$C$6*Assumptions!$C$7*(1+$G555-0.05*(1-1))^1+Assumptions!$C$6*Assumptions!$C$8*(1+Assumptions!$C$11)^1+Assumptions!$C$16*1+Assumptions!$C$6*Assumptions!$C$9*(1+Assumptions!$C$12)^1</f>
        <v>747.4952305</v>
      </c>
      <c r="M555" s="139">
        <f>Assumptions!$C$6*Assumptions!$C$7*(1+$G555-0.05*(1-$H555))^2+Assumptions!$C$6*Assumptions!$C$8*(1+Assumptions!$C$11)^2+Assumptions!$C$16*$H555+Assumptions!$C$6*Assumptions!$C$9*(1+Assumptions!$C$12)^2</f>
        <v>681.5121582</v>
      </c>
      <c r="N555" s="139">
        <f>Assumptions!$C$6*Assumptions!$C$7*(1+$G555-0.05*(1-$I555))^3+Assumptions!$C$6*Assumptions!$C$8*(1+Assumptions!$C$11)^3+Assumptions!$C$16*$I555+Assumptions!$C$6*Assumptions!$C$9*(1+Assumptions!$C$12)^3</f>
        <v>806.8990971</v>
      </c>
      <c r="O555" s="139">
        <f>Assumptions!$C$6*Assumptions!$C$7*(1+$G555-0.05*(1-$J555))^4+Assumptions!$C$6*Assumptions!$C$8*(1+Assumptions!$C$11)^4+Assumptions!$C$16*$J555+Assumptions!$C$6*Assumptions!$C$9*(1+Assumptions!$C$12)^4</f>
        <v>838.9822004</v>
      </c>
      <c r="P555" s="139">
        <f>Assumptions!$C$6*Assumptions!$C$7*(1+$G555-0.05*(1-$K555))^5+Assumptions!$C$6*Assumptions!$C$8*(1+Assumptions!$C$11)^5+Assumptions!$C$16*$K555+Assumptions!$C$6*Assumptions!$C$9*(1+Assumptions!$C$12)^5</f>
        <v>715.1758242</v>
      </c>
      <c r="Q555" s="139">
        <f>($L555*(1-(Assumptions!$C$25+0.06*(1-1))-Assumptions!$C$27)-Assumptions!$C$28)-MAX(0,($L555*(1-(Assumptions!$C$25+0.06*(1-1))-Assumptions!$C$27)-Assumptions!$C$28)*Assumptions!$C$31)+Assumptions!$C$28-Assumptions!$C$29-$L555*Assumptions!$C$30</f>
        <v>93.21147455</v>
      </c>
      <c r="R555" s="139">
        <f>($M555*(1-(Assumptions!$C$25+0.06*(1-$H555))-Assumptions!$C$27)-Assumptions!$C$28)-MAX(0,($M555*(1-(Assumptions!$C$25+0.06*(1-$H555))-Assumptions!$C$27)-Assumptions!$C$28)*Assumptions!$C$31)+Assumptions!$C$28-Assumptions!$C$29-$M555*Assumptions!$C$30</f>
        <v>36.74779639</v>
      </c>
      <c r="S555" s="139">
        <f>($N555*(1-(Assumptions!$C$25+0.06*(1-$I555))-Assumptions!$C$27)-Assumptions!$C$28)-MAX(0,($N555*(1-(Assumptions!$C$25+0.06*(1-$I555))-Assumptions!$C$27)-Assumptions!$C$28)*Assumptions!$C$31)+Assumptions!$C$28-Assumptions!$C$29-$N555*Assumptions!$C$30</f>
        <v>105.9833059</v>
      </c>
      <c r="T555" s="139">
        <f>($O555*(1-(Assumptions!$C$25+0.06*(1-$J555))-Assumptions!$C$27)-Assumptions!$C$28)-MAX(0,($O555*(1-(Assumptions!$C$25+0.06*(1-$J555))-Assumptions!$C$27)-Assumptions!$C$28)*Assumptions!$C$31)+Assumptions!$C$28-Assumptions!$C$29-$O555*Assumptions!$C$30</f>
        <v>112.8811731</v>
      </c>
      <c r="U555" s="139">
        <f>($P555*(1-(Assumptions!$C$25+0.06*(1-$K555))-Assumptions!$C$27)-Assumptions!$C$28)-MAX(0,($P555*(1-(Assumptions!$C$25+0.06*(1-$K555))-Assumptions!$C$27)-Assumptions!$C$28)*Assumptions!$C$31)+Assumptions!$C$28-Assumptions!$C$29-$P555*Assumptions!$C$30</f>
        <v>44.49043958</v>
      </c>
      <c r="V555" s="143">
        <f>(($Q555/(1+$D555)^1+$R555/(1+$D555)^2+$S555/(1+$D555)^3+$T555/(1+$D555)^4+$U555/(1+$D555)^5+$U555*(1+$E555)/($D555-$E555)/(1+$D555)^5)-Assumptions!$C$37)/Assumptions!$C$40/Assumptions!$C$38</f>
        <v>-0.2139387074</v>
      </c>
    </row>
    <row r="556" ht="12.0" customHeight="1">
      <c r="B556" s="139">
        <v>504.0</v>
      </c>
      <c r="C556" s="140">
        <f t="shared" si="6"/>
        <v>0.2489958192</v>
      </c>
      <c r="D556" s="141">
        <f t="shared" si="7"/>
        <v>0.09418746879</v>
      </c>
      <c r="E556" s="141">
        <f t="shared" si="8"/>
        <v>0.02728793853</v>
      </c>
      <c r="F556" s="140">
        <f t="shared" si="9"/>
        <v>0.9786647679</v>
      </c>
      <c r="G556" s="141">
        <f t="shared" si="10"/>
        <v>0.08380295088</v>
      </c>
      <c r="H556" s="142">
        <f t="shared" si="11"/>
        <v>1</v>
      </c>
      <c r="I556" s="142">
        <f t="shared" si="12"/>
        <v>0</v>
      </c>
      <c r="J556" s="142">
        <f t="shared" si="13"/>
        <v>1</v>
      </c>
      <c r="K556" s="142">
        <f t="shared" si="14"/>
        <v>0</v>
      </c>
      <c r="L556" s="139">
        <f>Assumptions!$C$6*Assumptions!$C$7*(1+$G556-0.05*(1-1))^1+Assumptions!$C$6*Assumptions!$C$8*(1+Assumptions!$C$11)^1+Assumptions!$C$16*1+Assumptions!$C$6*Assumptions!$C$9*(1+Assumptions!$C$12)^1</f>
        <v>754.6760733</v>
      </c>
      <c r="M556" s="139">
        <f>Assumptions!$C$6*Assumptions!$C$7*(1+$G556-0.05*(1-$H556))^2+Assumptions!$C$6*Assumptions!$C$8*(1+Assumptions!$C$11)^2+Assumptions!$C$16*$H556+Assumptions!$C$6*Assumptions!$C$9*(1+Assumptions!$C$12)^2</f>
        <v>791.8454263</v>
      </c>
      <c r="N556" s="139">
        <f>Assumptions!$C$6*Assumptions!$C$7*(1+$G556-0.05*(1-$I556))^3+Assumptions!$C$6*Assumptions!$C$8*(1+Assumptions!$C$11)^3+Assumptions!$C$16*$I556+Assumptions!$C$6*Assumptions!$C$9*(1+Assumptions!$C$12)^3</f>
        <v>715.0957254</v>
      </c>
      <c r="O556" s="139">
        <f>Assumptions!$C$6*Assumptions!$C$7*(1+$G556-0.05*(1-$J556))^4+Assumptions!$C$6*Assumptions!$C$8*(1+Assumptions!$C$11)^4+Assumptions!$C$16*$J556+Assumptions!$C$6*Assumptions!$C$9*(1+Assumptions!$C$12)^4</f>
        <v>874.4833878</v>
      </c>
      <c r="P556" s="139">
        <f>Assumptions!$C$6*Assumptions!$C$7*(1+$G556-0.05*(1-$K556))^5+Assumptions!$C$6*Assumptions!$C$8*(1+Assumptions!$C$11)^5+Assumptions!$C$16*$K556+Assumptions!$C$6*Assumptions!$C$9*(1+Assumptions!$C$12)^5</f>
        <v>754.5284452</v>
      </c>
      <c r="Q556" s="139">
        <f>($L556*(1-(Assumptions!$C$25+0.06*(1-1))-Assumptions!$C$27)-Assumptions!$C$28)-MAX(0,($L556*(1-(Assumptions!$C$25+0.06*(1-1))-Assumptions!$C$27)-Assumptions!$C$28)*Assumptions!$C$31)+Assumptions!$C$28-Assumptions!$C$29-$L556*Assumptions!$C$30</f>
        <v>94.75535575</v>
      </c>
      <c r="R556" s="139">
        <f>($M556*(1-(Assumptions!$C$25+0.06*(1-$H556))-Assumptions!$C$27)-Assumptions!$C$28)-MAX(0,($M556*(1-(Assumptions!$C$25+0.06*(1-$H556))-Assumptions!$C$27)-Assumptions!$C$28)*Assumptions!$C$31)+Assumptions!$C$28-Assumptions!$C$29-$M556*Assumptions!$C$30</f>
        <v>102.7467667</v>
      </c>
      <c r="S556" s="139">
        <f>($N556*(1-(Assumptions!$C$25+0.06*(1-$I556))-Assumptions!$C$27)-Assumptions!$C$28)-MAX(0,($N556*(1-(Assumptions!$C$25+0.06*(1-$I556))-Assumptions!$C$27)-Assumptions!$C$28)*Assumptions!$C$31)+Assumptions!$C$28-Assumptions!$C$29-$N556*Assumptions!$C$30</f>
        <v>44.47201684</v>
      </c>
      <c r="T556" s="139">
        <f>($O556*(1-(Assumptions!$C$25+0.06*(1-$J556))-Assumptions!$C$27)-Assumptions!$C$28)-MAX(0,($O556*(1-(Assumptions!$C$25+0.06*(1-$J556))-Assumptions!$C$27)-Assumptions!$C$28)*Assumptions!$C$31)+Assumptions!$C$28-Assumptions!$C$29-$O556*Assumptions!$C$30</f>
        <v>120.5139284</v>
      </c>
      <c r="U556" s="139">
        <f>($P556*(1-(Assumptions!$C$25+0.06*(1-$K556))-Assumptions!$C$27)-Assumptions!$C$28)-MAX(0,($P556*(1-(Assumptions!$C$25+0.06*(1-$K556))-Assumptions!$C$27)-Assumptions!$C$28)*Assumptions!$C$31)+Assumptions!$C$28-Assumptions!$C$29-$P556*Assumptions!$C$30</f>
        <v>53.54154239</v>
      </c>
      <c r="V556" s="143">
        <f>(($Q556/(1+$D556)^1+$R556/(1+$D556)^2+$S556/(1+$D556)^3+$T556/(1+$D556)^4+$U556/(1+$D556)^5+$U556*(1+$E556)/($D556-$E556)/(1+$D556)^5)-Assumptions!$C$37)/Assumptions!$C$40/Assumptions!$C$38</f>
        <v>1.22588</v>
      </c>
    </row>
    <row r="557" ht="12.0" customHeight="1">
      <c r="B557" s="139">
        <v>505.0</v>
      </c>
      <c r="C557" s="140">
        <f t="shared" si="6"/>
        <v>0.3073435446</v>
      </c>
      <c r="D557" s="141">
        <f t="shared" si="7"/>
        <v>0.09520732392</v>
      </c>
      <c r="E557" s="141">
        <f t="shared" si="8"/>
        <v>0.01202603211</v>
      </c>
      <c r="F557" s="140">
        <f t="shared" si="9"/>
        <v>0.2147229585</v>
      </c>
      <c r="G557" s="141">
        <f t="shared" si="10"/>
        <v>0.04965963696</v>
      </c>
      <c r="H557" s="142">
        <f t="shared" si="11"/>
        <v>1</v>
      </c>
      <c r="I557" s="142">
        <f t="shared" si="12"/>
        <v>0</v>
      </c>
      <c r="J557" s="142">
        <f t="shared" si="13"/>
        <v>1</v>
      </c>
      <c r="K557" s="142">
        <f t="shared" si="14"/>
        <v>0</v>
      </c>
      <c r="L557" s="139">
        <f>Assumptions!$C$6*Assumptions!$C$7*(1+$G557-0.05*(1-1))^1+Assumptions!$C$6*Assumptions!$C$8*(1+Assumptions!$C$11)^1+Assumptions!$C$16*1+Assumptions!$C$6*Assumptions!$C$9*(1+Assumptions!$C$12)^1</f>
        <v>743.1834338</v>
      </c>
      <c r="M557" s="139">
        <f>Assumptions!$C$6*Assumptions!$C$7*(1+$G557-0.05*(1-$H557))^2+Assumptions!$C$6*Assumptions!$C$8*(1+Assumptions!$C$11)^2+Assumptions!$C$16*$H557+Assumptions!$C$6*Assumptions!$C$9*(1+Assumptions!$C$12)^2</f>
        <v>767.32631</v>
      </c>
      <c r="N557" s="139">
        <f>Assumptions!$C$6*Assumptions!$C$7*(1+$G557-0.05*(1-$I557))^3+Assumptions!$C$6*Assumptions!$C$8*(1+Assumptions!$C$11)^3+Assumptions!$C$16*$I557+Assumptions!$C$6*Assumptions!$C$9*(1+Assumptions!$C$12)^3</f>
        <v>679.4510856</v>
      </c>
      <c r="O557" s="139">
        <f>Assumptions!$C$6*Assumptions!$C$7*(1+$G557-0.05*(1-$J557))^4+Assumptions!$C$6*Assumptions!$C$8*(1+Assumptions!$C$11)^4+Assumptions!$C$16*$J557+Assumptions!$C$6*Assumptions!$C$9*(1+Assumptions!$C$12)^4</f>
        <v>818.6677234</v>
      </c>
      <c r="P557" s="139">
        <f>Assumptions!$C$6*Assumptions!$C$7*(1+$G557-0.05*(1-$K557))^5+Assumptions!$C$6*Assumptions!$C$8*(1+Assumptions!$C$11)^5+Assumptions!$C$16*$K557+Assumptions!$C$6*Assumptions!$C$9*(1+Assumptions!$C$12)^5</f>
        <v>693.0872906</v>
      </c>
      <c r="Q557" s="139">
        <f>($L557*(1-(Assumptions!$C$25+0.06*(1-1))-Assumptions!$C$27)-Assumptions!$C$28)-MAX(0,($L557*(1-(Assumptions!$C$25+0.06*(1-1))-Assumptions!$C$27)-Assumptions!$C$28)*Assumptions!$C$31)+Assumptions!$C$28-Assumptions!$C$29-$L557*Assumptions!$C$30</f>
        <v>92.28443827</v>
      </c>
      <c r="R557" s="139">
        <f>($M557*(1-(Assumptions!$C$25+0.06*(1-$H557))-Assumptions!$C$27)-Assumptions!$C$28)-MAX(0,($M557*(1-(Assumptions!$C$25+0.06*(1-$H557))-Assumptions!$C$27)-Assumptions!$C$28)*Assumptions!$C$31)+Assumptions!$C$28-Assumptions!$C$29-$M557*Assumptions!$C$30</f>
        <v>97.47515664</v>
      </c>
      <c r="S557" s="139">
        <f>($N557*(1-(Assumptions!$C$25+0.06*(1-$I557))-Assumptions!$C$27)-Assumptions!$C$28)-MAX(0,($N557*(1-(Assumptions!$C$25+0.06*(1-$I557))-Assumptions!$C$27)-Assumptions!$C$28)*Assumptions!$C$31)+Assumptions!$C$28-Assumptions!$C$29-$N557*Assumptions!$C$30</f>
        <v>36.27374968</v>
      </c>
      <c r="T557" s="139">
        <f>($O557*(1-(Assumptions!$C$25+0.06*(1-$J557))-Assumptions!$C$27)-Assumptions!$C$28)-MAX(0,($O557*(1-(Assumptions!$C$25+0.06*(1-$J557))-Assumptions!$C$27)-Assumptions!$C$28)*Assumptions!$C$31)+Assumptions!$C$28-Assumptions!$C$29-$O557*Assumptions!$C$30</f>
        <v>108.5135605</v>
      </c>
      <c r="U557" s="139">
        <f>($P557*(1-(Assumptions!$C$25+0.06*(1-$K557))-Assumptions!$C$27)-Assumptions!$C$28)-MAX(0,($P557*(1-(Assumptions!$C$25+0.06*(1-$K557))-Assumptions!$C$27)-Assumptions!$C$28)*Assumptions!$C$31)+Assumptions!$C$28-Assumptions!$C$29-$P557*Assumptions!$C$30</f>
        <v>39.41007683</v>
      </c>
      <c r="V557" s="143">
        <f>(($Q557/(1+$D557)^1+$R557/(1+$D557)^2+$S557/(1+$D557)^3+$T557/(1+$D557)^4+$U557/(1+$D557)^5+$U557*(1+$E557)/($D557-$E557)/(1+$D557)^5)-Assumptions!$C$37)/Assumptions!$C$40/Assumptions!$C$38</f>
        <v>-0.732288567</v>
      </c>
    </row>
    <row r="558" ht="12.0" customHeight="1">
      <c r="B558" s="139">
        <v>506.0</v>
      </c>
      <c r="C558" s="140">
        <f t="shared" si="6"/>
        <v>0.3307877165</v>
      </c>
      <c r="D558" s="141">
        <f t="shared" si="7"/>
        <v>0.0955894776</v>
      </c>
      <c r="E558" s="141">
        <f t="shared" si="8"/>
        <v>0.01482799926</v>
      </c>
      <c r="F558" s="140">
        <f t="shared" si="9"/>
        <v>0.1156247786</v>
      </c>
      <c r="G558" s="141">
        <f t="shared" si="10"/>
        <v>0.04442652424</v>
      </c>
      <c r="H558" s="142">
        <f t="shared" si="11"/>
        <v>0</v>
      </c>
      <c r="I558" s="142">
        <f t="shared" si="12"/>
        <v>1</v>
      </c>
      <c r="J558" s="142">
        <f t="shared" si="13"/>
        <v>0</v>
      </c>
      <c r="K558" s="142">
        <f t="shared" si="14"/>
        <v>1</v>
      </c>
      <c r="L558" s="139">
        <f>Assumptions!$C$6*Assumptions!$C$7*(1+$G558-0.05*(1-1))^1+Assumptions!$C$6*Assumptions!$C$8*(1+Assumptions!$C$11)^1+Assumptions!$C$16*1+Assumptions!$C$6*Assumptions!$C$9*(1+Assumptions!$C$12)^1</f>
        <v>741.4219681</v>
      </c>
      <c r="M558" s="139">
        <f>Assumptions!$C$6*Assumptions!$C$7*(1+$G558-0.05*(1-$H558))^2+Assumptions!$C$6*Assumptions!$C$8*(1+Assumptions!$C$11)^2+Assumptions!$C$16*$H558+Assumptions!$C$6*Assumptions!$C$9*(1+Assumptions!$C$12)^2</f>
        <v>669.3237521</v>
      </c>
      <c r="N558" s="139">
        <f>Assumptions!$C$6*Assumptions!$C$7*(1+$G558-0.05*(1-$I558))^3+Assumptions!$C$6*Assumptions!$C$8*(1+Assumptions!$C$11)^3+Assumptions!$C$16*$I558+Assumptions!$C$6*Assumptions!$C$9*(1+Assumptions!$C$12)^3</f>
        <v>786.6791447</v>
      </c>
      <c r="O558" s="139">
        <f>Assumptions!$C$6*Assumptions!$C$7*(1+$G558-0.05*(1-$J558))^4+Assumptions!$C$6*Assumptions!$C$8*(1+Assumptions!$C$11)^4+Assumptions!$C$16*$J558+Assumptions!$C$6*Assumptions!$C$9*(1+Assumptions!$C$12)^4</f>
        <v>679.2169361</v>
      </c>
      <c r="P558" s="139">
        <f>Assumptions!$C$6*Assumptions!$C$7*(1+$G558-0.05*(1-$K558))^5+Assumptions!$C$6*Assumptions!$C$8*(1+Assumptions!$C$11)^5+Assumptions!$C$16*$K558+Assumptions!$C$6*Assumptions!$C$9*(1+Assumptions!$C$12)^5</f>
        <v>835.3748636</v>
      </c>
      <c r="Q558" s="139">
        <f>($L558*(1-(Assumptions!$C$25+0.06*(1-1))-Assumptions!$C$27)-Assumptions!$C$28)-MAX(0,($L558*(1-(Assumptions!$C$25+0.06*(1-1))-Assumptions!$C$27)-Assumptions!$C$28)*Assumptions!$C$31)+Assumptions!$C$28-Assumptions!$C$29-$L558*Assumptions!$C$30</f>
        <v>91.90572313</v>
      </c>
      <c r="R558" s="139">
        <f>($M558*(1-(Assumptions!$C$25+0.06*(1-$H558))-Assumptions!$C$27)-Assumptions!$C$28)-MAX(0,($M558*(1-(Assumptions!$C$25+0.06*(1-$H558))-Assumptions!$C$27)-Assumptions!$C$28)*Assumptions!$C$31)+Assumptions!$C$28-Assumptions!$C$29-$M558*Assumptions!$C$30</f>
        <v>33.94446299</v>
      </c>
      <c r="S558" s="139">
        <f>($N558*(1-(Assumptions!$C$25+0.06*(1-$I558))-Assumptions!$C$27)-Assumptions!$C$28)-MAX(0,($N558*(1-(Assumptions!$C$25+0.06*(1-$I558))-Assumptions!$C$27)-Assumptions!$C$28)*Assumptions!$C$31)+Assumptions!$C$28-Assumptions!$C$29-$N558*Assumptions!$C$30</f>
        <v>101.6360161</v>
      </c>
      <c r="T558" s="139">
        <f>($O558*(1-(Assumptions!$C$25+0.06*(1-$J558))-Assumptions!$C$27)-Assumptions!$C$28)-MAX(0,($O558*(1-(Assumptions!$C$25+0.06*(1-$J558))-Assumptions!$C$27)-Assumptions!$C$28)*Assumptions!$C$31)+Assumptions!$C$28-Assumptions!$C$29-$O558*Assumptions!$C$30</f>
        <v>36.2198953</v>
      </c>
      <c r="U558" s="139">
        <f>($P558*(1-(Assumptions!$C$25+0.06*(1-$K558))-Assumptions!$C$27)-Assumptions!$C$28)-MAX(0,($P558*(1-(Assumptions!$C$25+0.06*(1-$K558))-Assumptions!$C$27)-Assumptions!$C$28)*Assumptions!$C$31)+Assumptions!$C$28-Assumptions!$C$29-$P558*Assumptions!$C$30</f>
        <v>112.1055957</v>
      </c>
      <c r="V558" s="143">
        <f>(($Q558/(1+$D558)^1+$R558/(1+$D558)^2+$S558/(1+$D558)^3+$T558/(1+$D558)^4+$U558/(1+$D558)^5+$U558*(1+$E558)/($D558-$E558)/(1+$D558)^5)-Assumptions!$C$37)/Assumptions!$C$40/Assumptions!$C$38</f>
        <v>3.795442844</v>
      </c>
    </row>
    <row r="559" ht="12.0" customHeight="1">
      <c r="B559" s="139">
        <v>507.0</v>
      </c>
      <c r="C559" s="140">
        <f t="shared" si="6"/>
        <v>0.5021332261</v>
      </c>
      <c r="D559" s="141">
        <f t="shared" si="7"/>
        <v>0.09828763152</v>
      </c>
      <c r="E559" s="141">
        <f t="shared" si="8"/>
        <v>0.02106381424</v>
      </c>
      <c r="F559" s="140">
        <f t="shared" si="9"/>
        <v>0.5244486995</v>
      </c>
      <c r="G559" s="141">
        <f t="shared" si="10"/>
        <v>0.06074265322</v>
      </c>
      <c r="H559" s="142">
        <f t="shared" si="11"/>
        <v>0</v>
      </c>
      <c r="I559" s="142">
        <f t="shared" si="12"/>
        <v>0</v>
      </c>
      <c r="J559" s="142">
        <f t="shared" si="13"/>
        <v>1</v>
      </c>
      <c r="K559" s="142">
        <f t="shared" si="14"/>
        <v>0</v>
      </c>
      <c r="L559" s="139">
        <f>Assumptions!$C$6*Assumptions!$C$7*(1+$G559-0.05*(1-1))^1+Assumptions!$C$6*Assumptions!$C$8*(1+Assumptions!$C$11)^1+Assumptions!$C$16*1+Assumptions!$C$6*Assumptions!$C$9*(1+Assumptions!$C$12)^1</f>
        <v>746.9139771</v>
      </c>
      <c r="M559" s="139">
        <f>Assumptions!$C$6*Assumptions!$C$7*(1+$G559-0.05*(1-$H559))^2+Assumptions!$C$6*Assumptions!$C$8*(1+Assumptions!$C$11)^2+Assumptions!$C$16*$H559+Assumptions!$C$6*Assumptions!$C$9*(1+Assumptions!$C$12)^2</f>
        <v>680.3361593</v>
      </c>
      <c r="N559" s="139">
        <f>Assumptions!$C$6*Assumptions!$C$7*(1+$G559-0.05*(1-$I559))^3+Assumptions!$C$6*Assumptions!$C$8*(1+Assumptions!$C$11)^3+Assumptions!$C$16*$I559+Assumptions!$C$6*Assumptions!$C$9*(1+Assumptions!$C$12)^3</f>
        <v>690.7595513</v>
      </c>
      <c r="O559" s="139">
        <f>Assumptions!$C$6*Assumptions!$C$7*(1+$G559-0.05*(1-$J559))^4+Assumptions!$C$6*Assumptions!$C$8*(1+Assumptions!$C$11)^4+Assumptions!$C$16*$J559+Assumptions!$C$6*Assumptions!$C$9*(1+Assumptions!$C$12)^4</f>
        <v>836.2004642</v>
      </c>
      <c r="P559" s="139">
        <f>Assumptions!$C$6*Assumptions!$C$7*(1+$G559-0.05*(1-$K559))^5+Assumptions!$C$6*Assumptions!$C$8*(1+Assumptions!$C$11)^5+Assumptions!$C$16*$K559+Assumptions!$C$6*Assumptions!$C$9*(1+Assumptions!$C$12)^5</f>
        <v>712.1322645</v>
      </c>
      <c r="Q559" s="139">
        <f>($L559*(1-(Assumptions!$C$25+0.06*(1-1))-Assumptions!$C$27)-Assumptions!$C$28)-MAX(0,($L559*(1-(Assumptions!$C$25+0.06*(1-1))-Assumptions!$C$27)-Assumptions!$C$28)*Assumptions!$C$31)+Assumptions!$C$28-Assumptions!$C$29-$L559*Assumptions!$C$30</f>
        <v>93.08650507</v>
      </c>
      <c r="R559" s="139">
        <f>($M559*(1-(Assumptions!$C$25+0.06*(1-$H559))-Assumptions!$C$27)-Assumptions!$C$28)-MAX(0,($M559*(1-(Assumptions!$C$25+0.06*(1-$H559))-Assumptions!$C$27)-Assumptions!$C$28)*Assumptions!$C$31)+Assumptions!$C$28-Assumptions!$C$29-$M559*Assumptions!$C$30</f>
        <v>36.47731665</v>
      </c>
      <c r="S559" s="139">
        <f>($N559*(1-(Assumptions!$C$25+0.06*(1-$I559))-Assumptions!$C$27)-Assumptions!$C$28)-MAX(0,($N559*(1-(Assumptions!$C$25+0.06*(1-$I559))-Assumptions!$C$27)-Assumptions!$C$28)*Assumptions!$C$31)+Assumptions!$C$28-Assumptions!$C$29-$N559*Assumptions!$C$30</f>
        <v>38.87469679</v>
      </c>
      <c r="T559" s="139">
        <f>($O559*(1-(Assumptions!$C$25+0.06*(1-$J559))-Assumptions!$C$27)-Assumptions!$C$28)-MAX(0,($O559*(1-(Assumptions!$C$25+0.06*(1-$J559))-Assumptions!$C$27)-Assumptions!$C$28)*Assumptions!$C$31)+Assumptions!$C$28-Assumptions!$C$29-$O559*Assumptions!$C$30</f>
        <v>112.2830998</v>
      </c>
      <c r="U559" s="139">
        <f>($P559*(1-(Assumptions!$C$25+0.06*(1-$K559))-Assumptions!$C$27)-Assumptions!$C$28)-MAX(0,($P559*(1-(Assumptions!$C$25+0.06*(1-$K559))-Assumptions!$C$27)-Assumptions!$C$28)*Assumptions!$C$31)+Assumptions!$C$28-Assumptions!$C$29-$P559*Assumptions!$C$30</f>
        <v>43.79042083</v>
      </c>
      <c r="V559" s="143">
        <f>(($Q559/(1+$D559)^1+$R559/(1+$D559)^2+$S559/(1+$D559)^3+$T559/(1+$D559)^4+$U559/(1+$D559)^5+$U559*(1+$E559)/($D559-$E559)/(1+$D559)^5)-Assumptions!$C$37)/Assumptions!$C$40/Assumptions!$C$38</f>
        <v>-0.6279025432</v>
      </c>
    </row>
    <row r="560" ht="12.0" customHeight="1">
      <c r="B560" s="139">
        <v>508.0</v>
      </c>
      <c r="C560" s="140">
        <f t="shared" si="6"/>
        <v>0.2132701681</v>
      </c>
      <c r="D560" s="141">
        <f t="shared" si="7"/>
        <v>0.09350285758</v>
      </c>
      <c r="E560" s="141">
        <f t="shared" si="8"/>
        <v>0.01947217254</v>
      </c>
      <c r="F560" s="140">
        <f t="shared" si="9"/>
        <v>0.1752410267</v>
      </c>
      <c r="G560" s="141">
        <f t="shared" si="10"/>
        <v>0.04776045743</v>
      </c>
      <c r="H560" s="142">
        <f t="shared" si="11"/>
        <v>1</v>
      </c>
      <c r="I560" s="142">
        <f t="shared" si="12"/>
        <v>1</v>
      </c>
      <c r="J560" s="142">
        <f t="shared" si="13"/>
        <v>0</v>
      </c>
      <c r="K560" s="142">
        <f t="shared" si="14"/>
        <v>0</v>
      </c>
      <c r="L560" s="139">
        <f>Assumptions!$C$6*Assumptions!$C$7*(1+$G560-0.05*(1-1))^1+Assumptions!$C$6*Assumptions!$C$8*(1+Assumptions!$C$11)^1+Assumptions!$C$16*1+Assumptions!$C$6*Assumptions!$C$9*(1+Assumptions!$C$12)^1</f>
        <v>742.54417</v>
      </c>
      <c r="M560" s="139">
        <f>Assumptions!$C$6*Assumptions!$C$7*(1+$G560-0.05*(1-$H560))^2+Assumptions!$C$6*Assumptions!$C$8*(1+Assumptions!$C$11)^2+Assumptions!$C$16*$H560+Assumptions!$C$6*Assumptions!$C$9*(1+Assumptions!$C$12)^2</f>
        <v>765.9855052</v>
      </c>
      <c r="N560" s="139">
        <f>Assumptions!$C$6*Assumptions!$C$7*(1+$G560-0.05*(1-$I560))^3+Assumptions!$C$6*Assumptions!$C$8*(1+Assumptions!$C$11)^3+Assumptions!$C$16*$I560+Assumptions!$C$6*Assumptions!$C$9*(1+Assumptions!$C$12)^3</f>
        <v>790.3632635</v>
      </c>
      <c r="O560" s="139">
        <f>Assumptions!$C$6*Assumptions!$C$7*(1+$G560-0.05*(1-$J560))^4+Assumptions!$C$6*Assumptions!$C$8*(1+Assumptions!$C$11)^4+Assumptions!$C$16*$J560+Assumptions!$C$6*Assumptions!$C$9*(1+Assumptions!$C$12)^4</f>
        <v>683.6533547</v>
      </c>
      <c r="P560" s="139">
        <f>Assumptions!$C$6*Assumptions!$C$7*(1+$G560-0.05*(1-$K560))^5+Assumptions!$C$6*Assumptions!$C$8*(1+Assumptions!$C$11)^5+Assumptions!$C$16*$K560+Assumptions!$C$6*Assumptions!$C$9*(1+Assumptions!$C$12)^5</f>
        <v>689.9074262</v>
      </c>
      <c r="Q560" s="139">
        <f>($L560*(1-(Assumptions!$C$25+0.06*(1-1))-Assumptions!$C$27)-Assumptions!$C$28)-MAX(0,($L560*(1-(Assumptions!$C$25+0.06*(1-1))-Assumptions!$C$27)-Assumptions!$C$28)*Assumptions!$C$31)+Assumptions!$C$28-Assumptions!$C$29-$L560*Assumptions!$C$30</f>
        <v>92.14699654</v>
      </c>
      <c r="R560" s="139">
        <f>($M560*(1-(Assumptions!$C$25+0.06*(1-$H560))-Assumptions!$C$27)-Assumptions!$C$28)-MAX(0,($M560*(1-(Assumptions!$C$25+0.06*(1-$H560))-Assumptions!$C$27)-Assumptions!$C$28)*Assumptions!$C$31)+Assumptions!$C$28-Assumptions!$C$29-$M560*Assumptions!$C$30</f>
        <v>97.18688361</v>
      </c>
      <c r="S560" s="139">
        <f>($N560*(1-(Assumptions!$C$25+0.06*(1-$I560))-Assumptions!$C$27)-Assumptions!$C$28)-MAX(0,($N560*(1-(Assumptions!$C$25+0.06*(1-$I560))-Assumptions!$C$27)-Assumptions!$C$28)*Assumptions!$C$31)+Assumptions!$C$28-Assumptions!$C$29-$N560*Assumptions!$C$30</f>
        <v>102.4281017</v>
      </c>
      <c r="T560" s="139">
        <f>($O560*(1-(Assumptions!$C$25+0.06*(1-$J560))-Assumptions!$C$27)-Assumptions!$C$28)-MAX(0,($O560*(1-(Assumptions!$C$25+0.06*(1-$J560))-Assumptions!$C$27)-Assumptions!$C$28)*Assumptions!$C$31)+Assumptions!$C$28-Assumptions!$C$29-$O560*Assumptions!$C$30</f>
        <v>37.24027158</v>
      </c>
      <c r="U560" s="139">
        <f>($P560*(1-(Assumptions!$C$25+0.06*(1-$K560))-Assumptions!$C$27)-Assumptions!$C$28)-MAX(0,($P560*(1-(Assumptions!$C$25+0.06*(1-$K560))-Assumptions!$C$27)-Assumptions!$C$28)*Assumptions!$C$31)+Assumptions!$C$28-Assumptions!$C$29-$P560*Assumptions!$C$30</f>
        <v>38.67870802</v>
      </c>
      <c r="V560" s="143">
        <f>(($Q560/(1+$D560)^1+$R560/(1+$D560)^2+$S560/(1+$D560)^3+$T560/(1+$D560)^4+$U560/(1+$D560)^5+$U560*(1+$E560)/($D560-$E560)/(1+$D560)^5)-Assumptions!$C$37)/Assumptions!$C$40/Assumptions!$C$38</f>
        <v>-0.4398628622</v>
      </c>
    </row>
    <row r="561" ht="12.0" customHeight="1">
      <c r="B561" s="139">
        <v>509.0</v>
      </c>
      <c r="C561" s="140">
        <f t="shared" si="6"/>
        <v>0.5920500935</v>
      </c>
      <c r="D561" s="141">
        <f t="shared" si="7"/>
        <v>0.09987188387</v>
      </c>
      <c r="E561" s="141">
        <f t="shared" si="8"/>
        <v>0.02213768569</v>
      </c>
      <c r="F561" s="140">
        <f t="shared" si="9"/>
        <v>0.8717561504</v>
      </c>
      <c r="G561" s="141">
        <f t="shared" si="10"/>
        <v>0.07480661561</v>
      </c>
      <c r="H561" s="142">
        <f t="shared" si="11"/>
        <v>1</v>
      </c>
      <c r="I561" s="142">
        <f t="shared" si="12"/>
        <v>1</v>
      </c>
      <c r="J561" s="142">
        <f t="shared" si="13"/>
        <v>0</v>
      </c>
      <c r="K561" s="142">
        <f t="shared" si="14"/>
        <v>1</v>
      </c>
      <c r="L561" s="139">
        <f>Assumptions!$C$6*Assumptions!$C$7*(1+$G561-0.05*(1-1))^1+Assumptions!$C$6*Assumptions!$C$8*(1+Assumptions!$C$11)^1+Assumptions!$C$16*1+Assumptions!$C$6*Assumptions!$C$9*(1+Assumptions!$C$12)^1</f>
        <v>751.6479068</v>
      </c>
      <c r="M561" s="139">
        <f>Assumptions!$C$6*Assumptions!$C$7*(1+$G561-0.05*(1-$H561))^2+Assumptions!$C$6*Assumptions!$C$8*(1+Assumptions!$C$11)^2+Assumptions!$C$16*$H561+Assumptions!$C$6*Assumptions!$C$9*(1+Assumptions!$C$12)^2</f>
        <v>785.3087972</v>
      </c>
      <c r="N561" s="139">
        <f>Assumptions!$C$6*Assumptions!$C$7*(1+$G561-0.05*(1-$I561))^3+Assumptions!$C$6*Assumptions!$C$8*(1+Assumptions!$C$11)^3+Assumptions!$C$16*$I561+Assumptions!$C$6*Assumptions!$C$9*(1+Assumptions!$C$12)^3</f>
        <v>821.126166</v>
      </c>
      <c r="O561" s="139">
        <f>Assumptions!$C$6*Assumptions!$C$7*(1+$G561-0.05*(1-$J561))^4+Assumptions!$C$6*Assumptions!$C$8*(1+Assumptions!$C$11)^4+Assumptions!$C$16*$J561+Assumptions!$C$6*Assumptions!$C$9*(1+Assumptions!$C$12)^4</f>
        <v>721.3216659</v>
      </c>
      <c r="P561" s="139">
        <f>Assumptions!$C$6*Assumptions!$C$7*(1+$G561-0.05*(1-$K561))^5+Assumptions!$C$6*Assumptions!$C$8*(1+Assumptions!$C$11)^5+Assumptions!$C$16*$K561+Assumptions!$C$6*Assumptions!$C$9*(1+Assumptions!$C$12)^5</f>
        <v>899.8580696</v>
      </c>
      <c r="Q561" s="139">
        <f>($L561*(1-(Assumptions!$C$25+0.06*(1-1))-Assumptions!$C$27)-Assumptions!$C$28)-MAX(0,($L561*(1-(Assumptions!$C$25+0.06*(1-1))-Assumptions!$C$27)-Assumptions!$C$28)*Assumptions!$C$31)+Assumptions!$C$28-Assumptions!$C$29-$L561*Assumptions!$C$30</f>
        <v>94.10429996</v>
      </c>
      <c r="R561" s="139">
        <f>($M561*(1-(Assumptions!$C$25+0.06*(1-$H561))-Assumptions!$C$27)-Assumptions!$C$28)-MAX(0,($M561*(1-(Assumptions!$C$25+0.06*(1-$H561))-Assumptions!$C$27)-Assumptions!$C$28)*Assumptions!$C$31)+Assumptions!$C$28-Assumptions!$C$29-$M561*Assumptions!$C$30</f>
        <v>101.3413914</v>
      </c>
      <c r="S561" s="139">
        <f>($N561*(1-(Assumptions!$C$25+0.06*(1-$I561))-Assumptions!$C$27)-Assumptions!$C$28)-MAX(0,($N561*(1-(Assumptions!$C$25+0.06*(1-$I561))-Assumptions!$C$27)-Assumptions!$C$28)*Assumptions!$C$31)+Assumptions!$C$28-Assumptions!$C$29-$N561*Assumptions!$C$30</f>
        <v>109.0421257</v>
      </c>
      <c r="T561" s="139">
        <f>($O561*(1-(Assumptions!$C$25+0.06*(1-$J561))-Assumptions!$C$27)-Assumptions!$C$28)-MAX(0,($O561*(1-(Assumptions!$C$25+0.06*(1-$J561))-Assumptions!$C$27)-Assumptions!$C$28)*Assumptions!$C$31)+Assumptions!$C$28-Assumptions!$C$29-$O561*Assumptions!$C$30</f>
        <v>45.90398316</v>
      </c>
      <c r="U561" s="139">
        <f>($P561*(1-(Assumptions!$C$25+0.06*(1-$K561))-Assumptions!$C$27)-Assumptions!$C$28)-MAX(0,($P561*(1-(Assumptions!$C$25+0.06*(1-$K561))-Assumptions!$C$27)-Assumptions!$C$28)*Assumptions!$C$31)+Assumptions!$C$28-Assumptions!$C$29-$P561*Assumptions!$C$30</f>
        <v>125.969485</v>
      </c>
      <c r="V561" s="143">
        <f>(($Q561/(1+$D561)^1+$R561/(1+$D561)^2+$S561/(1+$D561)^3+$T561/(1+$D561)^4+$U561/(1+$D561)^5+$U561*(1+$E561)/($D561-$E561)/(1+$D561)^5)-Assumptions!$C$37)/Assumptions!$C$40/Assumptions!$C$38</f>
        <v>5.449532509</v>
      </c>
    </row>
    <row r="562" ht="12.0" customHeight="1">
      <c r="B562" s="139">
        <v>510.0</v>
      </c>
      <c r="C562" s="140">
        <f t="shared" si="6"/>
        <v>0.589542552</v>
      </c>
      <c r="D562" s="141">
        <f t="shared" si="7"/>
        <v>0.09982546118</v>
      </c>
      <c r="E562" s="141">
        <f t="shared" si="8"/>
        <v>0.02131483643</v>
      </c>
      <c r="F562" s="140">
        <f t="shared" si="9"/>
        <v>0.377643616</v>
      </c>
      <c r="G562" s="141">
        <f t="shared" si="10"/>
        <v>0.05607217883</v>
      </c>
      <c r="H562" s="142">
        <f t="shared" si="11"/>
        <v>1</v>
      </c>
      <c r="I562" s="142">
        <f t="shared" si="12"/>
        <v>0</v>
      </c>
      <c r="J562" s="142">
        <f t="shared" si="13"/>
        <v>0</v>
      </c>
      <c r="K562" s="142">
        <f t="shared" si="14"/>
        <v>0</v>
      </c>
      <c r="L562" s="139">
        <f>Assumptions!$C$6*Assumptions!$C$7*(1+$G562-0.05*(1-1))^1+Assumptions!$C$6*Assumptions!$C$8*(1+Assumptions!$C$11)^1+Assumptions!$C$16*1+Assumptions!$C$6*Assumptions!$C$9*(1+Assumptions!$C$12)^1</f>
        <v>745.3418954</v>
      </c>
      <c r="M562" s="139">
        <f>Assumptions!$C$6*Assumptions!$C$7*(1+$G562-0.05*(1-$H562))^2+Assumptions!$C$6*Assumptions!$C$8*(1+Assumptions!$C$11)^2+Assumptions!$C$16*$H562+Assumptions!$C$6*Assumptions!$C$9*(1+Assumptions!$C$12)^2</f>
        <v>771.8714512</v>
      </c>
      <c r="N562" s="139">
        <f>Assumptions!$C$6*Assumptions!$C$7*(1+$G562-0.05*(1-$I562))^3+Assumptions!$C$6*Assumptions!$C$8*(1+Assumptions!$C$11)^3+Assumptions!$C$16*$I562+Assumptions!$C$6*Assumptions!$C$9*(1+Assumptions!$C$12)^3</f>
        <v>685.9636614</v>
      </c>
      <c r="O562" s="139">
        <f>Assumptions!$C$6*Assumptions!$C$7*(1+$G562-0.05*(1-$J562))^4+Assumptions!$C$6*Assumptions!$C$8*(1+Assumptions!$C$11)^4+Assumptions!$C$16*$J562+Assumptions!$C$6*Assumptions!$C$9*(1+Assumptions!$C$12)^4</f>
        <v>694.9089094</v>
      </c>
      <c r="P562" s="139">
        <f>Assumptions!$C$6*Assumptions!$C$7*(1+$G562-0.05*(1-$K562))^5+Assumptions!$C$6*Assumptions!$C$8*(1+Assumptions!$C$11)^5+Assumptions!$C$16*$K562+Assumptions!$C$6*Assumptions!$C$9*(1+Assumptions!$C$12)^5</f>
        <v>704.0040736</v>
      </c>
      <c r="Q562" s="139">
        <f>($L562*(1-(Assumptions!$C$25+0.06*(1-1))-Assumptions!$C$27)-Assumptions!$C$28)-MAX(0,($L562*(1-(Assumptions!$C$25+0.06*(1-1))-Assumptions!$C$27)-Assumptions!$C$28)*Assumptions!$C$31)+Assumptions!$C$28-Assumptions!$C$29-$L562*Assumptions!$C$30</f>
        <v>92.74850751</v>
      </c>
      <c r="R562" s="139">
        <f>($M562*(1-(Assumptions!$C$25+0.06*(1-$H562))-Assumptions!$C$27)-Assumptions!$C$28)-MAX(0,($M562*(1-(Assumptions!$C$25+0.06*(1-$H562))-Assumptions!$C$27)-Assumptions!$C$28)*Assumptions!$C$31)+Assumptions!$C$28-Assumptions!$C$29-$M562*Assumptions!$C$30</f>
        <v>98.45236201</v>
      </c>
      <c r="S562" s="139">
        <f>($N562*(1-(Assumptions!$C$25+0.06*(1-$I562))-Assumptions!$C$27)-Assumptions!$C$28)-MAX(0,($N562*(1-(Assumptions!$C$25+0.06*(1-$I562))-Assumptions!$C$27)-Assumptions!$C$28)*Assumptions!$C$31)+Assumptions!$C$28-Assumptions!$C$29-$N562*Assumptions!$C$30</f>
        <v>37.77164213</v>
      </c>
      <c r="T562" s="139">
        <f>($O562*(1-(Assumptions!$C$25+0.06*(1-$J562))-Assumptions!$C$27)-Assumptions!$C$28)-MAX(0,($O562*(1-(Assumptions!$C$25+0.06*(1-$J562))-Assumptions!$C$27)-Assumptions!$C$28)*Assumptions!$C$31)+Assumptions!$C$28-Assumptions!$C$29-$O562*Assumptions!$C$30</f>
        <v>39.82904916</v>
      </c>
      <c r="U562" s="139">
        <f>($P562*(1-(Assumptions!$C$25+0.06*(1-$K562))-Assumptions!$C$27)-Assumptions!$C$28)-MAX(0,($P562*(1-(Assumptions!$C$25+0.06*(1-$K562))-Assumptions!$C$27)-Assumptions!$C$28)*Assumptions!$C$31)+Assumptions!$C$28-Assumptions!$C$29-$P562*Assumptions!$C$30</f>
        <v>41.92093693</v>
      </c>
      <c r="V562" s="143">
        <f>(($Q562/(1+$D562)^1+$R562/(1+$D562)^2+$S562/(1+$D562)^3+$T562/(1+$D562)^4+$U562/(1+$D562)^5+$U562*(1+$E562)/($D562-$E562)/(1+$D562)^5)-Assumptions!$C$37)/Assumptions!$C$40/Assumptions!$C$38</f>
        <v>-0.8228280446</v>
      </c>
    </row>
    <row r="563" ht="12.0" customHeight="1">
      <c r="B563" s="139">
        <v>511.0</v>
      </c>
      <c r="C563" s="140">
        <f t="shared" si="6"/>
        <v>0.8569054036</v>
      </c>
      <c r="D563" s="141">
        <f t="shared" si="7"/>
        <v>0.1060403087</v>
      </c>
      <c r="E563" s="141">
        <f t="shared" si="8"/>
        <v>0.01976466312</v>
      </c>
      <c r="F563" s="140">
        <f t="shared" si="9"/>
        <v>0.6271154543</v>
      </c>
      <c r="G563" s="141">
        <f t="shared" si="10"/>
        <v>0.06409262302</v>
      </c>
      <c r="H563" s="142">
        <f t="shared" si="11"/>
        <v>0</v>
      </c>
      <c r="I563" s="142">
        <f t="shared" si="12"/>
        <v>1</v>
      </c>
      <c r="J563" s="142">
        <f t="shared" si="13"/>
        <v>0</v>
      </c>
      <c r="K563" s="142">
        <f t="shared" si="14"/>
        <v>1</v>
      </c>
      <c r="L563" s="139">
        <f>Assumptions!$C$6*Assumptions!$C$7*(1+$G563-0.05*(1-1))^1+Assumptions!$C$6*Assumptions!$C$8*(1+Assumptions!$C$11)^1+Assumptions!$C$16*1+Assumptions!$C$6*Assumptions!$C$9*(1+Assumptions!$C$12)^1</f>
        <v>748.0415769</v>
      </c>
      <c r="M563" s="139">
        <f>Assumptions!$C$6*Assumptions!$C$7*(1+$G563-0.05*(1-$H563))^2+Assumptions!$C$6*Assumptions!$C$8*(1+Assumptions!$C$11)^2+Assumptions!$C$16*$H563+Assumptions!$C$6*Assumptions!$C$9*(1+Assumptions!$C$12)^2</f>
        <v>682.6193633</v>
      </c>
      <c r="N563" s="139">
        <f>Assumptions!$C$6*Assumptions!$C$7*(1+$G563-0.05*(1-$I563))^3+Assumptions!$C$6*Assumptions!$C$8*(1+Assumptions!$C$11)^3+Assumptions!$C$16*$I563+Assumptions!$C$6*Assumptions!$C$9*(1+Assumptions!$C$12)^3</f>
        <v>808.7521406</v>
      </c>
      <c r="O563" s="139">
        <f>Assumptions!$C$6*Assumptions!$C$7*(1+$G563-0.05*(1-$J563))^4+Assumptions!$C$6*Assumptions!$C$8*(1+Assumptions!$C$11)^4+Assumptions!$C$16*$J563+Assumptions!$C$6*Assumptions!$C$9*(1+Assumptions!$C$12)^4</f>
        <v>706.0377464</v>
      </c>
      <c r="P563" s="139">
        <f>Assumptions!$C$6*Assumptions!$C$7*(1+$G563-0.05*(1-$K563))^5+Assumptions!$C$6*Assumptions!$C$8*(1+Assumptions!$C$11)^5+Assumptions!$C$16*$K563+Assumptions!$C$6*Assumptions!$C$9*(1+Assumptions!$C$12)^5</f>
        <v>876.2696648</v>
      </c>
      <c r="Q563" s="139">
        <f>($L563*(1-(Assumptions!$C$25+0.06*(1-1))-Assumptions!$C$27)-Assumptions!$C$28)-MAX(0,($L563*(1-(Assumptions!$C$25+0.06*(1-1))-Assumptions!$C$27)-Assumptions!$C$28)*Assumptions!$C$31)+Assumptions!$C$28-Assumptions!$C$29-$L563*Assumptions!$C$30</f>
        <v>93.32893903</v>
      </c>
      <c r="R563" s="139">
        <f>($M563*(1-(Assumptions!$C$25+0.06*(1-$H563))-Assumptions!$C$27)-Assumptions!$C$28)-MAX(0,($M563*(1-(Assumptions!$C$25+0.06*(1-$H563))-Assumptions!$C$27)-Assumptions!$C$28)*Assumptions!$C$31)+Assumptions!$C$28-Assumptions!$C$29-$M563*Assumptions!$C$30</f>
        <v>37.00245355</v>
      </c>
      <c r="S563" s="139">
        <f>($N563*(1-(Assumptions!$C$25+0.06*(1-$I563))-Assumptions!$C$27)-Assumptions!$C$28)-MAX(0,($N563*(1-(Assumptions!$C$25+0.06*(1-$I563))-Assumptions!$C$27)-Assumptions!$C$28)*Assumptions!$C$31)+Assumptions!$C$28-Assumptions!$C$29-$N563*Assumptions!$C$30</f>
        <v>106.3817102</v>
      </c>
      <c r="T563" s="139">
        <f>($O563*(1-(Assumptions!$C$25+0.06*(1-$J563))-Assumptions!$C$27)-Assumptions!$C$28)-MAX(0,($O563*(1-(Assumptions!$C$25+0.06*(1-$J563))-Assumptions!$C$27)-Assumptions!$C$28)*Assumptions!$C$31)+Assumptions!$C$28-Assumptions!$C$29-$O563*Assumptions!$C$30</f>
        <v>42.38868168</v>
      </c>
      <c r="U563" s="139">
        <f>($P563*(1-(Assumptions!$C$25+0.06*(1-$K563))-Assumptions!$C$27)-Assumptions!$C$28)-MAX(0,($P563*(1-(Assumptions!$C$25+0.06*(1-$K563))-Assumptions!$C$27)-Assumptions!$C$28)*Assumptions!$C$31)+Assumptions!$C$28-Assumptions!$C$29-$P563*Assumptions!$C$30</f>
        <v>120.8979779</v>
      </c>
      <c r="V563" s="143">
        <f>(($Q563/(1+$D563)^1+$R563/(1+$D563)^2+$S563/(1+$D563)^3+$T563/(1+$D563)^4+$U563/(1+$D563)^5+$U563*(1+$E563)/($D563-$E563)/(1+$D563)^5)-Assumptions!$C$37)/Assumptions!$C$40/Assumptions!$C$38</f>
        <v>3.638567837</v>
      </c>
    </row>
    <row r="564" ht="12.0" customHeight="1">
      <c r="B564" s="139">
        <v>512.0</v>
      </c>
      <c r="C564" s="140">
        <f t="shared" si="6"/>
        <v>0.222040356</v>
      </c>
      <c r="D564" s="141">
        <f t="shared" si="7"/>
        <v>0.09367592535</v>
      </c>
      <c r="E564" s="141">
        <f t="shared" si="8"/>
        <v>0.02247533641</v>
      </c>
      <c r="F564" s="140">
        <f t="shared" si="9"/>
        <v>0.7309392494</v>
      </c>
      <c r="G564" s="141">
        <f t="shared" si="10"/>
        <v>0.06799297042</v>
      </c>
      <c r="H564" s="142">
        <f t="shared" si="11"/>
        <v>0</v>
      </c>
      <c r="I564" s="142">
        <f t="shared" si="12"/>
        <v>0</v>
      </c>
      <c r="J564" s="142">
        <f t="shared" si="13"/>
        <v>1</v>
      </c>
      <c r="K564" s="142">
        <f t="shared" si="14"/>
        <v>0</v>
      </c>
      <c r="L564" s="139">
        <f>Assumptions!$C$6*Assumptions!$C$7*(1+$G564-0.05*(1-1))^1+Assumptions!$C$6*Assumptions!$C$8*(1+Assumptions!$C$11)^1+Assumptions!$C$16*1+Assumptions!$C$6*Assumptions!$C$9*(1+Assumptions!$C$12)^1</f>
        <v>749.3544338</v>
      </c>
      <c r="M564" s="139">
        <f>Assumptions!$C$6*Assumptions!$C$7*(1+$G564-0.05*(1-$H564))^2+Assumptions!$C$6*Assumptions!$C$8*(1+Assumptions!$C$11)^2+Assumptions!$C$16*$H564+Assumptions!$C$6*Assumptions!$C$9*(1+Assumptions!$C$12)^2</f>
        <v>685.2872009</v>
      </c>
      <c r="N564" s="139">
        <f>Assumptions!$C$6*Assumptions!$C$7*(1+$G564-0.05*(1-$I564))^3+Assumptions!$C$6*Assumptions!$C$8*(1+Assumptions!$C$11)^3+Assumptions!$C$16*$I564+Assumptions!$C$6*Assumptions!$C$9*(1+Assumptions!$C$12)^3</f>
        <v>698.2928492</v>
      </c>
      <c r="O564" s="139">
        <f>Assumptions!$C$6*Assumptions!$C$7*(1+$G564-0.05*(1-$J564))^4+Assumptions!$C$6*Assumptions!$C$8*(1+Assumptions!$C$11)^4+Assumptions!$C$16*$J564+Assumptions!$C$6*Assumptions!$C$9*(1+Assumptions!$C$12)^4</f>
        <v>847.9714096</v>
      </c>
      <c r="P564" s="139">
        <f>Assumptions!$C$6*Assumptions!$C$7*(1+$G564-0.05*(1-$K564))^5+Assumptions!$C$6*Assumptions!$C$8*(1+Assumptions!$C$11)^5+Assumptions!$C$16*$K564+Assumptions!$C$6*Assumptions!$C$9*(1+Assumptions!$C$12)^5</f>
        <v>725.0514179</v>
      </c>
      <c r="Q564" s="139">
        <f>($L564*(1-(Assumptions!$C$25+0.06*(1-1))-Assumptions!$C$27)-Assumptions!$C$28)-MAX(0,($L564*(1-(Assumptions!$C$25+0.06*(1-1))-Assumptions!$C$27)-Assumptions!$C$28)*Assumptions!$C$31)+Assumptions!$C$28-Assumptions!$C$29-$L564*Assumptions!$C$30</f>
        <v>93.61120328</v>
      </c>
      <c r="R564" s="139">
        <f>($M564*(1-(Assumptions!$C$25+0.06*(1-$H564))-Assumptions!$C$27)-Assumptions!$C$28)-MAX(0,($M564*(1-(Assumptions!$C$25+0.06*(1-$H564))-Assumptions!$C$27)-Assumptions!$C$28)*Assumptions!$C$31)+Assumptions!$C$28-Assumptions!$C$29-$M564*Assumptions!$C$30</f>
        <v>37.61605621</v>
      </c>
      <c r="S564" s="139">
        <f>($N564*(1-(Assumptions!$C$25+0.06*(1-$I564))-Assumptions!$C$27)-Assumptions!$C$28)-MAX(0,($N564*(1-(Assumptions!$C$25+0.06*(1-$I564))-Assumptions!$C$27)-Assumptions!$C$28)*Assumptions!$C$31)+Assumptions!$C$28-Assumptions!$C$29-$N564*Assumptions!$C$30</f>
        <v>40.60735531</v>
      </c>
      <c r="T564" s="139">
        <f>($O564*(1-(Assumptions!$C$25+0.06*(1-$J564))-Assumptions!$C$27)-Assumptions!$C$28)-MAX(0,($O564*(1-(Assumptions!$C$25+0.06*(1-$J564))-Assumptions!$C$27)-Assumptions!$C$28)*Assumptions!$C$31)+Assumptions!$C$28-Assumptions!$C$29-$O564*Assumptions!$C$30</f>
        <v>114.8138531</v>
      </c>
      <c r="U564" s="139">
        <f>($P564*(1-(Assumptions!$C$25+0.06*(1-$K564))-Assumptions!$C$27)-Assumptions!$C$28)-MAX(0,($P564*(1-(Assumptions!$C$25+0.06*(1-$K564))-Assumptions!$C$27)-Assumptions!$C$28)*Assumptions!$C$31)+Assumptions!$C$28-Assumptions!$C$29-$P564*Assumptions!$C$30</f>
        <v>46.76182611</v>
      </c>
      <c r="V564" s="143">
        <f>(($Q564/(1+$D564)^1+$R564/(1+$D564)^2+$S564/(1+$D564)^3+$T564/(1+$D564)^4+$U564/(1+$D564)^5+$U564*(1+$E564)/($D564-$E564)/(1+$D564)^5)-Assumptions!$C$37)/Assumptions!$C$40/Assumptions!$C$38</f>
        <v>-0.0337559338</v>
      </c>
    </row>
    <row r="565" ht="12.0" customHeight="1">
      <c r="B565" s="139">
        <v>513.0</v>
      </c>
      <c r="C565" s="140">
        <f t="shared" si="6"/>
        <v>0.6184446491</v>
      </c>
      <c r="D565" s="141">
        <f t="shared" si="7"/>
        <v>0.1003694651</v>
      </c>
      <c r="E565" s="141">
        <f t="shared" si="8"/>
        <v>0.01631744541</v>
      </c>
      <c r="F565" s="140">
        <f t="shared" si="9"/>
        <v>0.4890368154</v>
      </c>
      <c r="G565" s="141">
        <f t="shared" si="10"/>
        <v>0.05966928155</v>
      </c>
      <c r="H565" s="142">
        <f t="shared" si="11"/>
        <v>0</v>
      </c>
      <c r="I565" s="142">
        <f t="shared" si="12"/>
        <v>0</v>
      </c>
      <c r="J565" s="142">
        <f t="shared" si="13"/>
        <v>0</v>
      </c>
      <c r="K565" s="142">
        <f t="shared" si="14"/>
        <v>0</v>
      </c>
      <c r="L565" s="139">
        <f>Assumptions!$C$6*Assumptions!$C$7*(1+$G565-0.05*(1-1))^1+Assumptions!$C$6*Assumptions!$C$8*(1+Assumptions!$C$11)^1+Assumptions!$C$16*1+Assumptions!$C$6*Assumptions!$C$9*(1+Assumptions!$C$12)^1</f>
        <v>746.5526802</v>
      </c>
      <c r="M565" s="139">
        <f>Assumptions!$C$6*Assumptions!$C$7*(1+$G565-0.05*(1-$H565))^2+Assumptions!$C$6*Assumptions!$C$8*(1+Assumptions!$C$11)^2+Assumptions!$C$16*$H565+Assumptions!$C$6*Assumptions!$C$9*(1+Assumptions!$C$12)^2</f>
        <v>679.6061908</v>
      </c>
      <c r="N565" s="139">
        <f>Assumptions!$C$6*Assumptions!$C$7*(1+$G565-0.05*(1-$I565))^3+Assumptions!$C$6*Assumptions!$C$8*(1+Assumptions!$C$11)^3+Assumptions!$C$16*$I565+Assumptions!$C$6*Assumptions!$C$9*(1+Assumptions!$C$12)^3</f>
        <v>689.6534233</v>
      </c>
      <c r="O565" s="139">
        <f>Assumptions!$C$6*Assumptions!$C$7*(1+$G565-0.05*(1-$J565))^4+Assumptions!$C$6*Assumptions!$C$8*(1+Assumptions!$C$11)^4+Assumptions!$C$16*$J565+Assumptions!$C$6*Assumptions!$C$9*(1+Assumptions!$C$12)^4</f>
        <v>699.8673239</v>
      </c>
      <c r="P565" s="139">
        <f>Assumptions!$C$6*Assumptions!$C$7*(1+$G565-0.05*(1-$K565))^5+Assumptions!$C$6*Assumptions!$C$8*(1+Assumptions!$C$11)^5+Assumptions!$C$16*$K565+Assumptions!$C$6*Assumptions!$C$9*(1+Assumptions!$C$12)^5</f>
        <v>710.2508945</v>
      </c>
      <c r="Q565" s="139">
        <f>($L565*(1-(Assumptions!$C$25+0.06*(1-1))-Assumptions!$C$27)-Assumptions!$C$28)-MAX(0,($L565*(1-(Assumptions!$C$25+0.06*(1-1))-Assumptions!$C$27)-Assumptions!$C$28)*Assumptions!$C$31)+Assumptions!$C$28-Assumptions!$C$29-$L565*Assumptions!$C$30</f>
        <v>93.00882624</v>
      </c>
      <c r="R565" s="139">
        <f>($M565*(1-(Assumptions!$C$25+0.06*(1-$H565))-Assumptions!$C$27)-Assumptions!$C$28)-MAX(0,($M565*(1-(Assumptions!$C$25+0.06*(1-$H565))-Assumptions!$C$27)-Assumptions!$C$28)*Assumptions!$C$31)+Assumptions!$C$28-Assumptions!$C$29-$M565*Assumptions!$C$30</f>
        <v>36.30942387</v>
      </c>
      <c r="S565" s="139">
        <f>($N565*(1-(Assumptions!$C$25+0.06*(1-$I565))-Assumptions!$C$27)-Assumptions!$C$28)-MAX(0,($N565*(1-(Assumptions!$C$25+0.06*(1-$I565))-Assumptions!$C$27)-Assumptions!$C$28)*Assumptions!$C$31)+Assumptions!$C$28-Assumptions!$C$29-$N565*Assumptions!$C$30</f>
        <v>38.62028735</v>
      </c>
      <c r="T565" s="139">
        <f>($O565*(1-(Assumptions!$C$25+0.06*(1-$J565))-Assumptions!$C$27)-Assumptions!$C$28)-MAX(0,($O565*(1-(Assumptions!$C$25+0.06*(1-$J565))-Assumptions!$C$27)-Assumptions!$C$28)*Assumptions!$C$31)+Assumptions!$C$28-Assumptions!$C$29-$O565*Assumptions!$C$30</f>
        <v>40.96948449</v>
      </c>
      <c r="U565" s="139">
        <f>($P565*(1-(Assumptions!$C$25+0.06*(1-$K565))-Assumptions!$C$27)-Assumptions!$C$28)-MAX(0,($P565*(1-(Assumptions!$C$25+0.06*(1-$K565))-Assumptions!$C$27)-Assumptions!$C$28)*Assumptions!$C$31)+Assumptions!$C$28-Assumptions!$C$29-$P565*Assumptions!$C$30</f>
        <v>43.35770573</v>
      </c>
      <c r="V565" s="143">
        <f>(($Q565/(1+$D565)^1+$R565/(1+$D565)^2+$S565/(1+$D565)^3+$T565/(1+$D565)^4+$U565/(1+$D565)^5+$U565*(1+$E565)/($D565-$E565)/(1+$D565)^5)-Assumptions!$C$37)/Assumptions!$C$40/Assumptions!$C$38</f>
        <v>-1.314188492</v>
      </c>
    </row>
    <row r="566" ht="12.0" customHeight="1">
      <c r="B566" s="139">
        <v>514.0</v>
      </c>
      <c r="C566" s="140">
        <f t="shared" si="6"/>
        <v>0.481805033</v>
      </c>
      <c r="D566" s="141">
        <f t="shared" si="7"/>
        <v>0.097949857</v>
      </c>
      <c r="E566" s="141">
        <f t="shared" si="8"/>
        <v>0.01738460685</v>
      </c>
      <c r="F566" s="140">
        <f t="shared" si="9"/>
        <v>0.8081438467</v>
      </c>
      <c r="G566" s="141">
        <f t="shared" si="10"/>
        <v>0.07141664519</v>
      </c>
      <c r="H566" s="142">
        <f t="shared" si="11"/>
        <v>1</v>
      </c>
      <c r="I566" s="142">
        <f t="shared" si="12"/>
        <v>1</v>
      </c>
      <c r="J566" s="142">
        <f t="shared" si="13"/>
        <v>1</v>
      </c>
      <c r="K566" s="142">
        <f t="shared" si="14"/>
        <v>0</v>
      </c>
      <c r="L566" s="139">
        <f>Assumptions!$C$6*Assumptions!$C$7*(1+$G566-0.05*(1-1))^1+Assumptions!$C$6*Assumptions!$C$8*(1+Assumptions!$C$11)^1+Assumptions!$C$16*1+Assumptions!$C$6*Assumptions!$C$9*(1+Assumptions!$C$12)^1</f>
        <v>750.5068428</v>
      </c>
      <c r="M566" s="139">
        <f>Assumptions!$C$6*Assumptions!$C$7*(1+$G566-0.05*(1-$H566))^2+Assumptions!$C$6*Assumptions!$C$8*(1+Assumptions!$C$11)^2+Assumptions!$C$16*$H566+Assumptions!$C$6*Assumptions!$C$9*(1+Assumptions!$C$12)^2</f>
        <v>782.859819</v>
      </c>
      <c r="N566" s="139">
        <f>Assumptions!$C$6*Assumptions!$C$7*(1+$G566-0.05*(1-$I566))^3+Assumptions!$C$6*Assumptions!$C$8*(1+Assumptions!$C$11)^3+Assumptions!$C$16*$I566+Assumptions!$C$6*Assumptions!$C$9*(1+Assumptions!$C$12)^3</f>
        <v>817.1841222</v>
      </c>
      <c r="O566" s="139">
        <f>Assumptions!$C$6*Assumptions!$C$7*(1+$G566-0.05*(1-$J566))^4+Assumptions!$C$6*Assumptions!$C$8*(1+Assumptions!$C$11)^4+Assumptions!$C$16*$J566+Assumptions!$C$6*Assumptions!$C$9*(1+Assumptions!$C$12)^4</f>
        <v>853.6137536</v>
      </c>
      <c r="P566" s="139">
        <f>Assumptions!$C$6*Assumptions!$C$7*(1+$G566-0.05*(1-$K566))^5+Assumptions!$C$6*Assumptions!$C$8*(1+Assumptions!$C$11)^5+Assumptions!$C$16*$K566+Assumptions!$C$6*Assumptions!$C$9*(1+Assumptions!$C$12)^5</f>
        <v>731.2812585</v>
      </c>
      <c r="Q566" s="139">
        <f>($L566*(1-(Assumptions!$C$25+0.06*(1-1))-Assumptions!$C$27)-Assumptions!$C$28)-MAX(0,($L566*(1-(Assumptions!$C$25+0.06*(1-1))-Assumptions!$C$27)-Assumptions!$C$28)*Assumptions!$C$31)+Assumptions!$C$28-Assumptions!$C$29-$L566*Assumptions!$C$30</f>
        <v>93.8589712</v>
      </c>
      <c r="R566" s="139">
        <f>($M566*(1-(Assumptions!$C$25+0.06*(1-$H566))-Assumptions!$C$27)-Assumptions!$C$28)-MAX(0,($M566*(1-(Assumptions!$C$25+0.06*(1-$H566))-Assumptions!$C$27)-Assumptions!$C$28)*Assumptions!$C$31)+Assumptions!$C$28-Assumptions!$C$29-$M566*Assumptions!$C$30</f>
        <v>100.8148611</v>
      </c>
      <c r="S566" s="139">
        <f>($N566*(1-(Assumptions!$C$25+0.06*(1-$I566))-Assumptions!$C$27)-Assumptions!$C$28)-MAX(0,($N566*(1-(Assumptions!$C$25+0.06*(1-$I566))-Assumptions!$C$27)-Assumptions!$C$28)*Assumptions!$C$31)+Assumptions!$C$28-Assumptions!$C$29-$N566*Assumptions!$C$30</f>
        <v>108.1945863</v>
      </c>
      <c r="T566" s="139">
        <f>($O566*(1-(Assumptions!$C$25+0.06*(1-$J566))-Assumptions!$C$27)-Assumptions!$C$28)-MAX(0,($O566*(1-(Assumptions!$C$25+0.06*(1-$J566))-Assumptions!$C$27)-Assumptions!$C$28)*Assumptions!$C$31)+Assumptions!$C$28-Assumptions!$C$29-$O566*Assumptions!$C$30</f>
        <v>116.026957</v>
      </c>
      <c r="U566" s="139">
        <f>($P566*(1-(Assumptions!$C$25+0.06*(1-$K566))-Assumptions!$C$27)-Assumptions!$C$28)-MAX(0,($P566*(1-(Assumptions!$C$25+0.06*(1-$K566))-Assumptions!$C$27)-Assumptions!$C$28)*Assumptions!$C$31)+Assumptions!$C$28-Assumptions!$C$29-$P566*Assumptions!$C$30</f>
        <v>48.19468945</v>
      </c>
      <c r="V566" s="143">
        <f>(($Q566/(1+$D566)^1+$R566/(1+$D566)^2+$S566/(1+$D566)^3+$T566/(1+$D566)^4+$U566/(1+$D566)^5+$U566*(1+$E566)/($D566-$E566)/(1+$D566)^5)-Assumptions!$C$37)/Assumptions!$C$40/Assumptions!$C$38</f>
        <v>0.3952297242</v>
      </c>
    </row>
    <row r="567" ht="12.0" customHeight="1">
      <c r="B567" s="139">
        <v>515.0</v>
      </c>
      <c r="C567" s="140">
        <f t="shared" si="6"/>
        <v>0.7282652904</v>
      </c>
      <c r="D567" s="141">
        <f t="shared" si="7"/>
        <v>0.1026532121</v>
      </c>
      <c r="E567" s="141">
        <f t="shared" si="8"/>
        <v>0.01004674288</v>
      </c>
      <c r="F567" s="140">
        <f t="shared" si="9"/>
        <v>0.09364714765</v>
      </c>
      <c r="G567" s="141">
        <f t="shared" si="10"/>
        <v>0.04298325328</v>
      </c>
      <c r="H567" s="142">
        <f t="shared" si="11"/>
        <v>1</v>
      </c>
      <c r="I567" s="142">
        <f t="shared" si="12"/>
        <v>1</v>
      </c>
      <c r="J567" s="142">
        <f t="shared" si="13"/>
        <v>0</v>
      </c>
      <c r="K567" s="142">
        <f t="shared" si="14"/>
        <v>1</v>
      </c>
      <c r="L567" s="139">
        <f>Assumptions!$C$6*Assumptions!$C$7*(1+$G567-0.05*(1-1))^1+Assumptions!$C$6*Assumptions!$C$8*(1+Assumptions!$C$11)^1+Assumptions!$C$16*1+Assumptions!$C$6*Assumptions!$C$9*(1+Assumptions!$C$12)^1</f>
        <v>740.9361631</v>
      </c>
      <c r="M567" s="139">
        <f>Assumptions!$C$6*Assumptions!$C$7*(1+$G567-0.05*(1-$H567))^2+Assumptions!$C$6*Assumptions!$C$8*(1+Assumptions!$C$11)^2+Assumptions!$C$16*$H567+Assumptions!$C$6*Assumptions!$C$9*(1+Assumptions!$C$12)^2</f>
        <v>762.6235748</v>
      </c>
      <c r="N567" s="139">
        <f>Assumptions!$C$6*Assumptions!$C$7*(1+$G567-0.05*(1-$I567))^3+Assumptions!$C$6*Assumptions!$C$8*(1+Assumptions!$C$11)^3+Assumptions!$C$16*$I567+Assumptions!$C$6*Assumptions!$C$9*(1+Assumptions!$C$12)^3</f>
        <v>785.0915533</v>
      </c>
      <c r="O567" s="139">
        <f>Assumptions!$C$6*Assumptions!$C$7*(1+$G567-0.05*(1-$J567))^4+Assumptions!$C$6*Assumptions!$C$8*(1+Assumptions!$C$11)^4+Assumptions!$C$16*$J567+Assumptions!$C$6*Assumptions!$C$9*(1+Assumptions!$C$12)^4</f>
        <v>677.3101829</v>
      </c>
      <c r="P567" s="139">
        <f>Assumptions!$C$6*Assumptions!$C$7*(1+$G567-0.05*(1-$K567))^5+Assumptions!$C$6*Assumptions!$C$8*(1+Assumptions!$C$11)^5+Assumptions!$C$16*$K567+Assumptions!$C$6*Assumptions!$C$9*(1+Assumptions!$C$12)^5</f>
        <v>832.4925365</v>
      </c>
      <c r="Q567" s="139">
        <f>($L567*(1-(Assumptions!$C$25+0.06*(1-1))-Assumptions!$C$27)-Assumptions!$C$28)-MAX(0,($L567*(1-(Assumptions!$C$25+0.06*(1-1))-Assumptions!$C$27)-Assumptions!$C$28)*Assumptions!$C$31)+Assumptions!$C$28-Assumptions!$C$29-$L567*Assumptions!$C$30</f>
        <v>91.80127506</v>
      </c>
      <c r="R567" s="139">
        <f>($M567*(1-(Assumptions!$C$25+0.06*(1-$H567))-Assumptions!$C$27)-Assumptions!$C$28)-MAX(0,($M567*(1-(Assumptions!$C$25+0.06*(1-$H567))-Assumptions!$C$27)-Assumptions!$C$28)*Assumptions!$C$31)+Assumptions!$C$28-Assumptions!$C$29-$M567*Assumptions!$C$30</f>
        <v>96.46406859</v>
      </c>
      <c r="S567" s="139">
        <f>($N567*(1-(Assumptions!$C$25+0.06*(1-$I567))-Assumptions!$C$27)-Assumptions!$C$28)-MAX(0,($N567*(1-(Assumptions!$C$25+0.06*(1-$I567))-Assumptions!$C$27)-Assumptions!$C$28)*Assumptions!$C$31)+Assumptions!$C$28-Assumptions!$C$29-$N567*Assumptions!$C$30</f>
        <v>101.294684</v>
      </c>
      <c r="T567" s="139">
        <f>($O567*(1-(Assumptions!$C$25+0.06*(1-$J567))-Assumptions!$C$27)-Assumptions!$C$28)-MAX(0,($O567*(1-(Assumptions!$C$25+0.06*(1-$J567))-Assumptions!$C$27)-Assumptions!$C$28)*Assumptions!$C$31)+Assumptions!$C$28-Assumptions!$C$29-$O567*Assumptions!$C$30</f>
        <v>35.78134207</v>
      </c>
      <c r="U567" s="139">
        <f>($P567*(1-(Assumptions!$C$25+0.06*(1-$K567))-Assumptions!$C$27)-Assumptions!$C$28)-MAX(0,($P567*(1-(Assumptions!$C$25+0.06*(1-$K567))-Assumptions!$C$27)-Assumptions!$C$28)*Assumptions!$C$31)+Assumptions!$C$28-Assumptions!$C$29-$P567*Assumptions!$C$30</f>
        <v>111.4858953</v>
      </c>
      <c r="V567" s="143">
        <f>(($Q567/(1+$D567)^1+$R567/(1+$D567)^2+$S567/(1+$D567)^3+$T567/(1+$D567)^4+$U567/(1+$D567)^5+$U567*(1+$E567)/($D567-$E567)/(1+$D567)^5)-Assumptions!$C$37)/Assumptions!$C$40/Assumptions!$C$38</f>
        <v>3.004736543</v>
      </c>
    </row>
    <row r="568" ht="12.0" customHeight="1">
      <c r="B568" s="139">
        <v>516.0</v>
      </c>
      <c r="C568" s="140">
        <f t="shared" si="6"/>
        <v>0.717731793</v>
      </c>
      <c r="D568" s="141">
        <f t="shared" si="7"/>
        <v>0.1024161824</v>
      </c>
      <c r="E568" s="141">
        <f t="shared" si="8"/>
        <v>0.02116452077</v>
      </c>
      <c r="F568" s="140">
        <f t="shared" si="9"/>
        <v>0.08745557575</v>
      </c>
      <c r="G568" s="141">
        <f t="shared" si="10"/>
        <v>0.04254671417</v>
      </c>
      <c r="H568" s="142">
        <f t="shared" si="11"/>
        <v>0</v>
      </c>
      <c r="I568" s="142">
        <f t="shared" si="12"/>
        <v>0</v>
      </c>
      <c r="J568" s="142">
        <f t="shared" si="13"/>
        <v>1</v>
      </c>
      <c r="K568" s="142">
        <f t="shared" si="14"/>
        <v>0</v>
      </c>
      <c r="L568" s="139">
        <f>Assumptions!$C$6*Assumptions!$C$7*(1+$G568-0.05*(1-1))^1+Assumptions!$C$6*Assumptions!$C$8*(1+Assumptions!$C$11)^1+Assumptions!$C$16*1+Assumptions!$C$6*Assumptions!$C$9*(1+Assumptions!$C$12)^1</f>
        <v>740.789224</v>
      </c>
      <c r="M568" s="139">
        <f>Assumptions!$C$6*Assumptions!$C$7*(1+$G568-0.05*(1-$H568))^2+Assumptions!$C$6*Assumptions!$C$8*(1+Assumptions!$C$11)^2+Assumptions!$C$16*$H568+Assumptions!$C$6*Assumptions!$C$9*(1+Assumptions!$C$12)^2</f>
        <v>668.0665066</v>
      </c>
      <c r="N568" s="139">
        <f>Assumptions!$C$6*Assumptions!$C$7*(1+$G568-0.05*(1-$I568))^3+Assumptions!$C$6*Assumptions!$C$8*(1+Assumptions!$C$11)^3+Assumptions!$C$16*$I568+Assumptions!$C$6*Assumptions!$C$9*(1+Assumptions!$C$12)^3</f>
        <v>672.3242957</v>
      </c>
      <c r="O568" s="139">
        <f>Assumptions!$C$6*Assumptions!$C$7*(1+$G568-0.05*(1-$J568))^4+Assumptions!$C$6*Assumptions!$C$8*(1+Assumptions!$C$11)^4+Assumptions!$C$16*$J568+Assumptions!$C$6*Assumptions!$C$9*(1+Assumptions!$C$12)^4</f>
        <v>807.7041841</v>
      </c>
      <c r="P568" s="139">
        <f>Assumptions!$C$6*Assumptions!$C$7*(1+$G568-0.05*(1-$K568))^5+Assumptions!$C$6*Assumptions!$C$8*(1+Assumptions!$C$11)^5+Assumptions!$C$16*$K568+Assumptions!$C$6*Assumptions!$C$9*(1+Assumptions!$C$12)^5</f>
        <v>681.3014495</v>
      </c>
      <c r="Q568" s="139">
        <f>($L568*(1-(Assumptions!$C$25+0.06*(1-1))-Assumptions!$C$27)-Assumptions!$C$28)-MAX(0,($L568*(1-(Assumptions!$C$25+0.06*(1-1))-Assumptions!$C$27)-Assumptions!$C$28)*Assumptions!$C$31)+Assumptions!$C$28-Assumptions!$C$29-$L568*Assumptions!$C$30</f>
        <v>91.76968316</v>
      </c>
      <c r="R568" s="139">
        <f>($M568*(1-(Assumptions!$C$25+0.06*(1-$H568))-Assumptions!$C$27)-Assumptions!$C$28)-MAX(0,($M568*(1-(Assumptions!$C$25+0.06*(1-$H568))-Assumptions!$C$27)-Assumptions!$C$28)*Assumptions!$C$31)+Assumptions!$C$28-Assumptions!$C$29-$M568*Assumptions!$C$30</f>
        <v>33.65529652</v>
      </c>
      <c r="S568" s="139">
        <f>($N568*(1-(Assumptions!$C$25+0.06*(1-$I568))-Assumptions!$C$27)-Assumptions!$C$28)-MAX(0,($N568*(1-(Assumptions!$C$25+0.06*(1-$I568))-Assumptions!$C$27)-Assumptions!$C$28)*Assumptions!$C$31)+Assumptions!$C$28-Assumptions!$C$29-$N568*Assumptions!$C$30</f>
        <v>34.634588</v>
      </c>
      <c r="T568" s="139">
        <f>($O568*(1-(Assumptions!$C$25+0.06*(1-$J568))-Assumptions!$C$27)-Assumptions!$C$28)-MAX(0,($O568*(1-(Assumptions!$C$25+0.06*(1-$J568))-Assumptions!$C$27)-Assumptions!$C$28)*Assumptions!$C$31)+Assumptions!$C$28-Assumptions!$C$29-$O568*Assumptions!$C$30</f>
        <v>106.1563996</v>
      </c>
      <c r="U568" s="139">
        <f>($P568*(1-(Assumptions!$C$25+0.06*(1-$K568))-Assumptions!$C$27)-Assumptions!$C$28)-MAX(0,($P568*(1-(Assumptions!$C$25+0.06*(1-$K568))-Assumptions!$C$27)-Assumptions!$C$28)*Assumptions!$C$31)+Assumptions!$C$28-Assumptions!$C$29-$P568*Assumptions!$C$30</f>
        <v>36.69933338</v>
      </c>
      <c r="V568" s="143">
        <f>(($Q568/(1+$D568)^1+$R568/(1+$D568)^2+$S568/(1+$D568)^3+$T568/(1+$D568)^4+$U568/(1+$D568)^5+$U568*(1+$E568)/($D568-$E568)/(1+$D568)^5)-Assumptions!$C$37)/Assumptions!$C$40/Assumptions!$C$38</f>
        <v>-1.383140337</v>
      </c>
    </row>
    <row r="569" ht="12.0" customHeight="1">
      <c r="B569" s="139">
        <v>517.0</v>
      </c>
      <c r="C569" s="140">
        <f t="shared" si="6"/>
        <v>0.791183263</v>
      </c>
      <c r="D569" s="141">
        <f t="shared" si="7"/>
        <v>0.1041765907</v>
      </c>
      <c r="E569" s="141">
        <f t="shared" si="8"/>
        <v>0.02710497497</v>
      </c>
      <c r="F569" s="140">
        <f t="shared" si="9"/>
        <v>0.7699727381</v>
      </c>
      <c r="G569" s="141">
        <f t="shared" si="10"/>
        <v>0.06965180422</v>
      </c>
      <c r="H569" s="142">
        <f t="shared" si="11"/>
        <v>0</v>
      </c>
      <c r="I569" s="142">
        <f t="shared" si="12"/>
        <v>0</v>
      </c>
      <c r="J569" s="142">
        <f t="shared" si="13"/>
        <v>1</v>
      </c>
      <c r="K569" s="142">
        <f t="shared" si="14"/>
        <v>0</v>
      </c>
      <c r="L569" s="139">
        <f>Assumptions!$C$6*Assumptions!$C$7*(1+$G569-0.05*(1-1))^1+Assumptions!$C$6*Assumptions!$C$8*(1+Assumptions!$C$11)^1+Assumptions!$C$16*1+Assumptions!$C$6*Assumptions!$C$9*(1+Assumptions!$C$12)^1</f>
        <v>749.9127973</v>
      </c>
      <c r="M569" s="139">
        <f>Assumptions!$C$6*Assumptions!$C$7*(1+$G569-0.05*(1-$H569))^2+Assumptions!$C$6*Assumptions!$C$8*(1+Assumptions!$C$11)^2+Assumptions!$C$16*$H569+Assumptions!$C$6*Assumptions!$C$9*(1+Assumptions!$C$12)^2</f>
        <v>686.4249473</v>
      </c>
      <c r="N569" s="139">
        <f>Assumptions!$C$6*Assumptions!$C$7*(1+$G569-0.05*(1-$I569))^3+Assumptions!$C$6*Assumptions!$C$8*(1+Assumptions!$C$11)^3+Assumptions!$C$16*$I569+Assumptions!$C$6*Assumptions!$C$9*(1+Assumptions!$C$12)^3</f>
        <v>700.0315918</v>
      </c>
      <c r="O569" s="139">
        <f>Assumptions!$C$6*Assumptions!$C$7*(1+$G569-0.05*(1-$J569))^4+Assumptions!$C$6*Assumptions!$C$8*(1+Assumptions!$C$11)^4+Assumptions!$C$16*$J569+Assumptions!$C$6*Assumptions!$C$9*(1+Assumptions!$C$12)^4</f>
        <v>850.6984644</v>
      </c>
      <c r="P569" s="139">
        <f>Assumptions!$C$6*Assumptions!$C$7*(1+$G569-0.05*(1-$K569))^5+Assumptions!$C$6*Assumptions!$C$8*(1+Assumptions!$C$11)^5+Assumptions!$C$16*$K569+Assumptions!$C$6*Assumptions!$C$9*(1+Assumptions!$C$12)^5</f>
        <v>728.0594432</v>
      </c>
      <c r="Q569" s="139">
        <f>($L569*(1-(Assumptions!$C$25+0.06*(1-1))-Assumptions!$C$27)-Assumptions!$C$28)-MAX(0,($L569*(1-(Assumptions!$C$25+0.06*(1-1))-Assumptions!$C$27)-Assumptions!$C$28)*Assumptions!$C$31)+Assumptions!$C$28-Assumptions!$C$29-$L569*Assumptions!$C$30</f>
        <v>93.73125142</v>
      </c>
      <c r="R569" s="139">
        <f>($M569*(1-(Assumptions!$C$25+0.06*(1-$H569))-Assumptions!$C$27)-Assumptions!$C$28)-MAX(0,($M569*(1-(Assumptions!$C$25+0.06*(1-$H569))-Assumptions!$C$27)-Assumptions!$C$28)*Assumptions!$C$31)+Assumptions!$C$28-Assumptions!$C$29-$M569*Assumptions!$C$30</f>
        <v>37.87773788</v>
      </c>
      <c r="S569" s="139">
        <f>($N569*(1-(Assumptions!$C$25+0.06*(1-$I569))-Assumptions!$C$27)-Assumptions!$C$28)-MAX(0,($N569*(1-(Assumptions!$C$25+0.06*(1-$I569))-Assumptions!$C$27)-Assumptions!$C$28)*Assumptions!$C$31)+Assumptions!$C$28-Assumptions!$C$29-$N569*Assumptions!$C$30</f>
        <v>41.00726611</v>
      </c>
      <c r="T569" s="139">
        <f>($O569*(1-(Assumptions!$C$25+0.06*(1-$J569))-Assumptions!$C$27)-Assumptions!$C$28)-MAX(0,($O569*(1-(Assumptions!$C$25+0.06*(1-$J569))-Assumptions!$C$27)-Assumptions!$C$28)*Assumptions!$C$31)+Assumptions!$C$28-Assumptions!$C$29-$O569*Assumptions!$C$30</f>
        <v>115.4001698</v>
      </c>
      <c r="U569" s="139">
        <f>($P569*(1-(Assumptions!$C$25+0.06*(1-$K569))-Assumptions!$C$27)-Assumptions!$C$28)-MAX(0,($P569*(1-(Assumptions!$C$25+0.06*(1-$K569))-Assumptions!$C$27)-Assumptions!$C$28)*Assumptions!$C$31)+Assumptions!$C$28-Assumptions!$C$29-$P569*Assumptions!$C$30</f>
        <v>47.45367193</v>
      </c>
      <c r="V569" s="143">
        <f>(($Q569/(1+$D569)^1+$R569/(1+$D569)^2+$S569/(1+$D569)^3+$T569/(1+$D569)^4+$U569/(1+$D569)^5+$U569*(1+$E569)/($D569-$E569)/(1+$D569)^5)-Assumptions!$C$37)/Assumptions!$C$40/Assumptions!$C$38</f>
        <v>-0.4170344286</v>
      </c>
    </row>
    <row r="570" ht="12.0" customHeight="1">
      <c r="B570" s="139">
        <v>518.0</v>
      </c>
      <c r="C570" s="140">
        <f t="shared" si="6"/>
        <v>0.1901232488</v>
      </c>
      <c r="D570" s="141">
        <f t="shared" si="7"/>
        <v>0.09302818668</v>
      </c>
      <c r="E570" s="141">
        <f t="shared" si="8"/>
        <v>0.02351998064</v>
      </c>
      <c r="F570" s="140">
        <f t="shared" si="9"/>
        <v>0.1926432766</v>
      </c>
      <c r="G570" s="141">
        <f t="shared" si="10"/>
        <v>0.04862143651</v>
      </c>
      <c r="H570" s="142">
        <f t="shared" si="11"/>
        <v>1</v>
      </c>
      <c r="I570" s="142">
        <f t="shared" si="12"/>
        <v>1</v>
      </c>
      <c r="J570" s="142">
        <f t="shared" si="13"/>
        <v>0</v>
      </c>
      <c r="K570" s="142">
        <f t="shared" si="14"/>
        <v>0</v>
      </c>
      <c r="L570" s="139">
        <f>Assumptions!$C$6*Assumptions!$C$7*(1+$G570-0.05*(1-1))^1+Assumptions!$C$6*Assumptions!$C$8*(1+Assumptions!$C$11)^1+Assumptions!$C$16*1+Assumptions!$C$6*Assumptions!$C$9*(1+Assumptions!$C$12)^1</f>
        <v>742.8339755</v>
      </c>
      <c r="M570" s="139">
        <f>Assumptions!$C$6*Assumptions!$C$7*(1+$G570-0.05*(1-$H570))^2+Assumptions!$C$6*Assumptions!$C$8*(1+Assumptions!$C$11)^2+Assumptions!$C$16*$H570+Assumptions!$C$6*Assumptions!$C$9*(1+Assumptions!$C$12)^2</f>
        <v>766.5930483</v>
      </c>
      <c r="N570" s="139">
        <f>Assumptions!$C$6*Assumptions!$C$7*(1+$G570-0.05*(1-$I570))^3+Assumptions!$C$6*Assumptions!$C$8*(1+Assumptions!$C$11)^3+Assumptions!$C$16*$I570+Assumptions!$C$6*Assumptions!$C$9*(1+Assumptions!$C$12)^3</f>
        <v>791.3184954</v>
      </c>
      <c r="O570" s="139">
        <f>Assumptions!$C$6*Assumptions!$C$7*(1+$G570-0.05*(1-$J570))^4+Assumptions!$C$6*Assumptions!$C$8*(1+Assumptions!$C$11)^4+Assumptions!$C$16*$J570+Assumptions!$C$6*Assumptions!$C$9*(1+Assumptions!$C$12)^4</f>
        <v>684.8062973</v>
      </c>
      <c r="P570" s="139">
        <f>Assumptions!$C$6*Assumptions!$C$7*(1+$G570-0.05*(1-$K570))^5+Assumptions!$C$6*Assumptions!$C$8*(1+Assumptions!$C$11)^5+Assumptions!$C$16*$K570+Assumptions!$C$6*Assumptions!$C$9*(1+Assumptions!$C$12)^5</f>
        <v>691.3459975</v>
      </c>
      <c r="Q570" s="139">
        <f>($L570*(1-(Assumptions!$C$25+0.06*(1-1))-Assumptions!$C$27)-Assumptions!$C$28)-MAX(0,($L570*(1-(Assumptions!$C$25+0.06*(1-1))-Assumptions!$C$27)-Assumptions!$C$28)*Assumptions!$C$31)+Assumptions!$C$28-Assumptions!$C$29-$L570*Assumptions!$C$30</f>
        <v>92.20930474</v>
      </c>
      <c r="R570" s="139">
        <f>($M570*(1-(Assumptions!$C$25+0.06*(1-$H570))-Assumptions!$C$27)-Assumptions!$C$28)-MAX(0,($M570*(1-(Assumptions!$C$25+0.06*(1-$H570))-Assumptions!$C$27)-Assumptions!$C$28)*Assumptions!$C$31)+Assumptions!$C$28-Assumptions!$C$29-$M570*Assumptions!$C$30</f>
        <v>97.31750538</v>
      </c>
      <c r="S570" s="139">
        <f>($N570*(1-(Assumptions!$C$25+0.06*(1-$I570))-Assumptions!$C$27)-Assumptions!$C$28)-MAX(0,($N570*(1-(Assumptions!$C$25+0.06*(1-$I570))-Assumptions!$C$27)-Assumptions!$C$28)*Assumptions!$C$31)+Assumptions!$C$28-Assumptions!$C$29-$N570*Assumptions!$C$30</f>
        <v>102.6334765</v>
      </c>
      <c r="T570" s="139">
        <f>($O570*(1-(Assumptions!$C$25+0.06*(1-$J570))-Assumptions!$C$27)-Assumptions!$C$28)-MAX(0,($O570*(1-(Assumptions!$C$25+0.06*(1-$J570))-Assumptions!$C$27)-Assumptions!$C$28)*Assumptions!$C$31)+Assumptions!$C$28-Assumptions!$C$29-$O570*Assumptions!$C$30</f>
        <v>37.50544837</v>
      </c>
      <c r="U570" s="139">
        <f>($P570*(1-(Assumptions!$C$25+0.06*(1-$K570))-Assumptions!$C$27)-Assumptions!$C$28)-MAX(0,($P570*(1-(Assumptions!$C$25+0.06*(1-$K570))-Assumptions!$C$27)-Assumptions!$C$28)*Assumptions!$C$31)+Assumptions!$C$28-Assumptions!$C$29-$P570*Assumptions!$C$30</f>
        <v>39.00957942</v>
      </c>
      <c r="V570" s="143">
        <f>(($Q570/(1+$D570)^1+$R570/(1+$D570)^2+$S570/(1+$D570)^3+$T570/(1+$D570)^4+$U570/(1+$D570)^5+$U570*(1+$E570)/($D570-$E570)/(1+$D570)^5)-Assumptions!$C$37)/Assumptions!$C$40/Assumptions!$C$38</f>
        <v>-0.2170557738</v>
      </c>
    </row>
    <row r="571" ht="12.0" customHeight="1">
      <c r="B571" s="139">
        <v>519.0</v>
      </c>
      <c r="C571" s="140">
        <f t="shared" si="6"/>
        <v>0.6069811489</v>
      </c>
      <c r="D571" s="141">
        <f t="shared" si="7"/>
        <v>0.1001513106</v>
      </c>
      <c r="E571" s="141">
        <f t="shared" si="8"/>
        <v>0.01189948927</v>
      </c>
      <c r="F571" s="140">
        <f t="shared" si="9"/>
        <v>0.4464746861</v>
      </c>
      <c r="G571" s="141">
        <f t="shared" si="10"/>
        <v>0.05834879953</v>
      </c>
      <c r="H571" s="142">
        <f t="shared" si="11"/>
        <v>1</v>
      </c>
      <c r="I571" s="142">
        <f t="shared" si="12"/>
        <v>0</v>
      </c>
      <c r="J571" s="142">
        <f t="shared" si="13"/>
        <v>0</v>
      </c>
      <c r="K571" s="142">
        <f t="shared" si="14"/>
        <v>0</v>
      </c>
      <c r="L571" s="139">
        <f>Assumptions!$C$6*Assumptions!$C$7*(1+$G571-0.05*(1-1))^1+Assumptions!$C$6*Assumptions!$C$8*(1+Assumptions!$C$11)^1+Assumptions!$C$16*1+Assumptions!$C$6*Assumptions!$C$9*(1+Assumptions!$C$12)^1</f>
        <v>746.1082059</v>
      </c>
      <c r="M571" s="139">
        <f>Assumptions!$C$6*Assumptions!$C$7*(1+$G571-0.05*(1-$H571))^2+Assumptions!$C$6*Assumptions!$C$8*(1+Assumptions!$C$11)^2+Assumptions!$C$16*$H571+Assumptions!$C$6*Assumptions!$C$9*(1+Assumptions!$C$12)^2</f>
        <v>773.4917543</v>
      </c>
      <c r="N571" s="139">
        <f>Assumptions!$C$6*Assumptions!$C$7*(1+$G571-0.05*(1-$I571))^3+Assumptions!$C$6*Assumptions!$C$8*(1+Assumptions!$C$11)^3+Assumptions!$C$16*$I571+Assumptions!$C$6*Assumptions!$C$9*(1+Assumptions!$C$12)^3</f>
        <v>688.2958664</v>
      </c>
      <c r="O571" s="139">
        <f>Assumptions!$C$6*Assumptions!$C$7*(1+$G571-0.05*(1-$J571))^4+Assumptions!$C$6*Assumptions!$C$8*(1+Assumptions!$C$11)^4+Assumptions!$C$16*$J571+Assumptions!$C$6*Assumptions!$C$9*(1+Assumptions!$C$12)^4</f>
        <v>698.0409405</v>
      </c>
      <c r="P571" s="139">
        <f>Assumptions!$C$6*Assumptions!$C$7*(1+$G571-0.05*(1-$K571))^5+Assumptions!$C$6*Assumptions!$C$8*(1+Assumptions!$C$11)^5+Assumptions!$C$16*$K571+Assumptions!$C$6*Assumptions!$C$9*(1+Assumptions!$C$12)^5</f>
        <v>707.9473468</v>
      </c>
      <c r="Q571" s="139">
        <f>($L571*(1-(Assumptions!$C$25+0.06*(1-1))-Assumptions!$C$27)-Assumptions!$C$28)-MAX(0,($L571*(1-(Assumptions!$C$25+0.06*(1-1))-Assumptions!$C$27)-Assumptions!$C$28)*Assumptions!$C$31)+Assumptions!$C$28-Assumptions!$C$29-$L571*Assumptions!$C$30</f>
        <v>92.91326427</v>
      </c>
      <c r="R571" s="139">
        <f>($M571*(1-(Assumptions!$C$25+0.06*(1-$H571))-Assumptions!$C$27)-Assumptions!$C$28)-MAX(0,($M571*(1-(Assumptions!$C$25+0.06*(1-$H571))-Assumptions!$C$27)-Assumptions!$C$28)*Assumptions!$C$31)+Assumptions!$C$28-Assumptions!$C$29-$M571*Assumptions!$C$30</f>
        <v>98.80072717</v>
      </c>
      <c r="S571" s="139">
        <f>($N571*(1-(Assumptions!$C$25+0.06*(1-$I571))-Assumptions!$C$27)-Assumptions!$C$28)-MAX(0,($N571*(1-(Assumptions!$C$25+0.06*(1-$I571))-Assumptions!$C$27)-Assumptions!$C$28)*Assumptions!$C$31)+Assumptions!$C$28-Assumptions!$C$29-$N571*Assumptions!$C$30</f>
        <v>38.30804927</v>
      </c>
      <c r="T571" s="139">
        <f>($O571*(1-(Assumptions!$C$25+0.06*(1-$J571))-Assumptions!$C$27)-Assumptions!$C$28)-MAX(0,($O571*(1-(Assumptions!$C$25+0.06*(1-$J571))-Assumptions!$C$27)-Assumptions!$C$28)*Assumptions!$C$31)+Assumptions!$C$28-Assumptions!$C$29-$O571*Assumptions!$C$30</f>
        <v>40.54941631</v>
      </c>
      <c r="U571" s="139">
        <f>($P571*(1-(Assumptions!$C$25+0.06*(1-$K571))-Assumptions!$C$27)-Assumptions!$C$28)-MAX(0,($P571*(1-(Assumptions!$C$25+0.06*(1-$K571))-Assumptions!$C$27)-Assumptions!$C$28)*Assumptions!$C$31)+Assumptions!$C$28-Assumptions!$C$29-$P571*Assumptions!$C$30</f>
        <v>42.82788976</v>
      </c>
      <c r="V571" s="143">
        <f>(($Q571/(1+$D571)^1+$R571/(1+$D571)^2+$S571/(1+$D571)^3+$T571/(1+$D571)^4+$U571/(1+$D571)^5+$U571*(1+$E571)/($D571-$E571)/(1+$D571)^5)-Assumptions!$C$37)/Assumptions!$C$40/Assumptions!$C$38</f>
        <v>-1.076052245</v>
      </c>
    </row>
    <row r="572" ht="12.0" customHeight="1">
      <c r="B572" s="139">
        <v>520.0</v>
      </c>
      <c r="C572" s="140">
        <f t="shared" si="6"/>
        <v>0.08574740831</v>
      </c>
      <c r="D572" s="141">
        <f t="shared" si="7"/>
        <v>0.0903915092</v>
      </c>
      <c r="E572" s="141">
        <f t="shared" si="8"/>
        <v>0.01269091394</v>
      </c>
      <c r="F572" s="140">
        <f t="shared" si="9"/>
        <v>0.315794131</v>
      </c>
      <c r="G572" s="141">
        <f t="shared" si="10"/>
        <v>0.05384175824</v>
      </c>
      <c r="H572" s="142">
        <f t="shared" si="11"/>
        <v>1</v>
      </c>
      <c r="I572" s="142">
        <f t="shared" si="12"/>
        <v>0</v>
      </c>
      <c r="J572" s="142">
        <f t="shared" si="13"/>
        <v>1</v>
      </c>
      <c r="K572" s="142">
        <f t="shared" si="14"/>
        <v>1</v>
      </c>
      <c r="L572" s="139">
        <f>Assumptions!$C$6*Assumptions!$C$7*(1+$G572-0.05*(1-1))^1+Assumptions!$C$6*Assumptions!$C$8*(1+Assumptions!$C$11)^1+Assumptions!$C$16*1+Assumptions!$C$6*Assumptions!$C$9*(1+Assumptions!$C$12)^1</f>
        <v>744.5911358</v>
      </c>
      <c r="M572" s="139">
        <f>Assumptions!$C$6*Assumptions!$C$7*(1+$G572-0.05*(1-$H572))^2+Assumptions!$C$6*Assumptions!$C$8*(1+Assumptions!$C$11)^2+Assumptions!$C$16*$H572+Assumptions!$C$6*Assumptions!$C$9*(1+Assumptions!$C$12)^2</f>
        <v>770.2874131</v>
      </c>
      <c r="N572" s="139">
        <f>Assumptions!$C$6*Assumptions!$C$7*(1+$G572-0.05*(1-$I572))^3+Assumptions!$C$6*Assumptions!$C$8*(1+Assumptions!$C$11)^3+Assumptions!$C$16*$I572+Assumptions!$C$6*Assumptions!$C$9*(1+Assumptions!$C$12)^3</f>
        <v>683.6889975</v>
      </c>
      <c r="O572" s="139">
        <f>Assumptions!$C$6*Assumptions!$C$7*(1+$G572-0.05*(1-$J572))^4+Assumptions!$C$6*Assumptions!$C$8*(1+Assumptions!$C$11)^4+Assumptions!$C$16*$J572+Assumptions!$C$6*Assumptions!$C$9*(1+Assumptions!$C$12)^4</f>
        <v>825.2187727</v>
      </c>
      <c r="P572" s="139">
        <f>Assumptions!$C$6*Assumptions!$C$7*(1+$G572-0.05*(1-$K572))^5+Assumptions!$C$6*Assumptions!$C$8*(1+Assumptions!$C$11)^5+Assumptions!$C$16*$K572+Assumptions!$C$6*Assumptions!$C$9*(1+Assumptions!$C$12)^5</f>
        <v>854.5728997</v>
      </c>
      <c r="Q572" s="139">
        <f>($L572*(1-(Assumptions!$C$25+0.06*(1-1))-Assumptions!$C$27)-Assumptions!$C$28)-MAX(0,($L572*(1-(Assumptions!$C$25+0.06*(1-1))-Assumptions!$C$27)-Assumptions!$C$28)*Assumptions!$C$31)+Assumptions!$C$28-Assumptions!$C$29-$L572*Assumptions!$C$30</f>
        <v>92.5870942</v>
      </c>
      <c r="R572" s="139">
        <f>($M572*(1-(Assumptions!$C$25+0.06*(1-$H572))-Assumptions!$C$27)-Assumptions!$C$28)-MAX(0,($M572*(1-(Assumptions!$C$25+0.06*(1-$H572))-Assumptions!$C$27)-Assumptions!$C$28)*Assumptions!$C$31)+Assumptions!$C$28-Assumptions!$C$29-$M572*Assumptions!$C$30</f>
        <v>98.11179383</v>
      </c>
      <c r="S572" s="139">
        <f>($N572*(1-(Assumptions!$C$25+0.06*(1-$I572))-Assumptions!$C$27)-Assumptions!$C$28)-MAX(0,($N572*(1-(Assumptions!$C$25+0.06*(1-$I572))-Assumptions!$C$27)-Assumptions!$C$28)*Assumptions!$C$31)+Assumptions!$C$28-Assumptions!$C$29-$N572*Assumptions!$C$30</f>
        <v>37.24846942</v>
      </c>
      <c r="T572" s="139">
        <f>($O572*(1-(Assumptions!$C$25+0.06*(1-$J572))-Assumptions!$C$27)-Assumptions!$C$28)-MAX(0,($O572*(1-(Assumptions!$C$25+0.06*(1-$J572))-Assumptions!$C$27)-Assumptions!$C$28)*Assumptions!$C$31)+Assumptions!$C$28-Assumptions!$C$29-$O572*Assumptions!$C$30</f>
        <v>109.9220361</v>
      </c>
      <c r="U572" s="139">
        <f>($P572*(1-(Assumptions!$C$25+0.06*(1-$K572))-Assumptions!$C$27)-Assumptions!$C$28)-MAX(0,($P572*(1-(Assumptions!$C$25+0.06*(1-$K572))-Assumptions!$C$27)-Assumptions!$C$28)*Assumptions!$C$31)+Assumptions!$C$28-Assumptions!$C$29-$P572*Assumptions!$C$30</f>
        <v>116.2331734</v>
      </c>
      <c r="V572" s="143">
        <f>(($Q572/(1+$D572)^1+$R572/(1+$D572)^2+$S572/(1+$D572)^3+$T572/(1+$D572)^4+$U572/(1+$D572)^5+$U572*(1+$E572)/($D572-$E572)/(1+$D572)^5)-Assumptions!$C$37)/Assumptions!$C$40/Assumptions!$C$38</f>
        <v>4.997990719</v>
      </c>
    </row>
    <row r="573" ht="12.0" customHeight="1">
      <c r="B573" s="139">
        <v>521.0</v>
      </c>
      <c r="C573" s="140">
        <f t="shared" si="6"/>
        <v>0.6653432317</v>
      </c>
      <c r="D573" s="141">
        <f t="shared" si="7"/>
        <v>0.101298086</v>
      </c>
      <c r="E573" s="141">
        <f t="shared" si="8"/>
        <v>0.02396219005</v>
      </c>
      <c r="F573" s="140">
        <f t="shared" si="9"/>
        <v>0.3890092391</v>
      </c>
      <c r="G573" s="141">
        <f t="shared" si="10"/>
        <v>0.05646160672</v>
      </c>
      <c r="H573" s="142">
        <f t="shared" si="11"/>
        <v>1</v>
      </c>
      <c r="I573" s="142">
        <f t="shared" si="12"/>
        <v>0</v>
      </c>
      <c r="J573" s="142">
        <f t="shared" si="13"/>
        <v>0</v>
      </c>
      <c r="K573" s="142">
        <f t="shared" si="14"/>
        <v>0</v>
      </c>
      <c r="L573" s="139">
        <f>Assumptions!$C$6*Assumptions!$C$7*(1+$G573-0.05*(1-1))^1+Assumptions!$C$6*Assumptions!$C$8*(1+Assumptions!$C$11)^1+Assumptions!$C$16*1+Assumptions!$C$6*Assumptions!$C$9*(1+Assumptions!$C$12)^1</f>
        <v>745.4729768</v>
      </c>
      <c r="M573" s="139">
        <f>Assumptions!$C$6*Assumptions!$C$7*(1+$G573-0.05*(1-$H573))^2+Assumptions!$C$6*Assumptions!$C$8*(1+Assumptions!$C$11)^2+Assumptions!$C$16*$H573+Assumptions!$C$6*Assumptions!$C$9*(1+Assumptions!$C$12)^2</f>
        <v>772.1483652</v>
      </c>
      <c r="N573" s="139">
        <f>Assumptions!$C$6*Assumptions!$C$7*(1+$G573-0.05*(1-$I573))^3+Assumptions!$C$6*Assumptions!$C$8*(1+Assumptions!$C$11)^3+Assumptions!$C$16*$I573+Assumptions!$C$6*Assumptions!$C$9*(1+Assumptions!$C$12)^3</f>
        <v>686.36185</v>
      </c>
      <c r="O573" s="139">
        <f>Assumptions!$C$6*Assumptions!$C$7*(1+$G573-0.05*(1-$J573))^4+Assumptions!$C$6*Assumptions!$C$8*(1+Assumptions!$C$11)^4+Assumptions!$C$16*$J573+Assumptions!$C$6*Assumptions!$C$9*(1+Assumptions!$C$12)^4</f>
        <v>695.4431547</v>
      </c>
      <c r="P573" s="139">
        <f>Assumptions!$C$6*Assumptions!$C$7*(1+$G573-0.05*(1-$K573))^5+Assumptions!$C$6*Assumptions!$C$8*(1+Assumptions!$C$11)^5+Assumptions!$C$16*$K573+Assumptions!$C$6*Assumptions!$C$9*(1+Assumptions!$C$12)^5</f>
        <v>704.6760654</v>
      </c>
      <c r="Q573" s="139">
        <f>($L573*(1-(Assumptions!$C$25+0.06*(1-1))-Assumptions!$C$27)-Assumptions!$C$28)-MAX(0,($L573*(1-(Assumptions!$C$25+0.06*(1-1))-Assumptions!$C$27)-Assumptions!$C$28)*Assumptions!$C$31)+Assumptions!$C$28-Assumptions!$C$29-$L573*Assumptions!$C$30</f>
        <v>92.77669002</v>
      </c>
      <c r="R573" s="139">
        <f>($M573*(1-(Assumptions!$C$25+0.06*(1-$H573))-Assumptions!$C$27)-Assumptions!$C$28)-MAX(0,($M573*(1-(Assumptions!$C$25+0.06*(1-$H573))-Assumptions!$C$27)-Assumptions!$C$28)*Assumptions!$C$31)+Assumptions!$C$28-Assumptions!$C$29-$M573*Assumptions!$C$30</f>
        <v>98.51189851</v>
      </c>
      <c r="S573" s="139">
        <f>($N573*(1-(Assumptions!$C$25+0.06*(1-$I573))-Assumptions!$C$27)-Assumptions!$C$28)-MAX(0,($N573*(1-(Assumptions!$C$25+0.06*(1-$I573))-Assumptions!$C$27)-Assumptions!$C$28)*Assumptions!$C$31)+Assumptions!$C$28-Assumptions!$C$29-$N573*Assumptions!$C$30</f>
        <v>37.8632255</v>
      </c>
      <c r="T573" s="139">
        <f>($O573*(1-(Assumptions!$C$25+0.06*(1-$J573))-Assumptions!$C$27)-Assumptions!$C$28)-MAX(0,($O573*(1-(Assumptions!$C$25+0.06*(1-$J573))-Assumptions!$C$27)-Assumptions!$C$28)*Assumptions!$C$31)+Assumptions!$C$28-Assumptions!$C$29-$O573*Assumptions!$C$30</f>
        <v>39.95192559</v>
      </c>
      <c r="U573" s="139">
        <f>($P573*(1-(Assumptions!$C$25+0.06*(1-$K573))-Assumptions!$C$27)-Assumptions!$C$28)-MAX(0,($P573*(1-(Assumptions!$C$25+0.06*(1-$K573))-Assumptions!$C$27)-Assumptions!$C$28)*Assumptions!$C$31)+Assumptions!$C$28-Assumptions!$C$29-$P573*Assumptions!$C$30</f>
        <v>42.07549503</v>
      </c>
      <c r="V573" s="143">
        <f>(($Q573/(1+$D573)^1+$R573/(1+$D573)^2+$S573/(1+$D573)^3+$T573/(1+$D573)^4+$U573/(1+$D573)^5+$U573*(1+$E573)/($D573-$E573)/(1+$D573)^5)-Assumptions!$C$37)/Assumptions!$C$40/Assumptions!$C$38</f>
        <v>-0.7872285713</v>
      </c>
    </row>
    <row r="574" ht="12.0" customHeight="1">
      <c r="B574" s="139">
        <v>522.0</v>
      </c>
      <c r="C574" s="140">
        <f t="shared" si="6"/>
        <v>0.8691212054</v>
      </c>
      <c r="D574" s="141">
        <f t="shared" si="7"/>
        <v>0.1064312776</v>
      </c>
      <c r="E574" s="141">
        <f t="shared" si="8"/>
        <v>0.01749712518</v>
      </c>
      <c r="F574" s="140">
        <f t="shared" si="9"/>
        <v>0.9813470683</v>
      </c>
      <c r="G574" s="141">
        <f t="shared" si="10"/>
        <v>0.08420558226</v>
      </c>
      <c r="H574" s="142">
        <f t="shared" si="11"/>
        <v>1</v>
      </c>
      <c r="I574" s="142">
        <f t="shared" si="12"/>
        <v>1</v>
      </c>
      <c r="J574" s="142">
        <f t="shared" si="13"/>
        <v>1</v>
      </c>
      <c r="K574" s="142">
        <f t="shared" si="14"/>
        <v>0</v>
      </c>
      <c r="L574" s="139">
        <f>Assumptions!$C$6*Assumptions!$C$7*(1+$G574-0.05*(1-1))^1+Assumptions!$C$6*Assumptions!$C$8*(1+Assumptions!$C$11)^1+Assumptions!$C$16*1+Assumptions!$C$6*Assumptions!$C$9*(1+Assumptions!$C$12)^1</f>
        <v>754.811599</v>
      </c>
      <c r="M574" s="139">
        <f>Assumptions!$C$6*Assumptions!$C$7*(1+$G574-0.05*(1-$H574))^2+Assumptions!$C$6*Assumptions!$C$8*(1+Assumptions!$C$11)^2+Assumptions!$C$16*$H574+Assumptions!$C$6*Assumptions!$C$9*(1+Assumptions!$C$12)^2</f>
        <v>792.1392472</v>
      </c>
      <c r="N574" s="139">
        <f>Assumptions!$C$6*Assumptions!$C$7*(1+$G574-0.05*(1-$I574))^3+Assumptions!$C$6*Assumptions!$C$8*(1+Assumptions!$C$11)^3+Assumptions!$C$16*$I574+Assumptions!$C$6*Assumptions!$C$9*(1+Assumptions!$C$12)^3</f>
        <v>832.1865045</v>
      </c>
      <c r="O574" s="139">
        <f>Assumptions!$C$6*Assumptions!$C$7*(1+$G574-0.05*(1-$J574))^4+Assumptions!$C$6*Assumptions!$C$8*(1+Assumptions!$C$11)^4+Assumptions!$C$16*$J574+Assumptions!$C$6*Assumptions!$C$9*(1+Assumptions!$C$12)^4</f>
        <v>875.1739053</v>
      </c>
      <c r="P574" s="139">
        <f>Assumptions!$C$6*Assumptions!$C$7*(1+$G574-0.05*(1-$K574))^5+Assumptions!$C$6*Assumptions!$C$8*(1+Assumptions!$C$11)^5+Assumptions!$C$16*$K574+Assumptions!$C$6*Assumptions!$C$9*(1+Assumptions!$C$12)^5</f>
        <v>755.3030516</v>
      </c>
      <c r="Q574" s="139">
        <f>($L574*(1-(Assumptions!$C$25+0.06*(1-1))-Assumptions!$C$27)-Assumptions!$C$28)-MAX(0,($L574*(1-(Assumptions!$C$25+0.06*(1-1))-Assumptions!$C$27)-Assumptions!$C$28)*Assumptions!$C$31)+Assumptions!$C$28-Assumptions!$C$29-$L574*Assumptions!$C$30</f>
        <v>94.78449378</v>
      </c>
      <c r="R574" s="139">
        <f>($M574*(1-(Assumptions!$C$25+0.06*(1-$H574))-Assumptions!$C$27)-Assumptions!$C$28)-MAX(0,($M574*(1-(Assumptions!$C$25+0.06*(1-$H574))-Assumptions!$C$27)-Assumptions!$C$28)*Assumptions!$C$31)+Assumptions!$C$28-Assumptions!$C$29-$M574*Assumptions!$C$30</f>
        <v>102.8099382</v>
      </c>
      <c r="S574" s="139">
        <f>($N574*(1-(Assumptions!$C$25+0.06*(1-$I574))-Assumptions!$C$27)-Assumptions!$C$28)-MAX(0,($N574*(1-(Assumptions!$C$25+0.06*(1-$I574))-Assumptions!$C$27)-Assumptions!$C$28)*Assumptions!$C$31)+Assumptions!$C$28-Assumptions!$C$29-$N574*Assumptions!$C$30</f>
        <v>111.4200985</v>
      </c>
      <c r="T574" s="139">
        <f>($O574*(1-(Assumptions!$C$25+0.06*(1-$J574))-Assumptions!$C$27)-Assumptions!$C$28)-MAX(0,($O574*(1-(Assumptions!$C$25+0.06*(1-$J574))-Assumptions!$C$27)-Assumptions!$C$28)*Assumptions!$C$31)+Assumptions!$C$28-Assumptions!$C$29-$O574*Assumptions!$C$30</f>
        <v>120.6623896</v>
      </c>
      <c r="U574" s="139">
        <f>($P574*(1-(Assumptions!$C$25+0.06*(1-$K574))-Assumptions!$C$27)-Assumptions!$C$28)-MAX(0,($P574*(1-(Assumptions!$C$25+0.06*(1-$K574))-Assumptions!$C$27)-Assumptions!$C$28)*Assumptions!$C$31)+Assumptions!$C$28-Assumptions!$C$29-$P574*Assumptions!$C$30</f>
        <v>53.71970187</v>
      </c>
      <c r="V574" s="143">
        <f>(($Q574/(1+$D574)^1+$R574/(1+$D574)^2+$S574/(1+$D574)^3+$T574/(1+$D574)^4+$U574/(1+$D574)^5+$U574*(1+$E574)/($D574-$E574)/(1+$D574)^5)-Assumptions!$C$37)/Assumptions!$C$40/Assumptions!$C$38</f>
        <v>0.3416682862</v>
      </c>
    </row>
    <row r="575" ht="12.0" customHeight="1">
      <c r="B575" s="139">
        <v>523.0</v>
      </c>
      <c r="C575" s="140">
        <f t="shared" si="6"/>
        <v>0.0252455955</v>
      </c>
      <c r="D575" s="141">
        <f t="shared" si="7"/>
        <v>0.08792544986</v>
      </c>
      <c r="E575" s="141">
        <f t="shared" si="8"/>
        <v>0.01916363421</v>
      </c>
      <c r="F575" s="140">
        <f t="shared" si="9"/>
        <v>0.8086656216</v>
      </c>
      <c r="G575" s="141">
        <f t="shared" si="10"/>
        <v>0.07144193218</v>
      </c>
      <c r="H575" s="142">
        <f t="shared" si="11"/>
        <v>1</v>
      </c>
      <c r="I575" s="142">
        <f t="shared" si="12"/>
        <v>0</v>
      </c>
      <c r="J575" s="142">
        <f t="shared" si="13"/>
        <v>1</v>
      </c>
      <c r="K575" s="142">
        <f t="shared" si="14"/>
        <v>1</v>
      </c>
      <c r="L575" s="139">
        <f>Assumptions!$C$6*Assumptions!$C$7*(1+$G575-0.05*(1-1))^1+Assumptions!$C$6*Assumptions!$C$8*(1+Assumptions!$C$11)^1+Assumptions!$C$16*1+Assumptions!$C$6*Assumptions!$C$9*(1+Assumptions!$C$12)^1</f>
        <v>750.5153544</v>
      </c>
      <c r="M575" s="139">
        <f>Assumptions!$C$6*Assumptions!$C$7*(1+$G575-0.05*(1-$H575))^2+Assumptions!$C$6*Assumptions!$C$8*(1+Assumptions!$C$11)^2+Assumptions!$C$16*$H575+Assumptions!$C$6*Assumptions!$C$9*(1+Assumptions!$C$12)^2</f>
        <v>782.8780582</v>
      </c>
      <c r="N575" s="139">
        <f>Assumptions!$C$6*Assumptions!$C$7*(1+$G575-0.05*(1-$I575))^3+Assumptions!$C$6*Assumptions!$C$8*(1+Assumptions!$C$11)^3+Assumptions!$C$16*$I575+Assumptions!$C$6*Assumptions!$C$9*(1+Assumptions!$C$12)^3</f>
        <v>701.9143106</v>
      </c>
      <c r="O575" s="139">
        <f>Assumptions!$C$6*Assumptions!$C$7*(1+$G575-0.05*(1-$J575))^4+Assumptions!$C$6*Assumptions!$C$8*(1+Assumptions!$C$11)^4+Assumptions!$C$16*$J575+Assumptions!$C$6*Assumptions!$C$9*(1+Assumptions!$C$12)^4</f>
        <v>853.6556293</v>
      </c>
      <c r="P575" s="139">
        <f>Assumptions!$C$6*Assumptions!$C$7*(1+$G575-0.05*(1-$K575))^5+Assumptions!$C$6*Assumptions!$C$8*(1+Assumptions!$C$11)^5+Assumptions!$C$16*$K575+Assumptions!$C$6*Assumptions!$C$9*(1+Assumptions!$C$12)^5</f>
        <v>892.3482322</v>
      </c>
      <c r="Q575" s="139">
        <f>($L575*(1-(Assumptions!$C$25+0.06*(1-1))-Assumptions!$C$27)-Assumptions!$C$28)-MAX(0,($L575*(1-(Assumptions!$C$25+0.06*(1-1))-Assumptions!$C$27)-Assumptions!$C$28)*Assumptions!$C$31)+Assumptions!$C$28-Assumptions!$C$29-$L575*Assumptions!$C$30</f>
        <v>93.86080119</v>
      </c>
      <c r="R575" s="139">
        <f>($M575*(1-(Assumptions!$C$25+0.06*(1-$H575))-Assumptions!$C$27)-Assumptions!$C$28)-MAX(0,($M575*(1-(Assumptions!$C$25+0.06*(1-$H575))-Assumptions!$C$27)-Assumptions!$C$28)*Assumptions!$C$31)+Assumptions!$C$28-Assumptions!$C$29-$M575*Assumptions!$C$30</f>
        <v>100.8187825</v>
      </c>
      <c r="S575" s="139">
        <f>($N575*(1-(Assumptions!$C$25+0.06*(1-$I575))-Assumptions!$C$27)-Assumptions!$C$28)-MAX(0,($N575*(1-(Assumptions!$C$25+0.06*(1-$I575))-Assumptions!$C$27)-Assumptions!$C$28)*Assumptions!$C$31)+Assumptions!$C$28-Assumptions!$C$29-$N575*Assumptions!$C$30</f>
        <v>41.44029144</v>
      </c>
      <c r="T575" s="139">
        <f>($O575*(1-(Assumptions!$C$25+0.06*(1-$J575))-Assumptions!$C$27)-Assumptions!$C$28)-MAX(0,($O575*(1-(Assumptions!$C$25+0.06*(1-$J575))-Assumptions!$C$27)-Assumptions!$C$28)*Assumptions!$C$31)+Assumptions!$C$28-Assumptions!$C$29-$O575*Assumptions!$C$30</f>
        <v>116.0359603</v>
      </c>
      <c r="U575" s="139">
        <f>($P575*(1-(Assumptions!$C$25+0.06*(1-$K575))-Assumptions!$C$27)-Assumptions!$C$28)-MAX(0,($P575*(1-(Assumptions!$C$25+0.06*(1-$K575))-Assumptions!$C$27)-Assumptions!$C$28)*Assumptions!$C$31)+Assumptions!$C$28-Assumptions!$C$29-$P575*Assumptions!$C$30</f>
        <v>124.3548699</v>
      </c>
      <c r="V575" s="143">
        <f>(($Q575/(1+$D575)^1+$R575/(1+$D575)^2+$S575/(1+$D575)^3+$T575/(1+$D575)^4+$U575/(1+$D575)^5+$U575*(1+$E575)/($D575-$E575)/(1+$D575)^5)-Assumptions!$C$37)/Assumptions!$C$40/Assumptions!$C$38</f>
        <v>6.912352563</v>
      </c>
    </row>
    <row r="576" ht="12.0" customHeight="1">
      <c r="B576" s="139">
        <v>524.0</v>
      </c>
      <c r="C576" s="140">
        <f t="shared" si="6"/>
        <v>0.3007022482</v>
      </c>
      <c r="D576" s="141">
        <f t="shared" si="7"/>
        <v>0.09509643809</v>
      </c>
      <c r="E576" s="141">
        <f t="shared" si="8"/>
        <v>0.0292791836</v>
      </c>
      <c r="F576" s="140">
        <f t="shared" si="9"/>
        <v>0.1270226164</v>
      </c>
      <c r="G576" s="141">
        <f t="shared" si="10"/>
        <v>0.04512087</v>
      </c>
      <c r="H576" s="142">
        <f t="shared" si="11"/>
        <v>1</v>
      </c>
      <c r="I576" s="142">
        <f t="shared" si="12"/>
        <v>0</v>
      </c>
      <c r="J576" s="142">
        <f t="shared" si="13"/>
        <v>0</v>
      </c>
      <c r="K576" s="142">
        <f t="shared" si="14"/>
        <v>0</v>
      </c>
      <c r="L576" s="139">
        <f>Assumptions!$C$6*Assumptions!$C$7*(1+$G576-0.05*(1-1))^1+Assumptions!$C$6*Assumptions!$C$8*(1+Assumptions!$C$11)^1+Assumptions!$C$16*1+Assumptions!$C$6*Assumptions!$C$9*(1+Assumptions!$C$12)^1</f>
        <v>741.6556848</v>
      </c>
      <c r="M576" s="139">
        <f>Assumptions!$C$6*Assumptions!$C$7*(1+$G576-0.05*(1-$H576))^2+Assumptions!$C$6*Assumptions!$C$8*(1+Assumptions!$C$11)^2+Assumptions!$C$16*$H576+Assumptions!$C$6*Assumptions!$C$9*(1+Assumptions!$C$12)^2</f>
        <v>764.1260112</v>
      </c>
      <c r="N576" s="139">
        <f>Assumptions!$C$6*Assumptions!$C$7*(1+$G576-0.05*(1-$I576))^3+Assumptions!$C$6*Assumptions!$C$8*(1+Assumptions!$C$11)^3+Assumptions!$C$16*$I576+Assumptions!$C$6*Assumptions!$C$9*(1+Assumptions!$C$12)^3</f>
        <v>674.8917218</v>
      </c>
      <c r="O576" s="139">
        <f>Assumptions!$C$6*Assumptions!$C$7*(1+$G576-0.05*(1-$J576))^4+Assumptions!$C$6*Assumptions!$C$8*(1+Assumptions!$C$11)^4+Assumptions!$C$16*$J576+Assumptions!$C$6*Assumptions!$C$9*(1+Assumptions!$C$12)^4</f>
        <v>680.1372221</v>
      </c>
      <c r="P576" s="139">
        <f>Assumptions!$C$6*Assumptions!$C$7*(1+$G576-0.05*(1-$K576))^5+Assumptions!$C$6*Assumptions!$C$8*(1+Assumptions!$C$11)^5+Assumptions!$C$16*$K576+Assumptions!$C$6*Assumptions!$C$9*(1+Assumptions!$C$12)^5</f>
        <v>685.5278966</v>
      </c>
      <c r="Q576" s="139">
        <f>($L576*(1-(Assumptions!$C$25+0.06*(1-1))-Assumptions!$C$27)-Assumptions!$C$28)-MAX(0,($L576*(1-(Assumptions!$C$25+0.06*(1-1))-Assumptions!$C$27)-Assumptions!$C$28)*Assumptions!$C$31)+Assumptions!$C$28-Assumptions!$C$29-$L576*Assumptions!$C$30</f>
        <v>91.95597224</v>
      </c>
      <c r="R576" s="139">
        <f>($M576*(1-(Assumptions!$C$25+0.06*(1-$H576))-Assumptions!$C$27)-Assumptions!$C$28)-MAX(0,($M576*(1-(Assumptions!$C$25+0.06*(1-$H576))-Assumptions!$C$27)-Assumptions!$C$28)*Assumptions!$C$31)+Assumptions!$C$28-Assumptions!$C$29-$M576*Assumptions!$C$30</f>
        <v>96.78709242</v>
      </c>
      <c r="S576" s="139">
        <f>($N576*(1-(Assumptions!$C$25+0.06*(1-$I576))-Assumptions!$C$27)-Assumptions!$C$28)-MAX(0,($N576*(1-(Assumptions!$C$25+0.06*(1-$I576))-Assumptions!$C$27)-Assumptions!$C$28)*Assumptions!$C$31)+Assumptions!$C$28-Assumptions!$C$29-$N576*Assumptions!$C$30</f>
        <v>35.22509602</v>
      </c>
      <c r="T576" s="139">
        <f>($O576*(1-(Assumptions!$C$25+0.06*(1-$J576))-Assumptions!$C$27)-Assumptions!$C$28)-MAX(0,($O576*(1-(Assumptions!$C$25+0.06*(1-$J576))-Assumptions!$C$27)-Assumptions!$C$28)*Assumptions!$C$31)+Assumptions!$C$28-Assumptions!$C$29-$O576*Assumptions!$C$30</f>
        <v>36.43156109</v>
      </c>
      <c r="U576" s="139">
        <f>($P576*(1-(Assumptions!$C$25+0.06*(1-$K576))-Assumptions!$C$27)-Assumptions!$C$28)-MAX(0,($P576*(1-(Assumptions!$C$25+0.06*(1-$K576))-Assumptions!$C$27)-Assumptions!$C$28)*Assumptions!$C$31)+Assumptions!$C$28-Assumptions!$C$29-$P576*Assumptions!$C$30</f>
        <v>37.67141623</v>
      </c>
      <c r="V576" s="143">
        <f>(($Q576/(1+$D576)^1+$R576/(1+$D576)^2+$S576/(1+$D576)^3+$T576/(1+$D576)^4+$U576/(1+$D576)^5+$U576*(1+$E576)/($D576-$E576)/(1+$D576)^5)-Assumptions!$C$37)/Assumptions!$C$40/Assumptions!$C$38</f>
        <v>-0.6000197818</v>
      </c>
    </row>
    <row r="577" ht="12.0" customHeight="1">
      <c r="B577" s="139">
        <v>525.0</v>
      </c>
      <c r="C577" s="140">
        <f t="shared" si="6"/>
        <v>0.3489777609</v>
      </c>
      <c r="D577" s="141">
        <f t="shared" si="7"/>
        <v>0.09587673944</v>
      </c>
      <c r="E577" s="141">
        <f t="shared" si="8"/>
        <v>0.01073036693</v>
      </c>
      <c r="F577" s="140">
        <f t="shared" si="9"/>
        <v>0.8427199169</v>
      </c>
      <c r="G577" s="141">
        <f t="shared" si="10"/>
        <v>0.07317430092</v>
      </c>
      <c r="H577" s="142">
        <f t="shared" si="11"/>
        <v>0</v>
      </c>
      <c r="I577" s="142">
        <f t="shared" si="12"/>
        <v>1</v>
      </c>
      <c r="J577" s="142">
        <f t="shared" si="13"/>
        <v>0</v>
      </c>
      <c r="K577" s="142">
        <f t="shared" si="14"/>
        <v>0</v>
      </c>
      <c r="L577" s="139">
        <f>Assumptions!$C$6*Assumptions!$C$7*(1+$G577-0.05*(1-1))^1+Assumptions!$C$6*Assumptions!$C$8*(1+Assumptions!$C$11)^1+Assumptions!$C$16*1+Assumptions!$C$6*Assumptions!$C$9*(1+Assumptions!$C$12)^1</f>
        <v>751.0984697</v>
      </c>
      <c r="M577" s="139">
        <f>Assumptions!$C$6*Assumptions!$C$7*(1+$G577-0.05*(1-$H577))^2+Assumptions!$C$6*Assumptions!$C$8*(1+Assumptions!$C$11)^2+Assumptions!$C$16*$H577+Assumptions!$C$6*Assumptions!$C$9*(1+Assumptions!$C$12)^2</f>
        <v>688.8470698</v>
      </c>
      <c r="N577" s="139">
        <f>Assumptions!$C$6*Assumptions!$C$7*(1+$G577-0.05*(1-$I577))^3+Assumptions!$C$6*Assumptions!$C$8*(1+Assumptions!$C$11)^3+Assumptions!$C$16*$I577+Assumptions!$C$6*Assumptions!$C$9*(1+Assumptions!$C$12)^3</f>
        <v>819.2249118</v>
      </c>
      <c r="O577" s="139">
        <f>Assumptions!$C$6*Assumptions!$C$7*(1+$G577-0.05*(1-$J577))^4+Assumptions!$C$6*Assumptions!$C$8*(1+Assumptions!$C$11)^4+Assumptions!$C$16*$J577+Assumptions!$C$6*Assumptions!$C$9*(1+Assumptions!$C$12)^4</f>
        <v>718.9619159</v>
      </c>
      <c r="P577" s="139">
        <f>Assumptions!$C$6*Assumptions!$C$7*(1+$G577-0.05*(1-$K577))^5+Assumptions!$C$6*Assumptions!$C$8*(1+Assumptions!$C$11)^5+Assumptions!$C$16*$K577+Assumptions!$C$6*Assumptions!$C$9*(1+Assumptions!$C$12)^5</f>
        <v>734.5121645</v>
      </c>
      <c r="Q577" s="139">
        <f>($L577*(1-(Assumptions!$C$25+0.06*(1-1))-Assumptions!$C$27)-Assumptions!$C$28)-MAX(0,($L577*(1-(Assumptions!$C$25+0.06*(1-1))-Assumptions!$C$27)-Assumptions!$C$28)*Assumptions!$C$31)+Assumptions!$C$28-Assumptions!$C$29-$L577*Assumptions!$C$30</f>
        <v>93.98617098</v>
      </c>
      <c r="R577" s="139">
        <f>($M577*(1-(Assumptions!$C$25+0.06*(1-$H577))-Assumptions!$C$27)-Assumptions!$C$28)-MAX(0,($M577*(1-(Assumptions!$C$25+0.06*(1-$H577))-Assumptions!$C$27)-Assumptions!$C$28)*Assumptions!$C$31)+Assumptions!$C$28-Assumptions!$C$29-$M577*Assumptions!$C$30</f>
        <v>38.43482606</v>
      </c>
      <c r="S577" s="139">
        <f>($N577*(1-(Assumptions!$C$25+0.06*(1-$I577))-Assumptions!$C$27)-Assumptions!$C$28)-MAX(0,($N577*(1-(Assumptions!$C$25+0.06*(1-$I577))-Assumptions!$C$27)-Assumptions!$C$28)*Assumptions!$C$31)+Assumptions!$C$28-Assumptions!$C$29-$N577*Assumptions!$C$30</f>
        <v>108.633356</v>
      </c>
      <c r="T577" s="139">
        <f>($O577*(1-(Assumptions!$C$25+0.06*(1-$J577))-Assumptions!$C$27)-Assumptions!$C$28)-MAX(0,($O577*(1-(Assumptions!$C$25+0.06*(1-$J577))-Assumptions!$C$27)-Assumptions!$C$28)*Assumptions!$C$31)+Assumptions!$C$28-Assumptions!$C$29-$O577*Assumptions!$C$30</f>
        <v>45.36124065</v>
      </c>
      <c r="U577" s="139">
        <f>($P577*(1-(Assumptions!$C$25+0.06*(1-$K577))-Assumptions!$C$27)-Assumptions!$C$28)-MAX(0,($P577*(1-(Assumptions!$C$25+0.06*(1-$K577))-Assumptions!$C$27)-Assumptions!$C$28)*Assumptions!$C$31)+Assumptions!$C$28-Assumptions!$C$29-$P577*Assumptions!$C$30</f>
        <v>48.93779783</v>
      </c>
      <c r="V577" s="143">
        <f>(($Q577/(1+$D577)^1+$R577/(1+$D577)^2+$S577/(1+$D577)^3+$T577/(1+$D577)^4+$U577/(1+$D577)^5+$U577*(1+$E577)/($D577-$E577)/(1+$D577)^5)-Assumptions!$C$37)/Assumptions!$C$40/Assumptions!$C$38</f>
        <v>-0.4794447439</v>
      </c>
    </row>
    <row r="578" ht="12.0" customHeight="1">
      <c r="B578" s="139">
        <v>526.0</v>
      </c>
      <c r="C578" s="140">
        <f t="shared" si="6"/>
        <v>0.1414882414</v>
      </c>
      <c r="D578" s="141">
        <f t="shared" si="7"/>
        <v>0.09192564176</v>
      </c>
      <c r="E578" s="141">
        <f t="shared" si="8"/>
        <v>0.01133143955</v>
      </c>
      <c r="F578" s="140">
        <f t="shared" si="9"/>
        <v>0.1333616541</v>
      </c>
      <c r="G578" s="141">
        <f t="shared" si="10"/>
        <v>0.04549357858</v>
      </c>
      <c r="H578" s="142">
        <f t="shared" si="11"/>
        <v>1</v>
      </c>
      <c r="I578" s="142">
        <f t="shared" si="12"/>
        <v>0</v>
      </c>
      <c r="J578" s="142">
        <f t="shared" si="13"/>
        <v>0</v>
      </c>
      <c r="K578" s="142">
        <f t="shared" si="14"/>
        <v>0</v>
      </c>
      <c r="L578" s="139">
        <f>Assumptions!$C$6*Assumptions!$C$7*(1+$G578-0.05*(1-1))^1+Assumptions!$C$6*Assumptions!$C$8*(1+Assumptions!$C$11)^1+Assumptions!$C$16*1+Assumptions!$C$6*Assumptions!$C$9*(1+Assumptions!$C$12)^1</f>
        <v>741.7811386</v>
      </c>
      <c r="M578" s="139">
        <f>Assumptions!$C$6*Assumptions!$C$7*(1+$G578-0.05*(1-$H578))^2+Assumptions!$C$6*Assumptions!$C$8*(1+Assumptions!$C$11)^2+Assumptions!$C$16*$H578+Assumptions!$C$6*Assumptions!$C$9*(1+Assumptions!$C$12)^2</f>
        <v>764.3882866</v>
      </c>
      <c r="N578" s="139">
        <f>Assumptions!$C$6*Assumptions!$C$7*(1+$G578-0.05*(1-$I578))^3+Assumptions!$C$6*Assumptions!$C$8*(1+Assumptions!$C$11)^3+Assumptions!$C$16*$I578+Assumptions!$C$6*Assumptions!$C$9*(1+Assumptions!$C$12)^3</f>
        <v>675.2645589</v>
      </c>
      <c r="O578" s="139">
        <f>Assumptions!$C$6*Assumptions!$C$7*(1+$G578-0.05*(1-$J578))^4+Assumptions!$C$6*Assumptions!$C$8*(1+Assumptions!$C$11)^4+Assumptions!$C$16*$J578+Assumptions!$C$6*Assumptions!$C$9*(1+Assumptions!$C$12)^4</f>
        <v>680.6320054</v>
      </c>
      <c r="P578" s="139">
        <f>Assumptions!$C$6*Assumptions!$C$7*(1+$G578-0.05*(1-$K578))^5+Assumptions!$C$6*Assumptions!$C$8*(1+Assumptions!$C$11)^5+Assumptions!$C$16*$K578+Assumptions!$C$6*Assumptions!$C$9*(1+Assumptions!$C$12)^5</f>
        <v>686.1434733</v>
      </c>
      <c r="Q578" s="139">
        <f>($L578*(1-(Assumptions!$C$25+0.06*(1-1))-Assumptions!$C$27)-Assumptions!$C$28)-MAX(0,($L578*(1-(Assumptions!$C$25+0.06*(1-1))-Assumptions!$C$27)-Assumptions!$C$28)*Assumptions!$C$31)+Assumptions!$C$28-Assumptions!$C$29-$L578*Assumptions!$C$30</f>
        <v>91.98294479</v>
      </c>
      <c r="R578" s="139">
        <f>($M578*(1-(Assumptions!$C$25+0.06*(1-$H578))-Assumptions!$C$27)-Assumptions!$C$28)-MAX(0,($M578*(1-(Assumptions!$C$25+0.06*(1-$H578))-Assumptions!$C$27)-Assumptions!$C$28)*Assumptions!$C$31)+Assumptions!$C$28-Assumptions!$C$29-$M578*Assumptions!$C$30</f>
        <v>96.84348161</v>
      </c>
      <c r="S578" s="139">
        <f>($N578*(1-(Assumptions!$C$25+0.06*(1-$I578))-Assumptions!$C$27)-Assumptions!$C$28)-MAX(0,($N578*(1-(Assumptions!$C$25+0.06*(1-$I578))-Assumptions!$C$27)-Assumptions!$C$28)*Assumptions!$C$31)+Assumptions!$C$28-Assumptions!$C$29-$N578*Assumptions!$C$30</f>
        <v>35.31084855</v>
      </c>
      <c r="T578" s="139">
        <f>($O578*(1-(Assumptions!$C$25+0.06*(1-$J578))-Assumptions!$C$27)-Assumptions!$C$28)-MAX(0,($O578*(1-(Assumptions!$C$25+0.06*(1-$J578))-Assumptions!$C$27)-Assumptions!$C$28)*Assumptions!$C$31)+Assumptions!$C$28-Assumptions!$C$29-$O578*Assumptions!$C$30</f>
        <v>36.54536124</v>
      </c>
      <c r="U578" s="139">
        <f>($P578*(1-(Assumptions!$C$25+0.06*(1-$K578))-Assumptions!$C$27)-Assumptions!$C$28)-MAX(0,($P578*(1-(Assumptions!$C$25+0.06*(1-$K578))-Assumptions!$C$27)-Assumptions!$C$28)*Assumptions!$C$31)+Assumptions!$C$28-Assumptions!$C$29-$P578*Assumptions!$C$30</f>
        <v>37.81299887</v>
      </c>
      <c r="V578" s="143">
        <f>(($Q578/(1+$D578)^1+$R578/(1+$D578)^2+$S578/(1+$D578)^3+$T578/(1+$D578)^4+$U578/(1+$D578)^5+$U578*(1+$E578)/($D578-$E578)/(1+$D578)^5)-Assumptions!$C$37)/Assumptions!$C$40/Assumptions!$C$38</f>
        <v>-1.118838836</v>
      </c>
    </row>
    <row r="579" ht="12.0" customHeight="1">
      <c r="B579" s="139">
        <v>527.0</v>
      </c>
      <c r="C579" s="140">
        <f t="shared" si="6"/>
        <v>0.5557998691</v>
      </c>
      <c r="D579" s="141">
        <f t="shared" si="7"/>
        <v>0.09921404823</v>
      </c>
      <c r="E579" s="141">
        <f t="shared" si="8"/>
        <v>0.0236639693</v>
      </c>
      <c r="F579" s="140">
        <f t="shared" si="9"/>
        <v>0.9217138085</v>
      </c>
      <c r="G579" s="141">
        <f t="shared" si="10"/>
        <v>0.07812923151</v>
      </c>
      <c r="H579" s="142">
        <f t="shared" si="11"/>
        <v>1</v>
      </c>
      <c r="I579" s="142">
        <f t="shared" si="12"/>
        <v>1</v>
      </c>
      <c r="J579" s="142">
        <f t="shared" si="13"/>
        <v>1</v>
      </c>
      <c r="K579" s="142">
        <f t="shared" si="14"/>
        <v>0</v>
      </c>
      <c r="L579" s="139">
        <f>Assumptions!$C$6*Assumptions!$C$7*(1+$G579-0.05*(1-1))^1+Assumptions!$C$6*Assumptions!$C$8*(1+Assumptions!$C$11)^1+Assumptions!$C$16*1+Assumptions!$C$6*Assumptions!$C$9*(1+Assumptions!$C$12)^1</f>
        <v>752.7662993</v>
      </c>
      <c r="M579" s="139">
        <f>Assumptions!$C$6*Assumptions!$C$7*(1+$G579-0.05*(1-$H579))^2+Assumptions!$C$6*Assumptions!$C$8*(1+Assumptions!$C$11)^2+Assumptions!$C$16*$H579+Assumptions!$C$6*Assumptions!$C$9*(1+Assumptions!$C$12)^2</f>
        <v>787.7166246</v>
      </c>
      <c r="N579" s="139">
        <f>Assumptions!$C$6*Assumptions!$C$7*(1+$G579-0.05*(1-$I579))^3+Assumptions!$C$6*Assumptions!$C$8*(1+Assumptions!$C$11)^3+Assumptions!$C$16*$I579+Assumptions!$C$6*Assumptions!$C$9*(1+Assumptions!$C$12)^3</f>
        <v>825.0140924</v>
      </c>
      <c r="O579" s="139">
        <f>Assumptions!$C$6*Assumptions!$C$7*(1+$G579-0.05*(1-$J579))^4+Assumptions!$C$6*Assumptions!$C$8*(1+Assumptions!$C$11)^4+Assumptions!$C$16*$J579+Assumptions!$C$6*Assumptions!$C$9*(1+Assumptions!$C$12)^4</f>
        <v>864.8344133</v>
      </c>
      <c r="P579" s="139">
        <f>Assumptions!$C$6*Assumptions!$C$7*(1+$G579-0.05*(1-$K579))^5+Assumptions!$C$6*Assumptions!$C$8*(1+Assumptions!$C$11)^5+Assumptions!$C$16*$K579+Assumptions!$C$6*Assumptions!$C$9*(1+Assumptions!$C$12)^5</f>
        <v>743.7405661</v>
      </c>
      <c r="Q579" s="139">
        <f>($L579*(1-(Assumptions!$C$25+0.06*(1-1))-Assumptions!$C$27)-Assumptions!$C$28)-MAX(0,($L579*(1-(Assumptions!$C$25+0.06*(1-1))-Assumptions!$C$27)-Assumptions!$C$28)*Assumptions!$C$31)+Assumptions!$C$28-Assumptions!$C$29-$L579*Assumptions!$C$30</f>
        <v>94.34475435</v>
      </c>
      <c r="R579" s="139">
        <f>($M579*(1-(Assumptions!$C$25+0.06*(1-$H579))-Assumptions!$C$27)-Assumptions!$C$28)-MAX(0,($M579*(1-(Assumptions!$C$25+0.06*(1-$H579))-Assumptions!$C$27)-Assumptions!$C$28)*Assumptions!$C$31)+Assumptions!$C$28-Assumptions!$C$29-$M579*Assumptions!$C$30</f>
        <v>101.8590743</v>
      </c>
      <c r="S579" s="139">
        <f>($N579*(1-(Assumptions!$C$25+0.06*(1-$I579))-Assumptions!$C$27)-Assumptions!$C$28)-MAX(0,($N579*(1-(Assumptions!$C$25+0.06*(1-$I579))-Assumptions!$C$27)-Assumptions!$C$28)*Assumptions!$C$31)+Assumptions!$C$28-Assumptions!$C$29-$N579*Assumptions!$C$30</f>
        <v>109.8780299</v>
      </c>
      <c r="T579" s="139">
        <f>($O579*(1-(Assumptions!$C$25+0.06*(1-$J579))-Assumptions!$C$27)-Assumptions!$C$28)-MAX(0,($O579*(1-(Assumptions!$C$25+0.06*(1-$J579))-Assumptions!$C$27)-Assumptions!$C$28)*Assumptions!$C$31)+Assumptions!$C$28-Assumptions!$C$29-$O579*Assumptions!$C$30</f>
        <v>118.4393989</v>
      </c>
      <c r="U579" s="139">
        <f>($P579*(1-(Assumptions!$C$25+0.06*(1-$K579))-Assumptions!$C$27)-Assumptions!$C$28)-MAX(0,($P579*(1-(Assumptions!$C$25+0.06*(1-$K579))-Assumptions!$C$27)-Assumptions!$C$28)*Assumptions!$C$31)+Assumptions!$C$28-Assumptions!$C$29-$P579*Assumptions!$C$30</f>
        <v>51.0603302</v>
      </c>
      <c r="V579" s="143">
        <f>(($Q579/(1+$D579)^1+$R579/(1+$D579)^2+$S579/(1+$D579)^3+$T579/(1+$D579)^4+$U579/(1+$D579)^5+$U579*(1+$E579)/($D579-$E579)/(1+$D579)^5)-Assumptions!$C$37)/Assumptions!$C$40/Assumptions!$C$38</f>
        <v>0.8211553531</v>
      </c>
    </row>
    <row r="580" ht="12.0" customHeight="1">
      <c r="B580" s="139">
        <v>528.0</v>
      </c>
      <c r="C580" s="140">
        <f t="shared" si="6"/>
        <v>0.2802318863</v>
      </c>
      <c r="D580" s="141">
        <f t="shared" si="7"/>
        <v>0.09474672301</v>
      </c>
      <c r="E580" s="141">
        <f t="shared" si="8"/>
        <v>0.02578967703</v>
      </c>
      <c r="F580" s="140">
        <f t="shared" si="9"/>
        <v>0.9691418065</v>
      </c>
      <c r="G580" s="141">
        <f t="shared" si="10"/>
        <v>0.08254716508</v>
      </c>
      <c r="H580" s="142">
        <f t="shared" si="11"/>
        <v>1</v>
      </c>
      <c r="I580" s="142">
        <f t="shared" si="12"/>
        <v>0</v>
      </c>
      <c r="J580" s="142">
        <f t="shared" si="13"/>
        <v>1</v>
      </c>
      <c r="K580" s="142">
        <f t="shared" si="14"/>
        <v>0</v>
      </c>
      <c r="L580" s="139">
        <f>Assumptions!$C$6*Assumptions!$C$7*(1+$G580-0.05*(1-1))^1+Assumptions!$C$6*Assumptions!$C$8*(1+Assumptions!$C$11)^1+Assumptions!$C$16*1+Assumptions!$C$6*Assumptions!$C$9*(1+Assumptions!$C$12)^1</f>
        <v>754.2533758</v>
      </c>
      <c r="M580" s="139">
        <f>Assumptions!$C$6*Assumptions!$C$7*(1+$G580-0.05*(1-$H580))^2+Assumptions!$C$6*Assumptions!$C$8*(1+Assumptions!$C$11)^2+Assumptions!$C$16*$H580+Assumptions!$C$6*Assumptions!$C$9*(1+Assumptions!$C$12)^2</f>
        <v>790.9297155</v>
      </c>
      <c r="N580" s="139">
        <f>Assumptions!$C$6*Assumptions!$C$7*(1+$G580-0.05*(1-$I580))^3+Assumptions!$C$6*Assumptions!$C$8*(1+Assumptions!$C$11)^3+Assumptions!$C$16*$I580+Assumptions!$C$6*Assumptions!$C$9*(1+Assumptions!$C$12)^3</f>
        <v>713.742099</v>
      </c>
      <c r="O580" s="139">
        <f>Assumptions!$C$6*Assumptions!$C$7*(1+$G580-0.05*(1-$J580))^4+Assumptions!$C$6*Assumptions!$C$8*(1+Assumptions!$C$11)^4+Assumptions!$C$16*$J580+Assumptions!$C$6*Assumptions!$C$9*(1+Assumptions!$C$12)^4</f>
        <v>872.3346383</v>
      </c>
      <c r="P580" s="139">
        <f>Assumptions!$C$6*Assumptions!$C$7*(1+$G580-0.05*(1-$K580))^5+Assumptions!$C$6*Assumptions!$C$8*(1+Assumptions!$C$11)^5+Assumptions!$C$16*$K580+Assumptions!$C$6*Assumptions!$C$9*(1+Assumptions!$C$12)^5</f>
        <v>752.120228</v>
      </c>
      <c r="Q580" s="139">
        <f>($L580*(1-(Assumptions!$C$25+0.06*(1-1))-Assumptions!$C$27)-Assumptions!$C$28)-MAX(0,($L580*(1-(Assumptions!$C$25+0.06*(1-1))-Assumptions!$C$27)-Assumptions!$C$28)*Assumptions!$C$31)+Assumptions!$C$28-Assumptions!$C$29-$L580*Assumptions!$C$30</f>
        <v>94.66447579</v>
      </c>
      <c r="R580" s="139">
        <f>($M580*(1-(Assumptions!$C$25+0.06*(1-$H580))-Assumptions!$C$27)-Assumptions!$C$28)-MAX(0,($M580*(1-(Assumptions!$C$25+0.06*(1-$H580))-Assumptions!$C$27)-Assumptions!$C$28)*Assumptions!$C$31)+Assumptions!$C$28-Assumptions!$C$29-$M580*Assumptions!$C$30</f>
        <v>102.5498888</v>
      </c>
      <c r="S580" s="139">
        <f>($N580*(1-(Assumptions!$C$25+0.06*(1-$I580))-Assumptions!$C$27)-Assumptions!$C$28)-MAX(0,($N580*(1-(Assumptions!$C$25+0.06*(1-$I580))-Assumptions!$C$27)-Assumptions!$C$28)*Assumptions!$C$31)+Assumptions!$C$28-Assumptions!$C$29-$N580*Assumptions!$C$30</f>
        <v>44.16068277</v>
      </c>
      <c r="T580" s="139">
        <f>($O580*(1-(Assumptions!$C$25+0.06*(1-$J580))-Assumptions!$C$27)-Assumptions!$C$28)-MAX(0,($O580*(1-(Assumptions!$C$25+0.06*(1-$J580))-Assumptions!$C$27)-Assumptions!$C$28)*Assumptions!$C$31)+Assumptions!$C$28-Assumptions!$C$29-$O580*Assumptions!$C$30</f>
        <v>120.0519472</v>
      </c>
      <c r="U580" s="139">
        <f>($P580*(1-(Assumptions!$C$25+0.06*(1-$K580))-Assumptions!$C$27)-Assumptions!$C$28)-MAX(0,($P580*(1-(Assumptions!$C$25+0.06*(1-$K580))-Assumptions!$C$27)-Assumptions!$C$28)*Assumptions!$C$31)+Assumptions!$C$28-Assumptions!$C$29-$P580*Assumptions!$C$30</f>
        <v>52.98765243</v>
      </c>
      <c r="V580" s="143">
        <f>(($Q580/(1+$D580)^1+$R580/(1+$D580)^2+$S580/(1+$D580)^3+$T580/(1+$D580)^4+$U580/(1+$D580)^5+$U580*(1+$E580)/($D580-$E580)/(1+$D580)^5)-Assumptions!$C$37)/Assumptions!$C$40/Assumptions!$C$38</f>
        <v>1.034528731</v>
      </c>
    </row>
    <row r="581" ht="12.0" customHeight="1">
      <c r="B581" s="139">
        <v>529.0</v>
      </c>
      <c r="C581" s="140">
        <f t="shared" si="6"/>
        <v>0.5900895298</v>
      </c>
      <c r="D581" s="141">
        <f t="shared" si="7"/>
        <v>0.09983557539</v>
      </c>
      <c r="E581" s="141">
        <f t="shared" si="8"/>
        <v>0.02264110423</v>
      </c>
      <c r="F581" s="140">
        <f t="shared" si="9"/>
        <v>0.7945200527</v>
      </c>
      <c r="G581" s="141">
        <f t="shared" si="10"/>
        <v>0.07076815388</v>
      </c>
      <c r="H581" s="142">
        <f t="shared" si="11"/>
        <v>1</v>
      </c>
      <c r="I581" s="142">
        <f t="shared" si="12"/>
        <v>1</v>
      </c>
      <c r="J581" s="142">
        <f t="shared" si="13"/>
        <v>1</v>
      </c>
      <c r="K581" s="142">
        <f t="shared" si="14"/>
        <v>1</v>
      </c>
      <c r="L581" s="139">
        <f>Assumptions!$C$6*Assumptions!$C$7*(1+$G581-0.05*(1-1))^1+Assumptions!$C$6*Assumptions!$C$8*(1+Assumptions!$C$11)^1+Assumptions!$C$16*1+Assumptions!$C$6*Assumptions!$C$9*(1+Assumptions!$C$12)^1</f>
        <v>750.2885606</v>
      </c>
      <c r="M581" s="139">
        <f>Assumptions!$C$6*Assumptions!$C$7*(1+$G581-0.05*(1-$H581))^2+Assumptions!$C$6*Assumptions!$C$8*(1+Assumptions!$C$11)^2+Assumptions!$C$16*$H581+Assumptions!$C$6*Assumptions!$C$9*(1+Assumptions!$C$12)^2</f>
        <v>782.3922183</v>
      </c>
      <c r="N581" s="139">
        <f>Assumptions!$C$6*Assumptions!$C$7*(1+$G581-0.05*(1-$I581))^3+Assumptions!$C$6*Assumptions!$C$8*(1+Assumptions!$C$11)^3+Assumptions!$C$16*$I581+Assumptions!$C$6*Assumptions!$C$9*(1+Assumptions!$C$12)^3</f>
        <v>816.4328568</v>
      </c>
      <c r="O581" s="139">
        <f>Assumptions!$C$6*Assumptions!$C$7*(1+$G581-0.05*(1-$J581))^4+Assumptions!$C$6*Assumptions!$C$8*(1+Assumptions!$C$11)^4+Assumptions!$C$16*$J581+Assumptions!$C$6*Assumptions!$C$9*(1+Assumptions!$C$12)^4</f>
        <v>852.5408539</v>
      </c>
      <c r="P581" s="139">
        <f>Assumptions!$C$6*Assumptions!$C$7*(1+$G581-0.05*(1-$K581))^5+Assumptions!$C$6*Assumptions!$C$8*(1+Assumptions!$C$11)^5+Assumptions!$C$16*$K581+Assumptions!$C$6*Assumptions!$C$9*(1+Assumptions!$C$12)^5</f>
        <v>890.8556802</v>
      </c>
      <c r="Q581" s="139">
        <f>($L581*(1-(Assumptions!$C$25+0.06*(1-1))-Assumptions!$C$27)-Assumptions!$C$28)-MAX(0,($L581*(1-(Assumptions!$C$25+0.06*(1-1))-Assumptions!$C$27)-Assumptions!$C$28)*Assumptions!$C$31)+Assumptions!$C$28-Assumptions!$C$29-$L581*Assumptions!$C$30</f>
        <v>93.81204053</v>
      </c>
      <c r="R581" s="139">
        <f>($M581*(1-(Assumptions!$C$25+0.06*(1-$H581))-Assumptions!$C$27)-Assumptions!$C$28)-MAX(0,($M581*(1-(Assumptions!$C$25+0.06*(1-$H581))-Assumptions!$C$27)-Assumptions!$C$28)*Assumptions!$C$31)+Assumptions!$C$28-Assumptions!$C$29-$M581*Assumptions!$C$30</f>
        <v>100.7143269</v>
      </c>
      <c r="S581" s="139">
        <f>($N581*(1-(Assumptions!$C$25+0.06*(1-$I581))-Assumptions!$C$27)-Assumptions!$C$28)-MAX(0,($N581*(1-(Assumptions!$C$25+0.06*(1-$I581))-Assumptions!$C$27)-Assumptions!$C$28)*Assumptions!$C$31)+Assumptions!$C$28-Assumptions!$C$29-$N581*Assumptions!$C$30</f>
        <v>108.0330642</v>
      </c>
      <c r="T581" s="139">
        <f>($O581*(1-(Assumptions!$C$25+0.06*(1-$J581))-Assumptions!$C$27)-Assumptions!$C$28)-MAX(0,($O581*(1-(Assumptions!$C$25+0.06*(1-$J581))-Assumptions!$C$27)-Assumptions!$C$28)*Assumptions!$C$31)+Assumptions!$C$28-Assumptions!$C$29-$O581*Assumptions!$C$30</f>
        <v>115.7962836</v>
      </c>
      <c r="U581" s="139">
        <f>($P581*(1-(Assumptions!$C$25+0.06*(1-$K581))-Assumptions!$C$27)-Assumptions!$C$28)-MAX(0,($P581*(1-(Assumptions!$C$25+0.06*(1-$K581))-Assumptions!$C$27)-Assumptions!$C$28)*Assumptions!$C$31)+Assumptions!$C$28-Assumptions!$C$29-$P581*Assumptions!$C$30</f>
        <v>124.0339712</v>
      </c>
      <c r="V581" s="143">
        <f>(($Q581/(1+$D581)^1+$R581/(1+$D581)^2+$S581/(1+$D581)^3+$T581/(1+$D581)^4+$U581/(1+$D581)^5+$U581*(1+$E581)/($D581-$E581)/(1+$D581)^5)-Assumptions!$C$37)/Assumptions!$C$40/Assumptions!$C$38</f>
        <v>5.738263464</v>
      </c>
    </row>
    <row r="582" ht="12.0" customHeight="1">
      <c r="B582" s="139">
        <v>530.0</v>
      </c>
      <c r="C582" s="140">
        <f t="shared" si="6"/>
        <v>0.5697459938</v>
      </c>
      <c r="D582" s="141">
        <f t="shared" si="7"/>
        <v>0.0994638326</v>
      </c>
      <c r="E582" s="141">
        <f t="shared" si="8"/>
        <v>0.0192390869</v>
      </c>
      <c r="F582" s="140">
        <f t="shared" si="9"/>
        <v>0.4656170576</v>
      </c>
      <c r="G582" s="141">
        <f t="shared" si="10"/>
        <v>0.05895014169</v>
      </c>
      <c r="H582" s="142">
        <f t="shared" si="11"/>
        <v>1</v>
      </c>
      <c r="I582" s="142">
        <f t="shared" si="12"/>
        <v>0</v>
      </c>
      <c r="J582" s="142">
        <f t="shared" si="13"/>
        <v>0</v>
      </c>
      <c r="K582" s="142">
        <f t="shared" si="14"/>
        <v>0</v>
      </c>
      <c r="L582" s="139">
        <f>Assumptions!$C$6*Assumptions!$C$7*(1+$G582-0.05*(1-1))^1+Assumptions!$C$6*Assumptions!$C$8*(1+Assumptions!$C$11)^1+Assumptions!$C$16*1+Assumptions!$C$6*Assumptions!$C$9*(1+Assumptions!$C$12)^1</f>
        <v>746.3106177</v>
      </c>
      <c r="M582" s="139">
        <f>Assumptions!$C$6*Assumptions!$C$7*(1+$G582-0.05*(1-$H582))^2+Assumptions!$C$6*Assumptions!$C$8*(1+Assumptions!$C$11)^2+Assumptions!$C$16*$H582+Assumptions!$C$6*Assumptions!$C$9*(1+Assumptions!$C$12)^2</f>
        <v>773.9203205</v>
      </c>
      <c r="N582" s="139">
        <f>Assumptions!$C$6*Assumptions!$C$7*(1+$G582-0.05*(1-$I582))^3+Assumptions!$C$6*Assumptions!$C$8*(1+Assumptions!$C$11)^3+Assumptions!$C$16*$I582+Assumptions!$C$6*Assumptions!$C$9*(1+Assumptions!$C$12)^3</f>
        <v>688.9136517</v>
      </c>
      <c r="O582" s="139">
        <f>Assumptions!$C$6*Assumptions!$C$7*(1+$G582-0.05*(1-$J582))^4+Assumptions!$C$6*Assumptions!$C$8*(1+Assumptions!$C$11)^4+Assumptions!$C$16*$J582+Assumptions!$C$6*Assumptions!$C$9*(1+Assumptions!$C$12)^4</f>
        <v>698.8717789</v>
      </c>
      <c r="P582" s="139">
        <f>Assumptions!$C$6*Assumptions!$C$7*(1+$G582-0.05*(1-$K582))^5+Assumptions!$C$6*Assumptions!$C$8*(1+Assumptions!$C$11)^5+Assumptions!$C$16*$K582+Assumptions!$C$6*Assumptions!$C$9*(1+Assumptions!$C$12)^5</f>
        <v>708.9948778</v>
      </c>
      <c r="Q582" s="139">
        <f>($L582*(1-(Assumptions!$C$25+0.06*(1-1))-Assumptions!$C$27)-Assumptions!$C$28)-MAX(0,($L582*(1-(Assumptions!$C$25+0.06*(1-1))-Assumptions!$C$27)-Assumptions!$C$28)*Assumptions!$C$31)+Assumptions!$C$28-Assumptions!$C$29-$L582*Assumptions!$C$30</f>
        <v>92.9567828</v>
      </c>
      <c r="R582" s="139">
        <f>($M582*(1-(Assumptions!$C$25+0.06*(1-$H582))-Assumptions!$C$27)-Assumptions!$C$28)-MAX(0,($M582*(1-(Assumptions!$C$25+0.06*(1-$H582))-Assumptions!$C$27)-Assumptions!$C$28)*Assumptions!$C$31)+Assumptions!$C$28-Assumptions!$C$29-$M582*Assumptions!$C$30</f>
        <v>98.89286891</v>
      </c>
      <c r="S582" s="139">
        <f>($N582*(1-(Assumptions!$C$25+0.06*(1-$I582))-Assumptions!$C$27)-Assumptions!$C$28)-MAX(0,($N582*(1-(Assumptions!$C$25+0.06*(1-$I582))-Assumptions!$C$27)-Assumptions!$C$28)*Assumptions!$C$31)+Assumptions!$C$28-Assumptions!$C$29-$N582*Assumptions!$C$30</f>
        <v>38.45013988</v>
      </c>
      <c r="T582" s="139">
        <f>($O582*(1-(Assumptions!$C$25+0.06*(1-$J582))-Assumptions!$C$27)-Assumptions!$C$28)-MAX(0,($O582*(1-(Assumptions!$C$25+0.06*(1-$J582))-Assumptions!$C$27)-Assumptions!$C$28)*Assumptions!$C$31)+Assumptions!$C$28-Assumptions!$C$29-$O582*Assumptions!$C$30</f>
        <v>40.74050915</v>
      </c>
      <c r="U582" s="139">
        <f>($P582*(1-(Assumptions!$C$25+0.06*(1-$K582))-Assumptions!$C$27)-Assumptions!$C$28)-MAX(0,($P582*(1-(Assumptions!$C$25+0.06*(1-$K582))-Assumptions!$C$27)-Assumptions!$C$28)*Assumptions!$C$31)+Assumptions!$C$28-Assumptions!$C$29-$P582*Assumptions!$C$30</f>
        <v>43.0688219</v>
      </c>
      <c r="V582" s="143">
        <f>(($Q582/(1+$D582)^1+$R582/(1+$D582)^2+$S582/(1+$D582)^3+$T582/(1+$D582)^4+$U582/(1+$D582)^5+$U582*(1+$E582)/($D582-$E582)/(1+$D582)^5)-Assumptions!$C$37)/Assumptions!$C$40/Assumptions!$C$38</f>
        <v>-0.78928664</v>
      </c>
    </row>
    <row r="583" ht="12.0" customHeight="1">
      <c r="B583" s="139">
        <v>531.0</v>
      </c>
      <c r="C583" s="140">
        <f t="shared" si="6"/>
        <v>0.2584315764</v>
      </c>
      <c r="D583" s="141">
        <f t="shared" si="7"/>
        <v>0.09435993079</v>
      </c>
      <c r="E583" s="141">
        <f t="shared" si="8"/>
        <v>0.01644021061</v>
      </c>
      <c r="F583" s="140">
        <f t="shared" si="9"/>
        <v>0.2109221509</v>
      </c>
      <c r="G583" s="141">
        <f t="shared" si="10"/>
        <v>0.04948486263</v>
      </c>
      <c r="H583" s="142">
        <f t="shared" si="11"/>
        <v>1</v>
      </c>
      <c r="I583" s="142">
        <f t="shared" si="12"/>
        <v>1</v>
      </c>
      <c r="J583" s="142">
        <f t="shared" si="13"/>
        <v>1</v>
      </c>
      <c r="K583" s="142">
        <f t="shared" si="14"/>
        <v>1</v>
      </c>
      <c r="L583" s="139">
        <f>Assumptions!$C$6*Assumptions!$C$7*(1+$G583-0.05*(1-1))^1+Assumptions!$C$6*Assumptions!$C$8*(1+Assumptions!$C$11)^1+Assumptions!$C$16*1+Assumptions!$C$6*Assumptions!$C$9*(1+Assumptions!$C$12)^1</f>
        <v>743.1246048</v>
      </c>
      <c r="M583" s="139">
        <f>Assumptions!$C$6*Assumptions!$C$7*(1+$G583-0.05*(1-$H583))^2+Assumptions!$C$6*Assumptions!$C$8*(1+Assumptions!$C$11)^2+Assumptions!$C$16*$H583+Assumptions!$C$6*Assumptions!$C$9*(1+Assumptions!$C$12)^2</f>
        <v>767.2028193</v>
      </c>
      <c r="N583" s="139">
        <f>Assumptions!$C$6*Assumptions!$C$7*(1+$G583-0.05*(1-$I583))^3+Assumptions!$C$6*Assumptions!$C$8*(1+Assumptions!$C$11)^3+Assumptions!$C$16*$I583+Assumptions!$C$6*Assumptions!$C$9*(1+Assumptions!$C$12)^3</f>
        <v>792.2780188</v>
      </c>
      <c r="O583" s="139">
        <f>Assumptions!$C$6*Assumptions!$C$7*(1+$G583-0.05*(1-$J583))^4+Assumptions!$C$6*Assumptions!$C$8*(1+Assumptions!$C$11)^4+Assumptions!$C$16*$J583+Assumptions!$C$6*Assumptions!$C$9*(1+Assumptions!$C$12)^4</f>
        <v>818.3956483</v>
      </c>
      <c r="P583" s="139">
        <f>Assumptions!$C$6*Assumptions!$C$7*(1+$G583-0.05*(1-$K583))^5+Assumptions!$C$6*Assumptions!$C$8*(1+Assumptions!$C$11)^5+Assumptions!$C$16*$K583+Assumptions!$C$6*Assumptions!$C$9*(1+Assumptions!$C$12)^5</f>
        <v>845.6033242</v>
      </c>
      <c r="Q583" s="139">
        <f>($L583*(1-(Assumptions!$C$25+0.06*(1-1))-Assumptions!$C$27)-Assumptions!$C$28)-MAX(0,($L583*(1-(Assumptions!$C$25+0.06*(1-1))-Assumptions!$C$27)-Assumptions!$C$28)*Assumptions!$C$31)+Assumptions!$C$28-Assumptions!$C$29-$L583*Assumptions!$C$30</f>
        <v>92.27179002</v>
      </c>
      <c r="R583" s="139">
        <f>($M583*(1-(Assumptions!$C$25+0.06*(1-$H583))-Assumptions!$C$27)-Assumptions!$C$28)-MAX(0,($M583*(1-(Assumptions!$C$25+0.06*(1-$H583))-Assumptions!$C$27)-Assumptions!$C$28)*Assumptions!$C$31)+Assumptions!$C$28-Assumptions!$C$29-$M583*Assumptions!$C$30</f>
        <v>97.44860615</v>
      </c>
      <c r="S583" s="139">
        <f>($N583*(1-(Assumptions!$C$25+0.06*(1-$I583))-Assumptions!$C$27)-Assumptions!$C$28)-MAX(0,($N583*(1-(Assumptions!$C$25+0.06*(1-$I583))-Assumptions!$C$27)-Assumptions!$C$28)*Assumptions!$C$31)+Assumptions!$C$28-Assumptions!$C$29-$N583*Assumptions!$C$30</f>
        <v>102.839774</v>
      </c>
      <c r="T583" s="139">
        <f>($O583*(1-(Assumptions!$C$25+0.06*(1-$J583))-Assumptions!$C$27)-Assumptions!$C$28)-MAX(0,($O583*(1-(Assumptions!$C$25+0.06*(1-$J583))-Assumptions!$C$27)-Assumptions!$C$28)*Assumptions!$C$31)+Assumptions!$C$28-Assumptions!$C$29-$O583*Assumptions!$C$30</f>
        <v>108.4550644</v>
      </c>
      <c r="U583" s="139">
        <f>($P583*(1-(Assumptions!$C$25+0.06*(1-$K583))-Assumptions!$C$27)-Assumptions!$C$28)-MAX(0,($P583*(1-(Assumptions!$C$25+0.06*(1-$K583))-Assumptions!$C$27)-Assumptions!$C$28)*Assumptions!$C$31)+Assumptions!$C$28-Assumptions!$C$29-$P583*Assumptions!$C$30</f>
        <v>114.3047147</v>
      </c>
      <c r="V583" s="143">
        <f>(($Q583/(1+$D583)^1+$R583/(1+$D583)^2+$S583/(1+$D583)^3+$T583/(1+$D583)^4+$U583/(1+$D583)^5+$U583*(1+$E583)/($D583-$E583)/(1+$D583)^5)-Assumptions!$C$37)/Assumptions!$C$40/Assumptions!$C$38</f>
        <v>5.079057991</v>
      </c>
    </row>
    <row r="584" ht="12.0" customHeight="1">
      <c r="B584" s="139">
        <v>532.0</v>
      </c>
      <c r="C584" s="140">
        <f t="shared" si="6"/>
        <v>0.4888857116</v>
      </c>
      <c r="D584" s="141">
        <f t="shared" si="7"/>
        <v>0.09806674527</v>
      </c>
      <c r="E584" s="141">
        <f t="shared" si="8"/>
        <v>0.01372396822</v>
      </c>
      <c r="F584" s="140">
        <f t="shared" si="9"/>
        <v>0.9596111576</v>
      </c>
      <c r="G584" s="141">
        <f t="shared" si="10"/>
        <v>0.08147357541</v>
      </c>
      <c r="H584" s="142">
        <f t="shared" si="11"/>
        <v>0</v>
      </c>
      <c r="I584" s="142">
        <f t="shared" si="12"/>
        <v>1</v>
      </c>
      <c r="J584" s="142">
        <f t="shared" si="13"/>
        <v>0</v>
      </c>
      <c r="K584" s="142">
        <f t="shared" si="14"/>
        <v>1</v>
      </c>
      <c r="L584" s="139">
        <f>Assumptions!$C$6*Assumptions!$C$7*(1+$G584-0.05*(1-1))^1+Assumptions!$C$6*Assumptions!$C$8*(1+Assumptions!$C$11)^1+Assumptions!$C$16*1+Assumptions!$C$6*Assumptions!$C$9*(1+Assumptions!$C$12)^1</f>
        <v>753.8920055</v>
      </c>
      <c r="M584" s="139">
        <f>Assumptions!$C$6*Assumptions!$C$7*(1+$G584-0.05*(1-$H584))^2+Assumptions!$C$6*Assumptions!$C$8*(1+Assumptions!$C$11)^2+Assumptions!$C$16*$H584+Assumptions!$C$6*Assumptions!$C$9*(1+Assumptions!$C$12)^2</f>
        <v>694.5868022</v>
      </c>
      <c r="N584" s="139">
        <f>Assumptions!$C$6*Assumptions!$C$7*(1+$G584-0.05*(1-$I584))^3+Assumptions!$C$6*Assumptions!$C$8*(1+Assumptions!$C$11)^3+Assumptions!$C$16*$I584+Assumptions!$C$6*Assumptions!$C$9*(1+Assumptions!$C$12)^3</f>
        <v>828.951718</v>
      </c>
      <c r="O584" s="139">
        <f>Assumptions!$C$6*Assumptions!$C$7*(1+$G584-0.05*(1-$J584))^4+Assumptions!$C$6*Assumptions!$C$8*(1+Assumptions!$C$11)^4+Assumptions!$C$16*$J584+Assumptions!$C$6*Assumptions!$C$9*(1+Assumptions!$C$12)^4</f>
        <v>731.0774772</v>
      </c>
      <c r="P584" s="139">
        <f>Assumptions!$C$6*Assumptions!$C$7*(1+$G584-0.05*(1-$K584))^5+Assumptions!$C$6*Assumptions!$C$8*(1+Assumptions!$C$11)^5+Assumptions!$C$16*$K584+Assumptions!$C$6*Assumptions!$C$9*(1+Assumptions!$C$12)^5</f>
        <v>915.0188321</v>
      </c>
      <c r="Q584" s="139">
        <f>($L584*(1-(Assumptions!$C$25+0.06*(1-1))-Assumptions!$C$27)-Assumptions!$C$28)-MAX(0,($L584*(1-(Assumptions!$C$25+0.06*(1-1))-Assumptions!$C$27)-Assumptions!$C$28)*Assumptions!$C$31)+Assumptions!$C$28-Assumptions!$C$29-$L584*Assumptions!$C$30</f>
        <v>94.58678118</v>
      </c>
      <c r="R584" s="139">
        <f>($M584*(1-(Assumptions!$C$25+0.06*(1-$H584))-Assumptions!$C$27)-Assumptions!$C$28)-MAX(0,($M584*(1-(Assumptions!$C$25+0.06*(1-$H584))-Assumptions!$C$27)-Assumptions!$C$28)*Assumptions!$C$31)+Assumptions!$C$28-Assumptions!$C$29-$M584*Assumptions!$C$30</f>
        <v>39.7549645</v>
      </c>
      <c r="S584" s="139">
        <f>($N584*(1-(Assumptions!$C$25+0.06*(1-$I584))-Assumptions!$C$27)-Assumptions!$C$28)-MAX(0,($N584*(1-(Assumptions!$C$25+0.06*(1-$I584))-Assumptions!$C$27)-Assumptions!$C$28)*Assumptions!$C$31)+Assumptions!$C$28-Assumptions!$C$29-$N584*Assumptions!$C$30</f>
        <v>110.7246194</v>
      </c>
      <c r="T584" s="139">
        <f>($O584*(1-(Assumptions!$C$25+0.06*(1-$J584))-Assumptions!$C$27)-Assumptions!$C$28)-MAX(0,($O584*(1-(Assumptions!$C$25+0.06*(1-$J584))-Assumptions!$C$27)-Assumptions!$C$28)*Assumptions!$C$31)+Assumptions!$C$28-Assumptions!$C$29-$O584*Assumptions!$C$30</f>
        <v>48.14781976</v>
      </c>
      <c r="U584" s="139">
        <f>($P584*(1-(Assumptions!$C$25+0.06*(1-$K584))-Assumptions!$C$27)-Assumptions!$C$28)-MAX(0,($P584*(1-(Assumptions!$C$25+0.06*(1-$K584))-Assumptions!$C$27)-Assumptions!$C$28)*Assumptions!$C$31)+Assumptions!$C$28-Assumptions!$C$29-$P584*Assumptions!$C$30</f>
        <v>129.2290489</v>
      </c>
      <c r="V584" s="143">
        <f>(($Q584/(1+$D584)^1+$R584/(1+$D584)^2+$S584/(1+$D584)^3+$T584/(1+$D584)^4+$U584/(1+$D584)^5+$U584*(1+$E584)/($D584-$E584)/(1+$D584)^5)-Assumptions!$C$37)/Assumptions!$C$40/Assumptions!$C$38</f>
        <v>4.667179722</v>
      </c>
    </row>
    <row r="585" ht="12.0" customHeight="1">
      <c r="B585" s="139">
        <v>533.0</v>
      </c>
      <c r="C585" s="140">
        <f t="shared" si="6"/>
        <v>0.3398013222</v>
      </c>
      <c r="D585" s="141">
        <f t="shared" si="7"/>
        <v>0.09573278381</v>
      </c>
      <c r="E585" s="141">
        <f t="shared" si="8"/>
        <v>0.01484952006</v>
      </c>
      <c r="F585" s="140">
        <f t="shared" si="9"/>
        <v>0.4430627832</v>
      </c>
      <c r="G585" s="141">
        <f t="shared" si="10"/>
        <v>0.05824027283</v>
      </c>
      <c r="H585" s="142">
        <f t="shared" si="11"/>
        <v>1</v>
      </c>
      <c r="I585" s="142">
        <f t="shared" si="12"/>
        <v>0</v>
      </c>
      <c r="J585" s="142">
        <f t="shared" si="13"/>
        <v>0</v>
      </c>
      <c r="K585" s="142">
        <f t="shared" si="14"/>
        <v>1</v>
      </c>
      <c r="L585" s="139">
        <f>Assumptions!$C$6*Assumptions!$C$7*(1+$G585-0.05*(1-1))^1+Assumptions!$C$6*Assumptions!$C$8*(1+Assumptions!$C$11)^1+Assumptions!$C$16*1+Assumptions!$C$6*Assumptions!$C$9*(1+Assumptions!$C$12)^1</f>
        <v>746.0716758</v>
      </c>
      <c r="M585" s="139">
        <f>Assumptions!$C$6*Assumptions!$C$7*(1+$G585-0.05*(1-$H585))^2+Assumptions!$C$6*Assumptions!$C$8*(1+Assumptions!$C$11)^2+Assumptions!$C$16*$H585+Assumptions!$C$6*Assumptions!$C$9*(1+Assumptions!$C$12)^2</f>
        <v>773.4144351</v>
      </c>
      <c r="N585" s="139">
        <f>Assumptions!$C$6*Assumptions!$C$7*(1+$G585-0.05*(1-$I585))^3+Assumptions!$C$6*Assumptions!$C$8*(1+Assumptions!$C$11)^3+Assumptions!$C$16*$I585+Assumptions!$C$6*Assumptions!$C$9*(1+Assumptions!$C$12)^3</f>
        <v>688.1844506</v>
      </c>
      <c r="O585" s="139">
        <f>Assumptions!$C$6*Assumptions!$C$7*(1+$G585-0.05*(1-$J585))^4+Assumptions!$C$6*Assumptions!$C$8*(1+Assumptions!$C$11)^4+Assumptions!$C$16*$J585+Assumptions!$C$6*Assumptions!$C$9*(1+Assumptions!$C$12)^4</f>
        <v>697.8911539</v>
      </c>
      <c r="P585" s="139">
        <f>Assumptions!$C$6*Assumptions!$C$7*(1+$G585-0.05*(1-$K585))^5+Assumptions!$C$6*Assumptions!$C$8*(1+Assumptions!$C$11)^5+Assumptions!$C$16*$K585+Assumptions!$C$6*Assumptions!$C$9*(1+Assumptions!$C$12)^5</f>
        <v>863.7798768</v>
      </c>
      <c r="Q585" s="139">
        <f>($L585*(1-(Assumptions!$C$25+0.06*(1-1))-Assumptions!$C$27)-Assumptions!$C$28)-MAX(0,($L585*(1-(Assumptions!$C$25+0.06*(1-1))-Assumptions!$C$27)-Assumptions!$C$28)*Assumptions!$C$31)+Assumptions!$C$28-Assumptions!$C$29-$L585*Assumptions!$C$30</f>
        <v>92.9054103</v>
      </c>
      <c r="R585" s="139">
        <f>($M585*(1-(Assumptions!$C$25+0.06*(1-$H585))-Assumptions!$C$27)-Assumptions!$C$28)-MAX(0,($M585*(1-(Assumptions!$C$25+0.06*(1-$H585))-Assumptions!$C$27)-Assumptions!$C$28)*Assumptions!$C$31)+Assumptions!$C$28-Assumptions!$C$29-$M585*Assumptions!$C$30</f>
        <v>98.78410355</v>
      </c>
      <c r="S585" s="139">
        <f>($N585*(1-(Assumptions!$C$25+0.06*(1-$I585))-Assumptions!$C$27)-Assumptions!$C$28)-MAX(0,($N585*(1-(Assumptions!$C$25+0.06*(1-$I585))-Assumptions!$C$27)-Assumptions!$C$28)*Assumptions!$C$31)+Assumptions!$C$28-Assumptions!$C$29-$N585*Assumptions!$C$30</f>
        <v>38.28242363</v>
      </c>
      <c r="T585" s="139">
        <f>($O585*(1-(Assumptions!$C$25+0.06*(1-$J585))-Assumptions!$C$27)-Assumptions!$C$28)-MAX(0,($O585*(1-(Assumptions!$C$25+0.06*(1-$J585))-Assumptions!$C$27)-Assumptions!$C$28)*Assumptions!$C$31)+Assumptions!$C$28-Assumptions!$C$29-$O585*Assumptions!$C$30</f>
        <v>40.51496539</v>
      </c>
      <c r="U585" s="139">
        <f>($P585*(1-(Assumptions!$C$25+0.06*(1-$K585))-Assumptions!$C$27)-Assumptions!$C$28)-MAX(0,($P585*(1-(Assumptions!$C$25+0.06*(1-$K585))-Assumptions!$C$27)-Assumptions!$C$28)*Assumptions!$C$31)+Assumptions!$C$28-Assumptions!$C$29-$P585*Assumptions!$C$30</f>
        <v>118.2126735</v>
      </c>
      <c r="V585" s="143">
        <f>(($Q585/(1+$D585)^1+$R585/(1+$D585)^2+$S585/(1+$D585)^3+$T585/(1+$D585)^4+$U585/(1+$D585)^5+$U585*(1+$E585)/($D585-$E585)/(1+$D585)^5)-Assumptions!$C$37)/Assumptions!$C$40/Assumptions!$C$38</f>
        <v>4.264484586</v>
      </c>
    </row>
    <row r="586" ht="12.0" customHeight="1">
      <c r="B586" s="139">
        <v>534.0</v>
      </c>
      <c r="C586" s="140">
        <f t="shared" si="6"/>
        <v>0.1936672645</v>
      </c>
      <c r="D586" s="141">
        <f t="shared" si="7"/>
        <v>0.09310266639</v>
      </c>
      <c r="E586" s="141">
        <f t="shared" si="8"/>
        <v>0.01235712049</v>
      </c>
      <c r="F586" s="140">
        <f t="shared" si="9"/>
        <v>0.1159029379</v>
      </c>
      <c r="G586" s="141">
        <f t="shared" si="10"/>
        <v>0.04444386681</v>
      </c>
      <c r="H586" s="142">
        <f t="shared" si="11"/>
        <v>0</v>
      </c>
      <c r="I586" s="142">
        <f t="shared" si="12"/>
        <v>0</v>
      </c>
      <c r="J586" s="142">
        <f t="shared" si="13"/>
        <v>1</v>
      </c>
      <c r="K586" s="142">
        <f t="shared" si="14"/>
        <v>1</v>
      </c>
      <c r="L586" s="139">
        <f>Assumptions!$C$6*Assumptions!$C$7*(1+$G586-0.05*(1-1))^1+Assumptions!$C$6*Assumptions!$C$8*(1+Assumptions!$C$11)^1+Assumptions!$C$16*1+Assumptions!$C$6*Assumptions!$C$9*(1+Assumptions!$C$12)^1</f>
        <v>741.4278056</v>
      </c>
      <c r="M586" s="139">
        <f>Assumptions!$C$6*Assumptions!$C$7*(1+$G586-0.05*(1-$H586))^2+Assumptions!$C$6*Assumptions!$C$8*(1+Assumptions!$C$11)^2+Assumptions!$C$16*$H586+Assumptions!$C$6*Assumptions!$C$9*(1+Assumptions!$C$12)^2</f>
        <v>669.3353622</v>
      </c>
      <c r="N586" s="139">
        <f>Assumptions!$C$6*Assumptions!$C$7*(1+$G586-0.05*(1-$I586))^3+Assumptions!$C$6*Assumptions!$C$8*(1+Assumptions!$C$11)^3+Assumptions!$C$16*$I586+Assumptions!$C$6*Assumptions!$C$9*(1+Assumptions!$C$12)^3</f>
        <v>674.2151993</v>
      </c>
      <c r="O586" s="139">
        <f>Assumptions!$C$6*Assumptions!$C$7*(1+$G586-0.05*(1-$J586))^4+Assumptions!$C$6*Assumptions!$C$8*(1+Assumptions!$C$11)^4+Assumptions!$C$16*$J586+Assumptions!$C$6*Assumptions!$C$9*(1+Assumptions!$C$12)^4</f>
        <v>810.6065236</v>
      </c>
      <c r="P586" s="139">
        <f>Assumptions!$C$6*Assumptions!$C$7*(1+$G586-0.05*(1-$K586))^5+Assumptions!$C$6*Assumptions!$C$8*(1+Assumptions!$C$11)^5+Assumptions!$C$16*$K586+Assumptions!$C$6*Assumptions!$C$9*(1+Assumptions!$C$12)^5</f>
        <v>835.4095951</v>
      </c>
      <c r="Q586" s="139">
        <f>($L586*(1-(Assumptions!$C$25+0.06*(1-1))-Assumptions!$C$27)-Assumptions!$C$28)-MAX(0,($L586*(1-(Assumptions!$C$25+0.06*(1-1))-Assumptions!$C$27)-Assumptions!$C$28)*Assumptions!$C$31)+Assumptions!$C$28-Assumptions!$C$29-$L586*Assumptions!$C$30</f>
        <v>91.9069782</v>
      </c>
      <c r="R586" s="139">
        <f>($M586*(1-(Assumptions!$C$25+0.06*(1-$H586))-Assumptions!$C$27)-Assumptions!$C$28)-MAX(0,($M586*(1-(Assumptions!$C$25+0.06*(1-$H586))-Assumptions!$C$27)-Assumptions!$C$28)*Assumptions!$C$31)+Assumptions!$C$28-Assumptions!$C$29-$M586*Assumptions!$C$30</f>
        <v>33.9471333</v>
      </c>
      <c r="S586" s="139">
        <f>($N586*(1-(Assumptions!$C$25+0.06*(1-$I586))-Assumptions!$C$27)-Assumptions!$C$28)-MAX(0,($N586*(1-(Assumptions!$C$25+0.06*(1-$I586))-Assumptions!$C$27)-Assumptions!$C$28)*Assumptions!$C$31)+Assumptions!$C$28-Assumptions!$C$29-$N586*Assumptions!$C$30</f>
        <v>35.06949584</v>
      </c>
      <c r="T586" s="139">
        <f>($O586*(1-(Assumptions!$C$25+0.06*(1-$J586))-Assumptions!$C$27)-Assumptions!$C$28)-MAX(0,($O586*(1-(Assumptions!$C$25+0.06*(1-$J586))-Assumptions!$C$27)-Assumptions!$C$28)*Assumptions!$C$31)+Assumptions!$C$28-Assumptions!$C$29-$O586*Assumptions!$C$30</f>
        <v>106.7804026</v>
      </c>
      <c r="U586" s="139">
        <f>($P586*(1-(Assumptions!$C$25+0.06*(1-$K586))-Assumptions!$C$27)-Assumptions!$C$28)-MAX(0,($P586*(1-(Assumptions!$C$25+0.06*(1-$K586))-Assumptions!$C$27)-Assumptions!$C$28)*Assumptions!$C$31)+Assumptions!$C$28-Assumptions!$C$29-$P586*Assumptions!$C$30</f>
        <v>112.113063</v>
      </c>
      <c r="V586" s="143">
        <f>(($Q586/(1+$D586)^1+$R586/(1+$D586)^2+$S586/(1+$D586)^3+$T586/(1+$D586)^4+$U586/(1+$D586)^5+$U586*(1+$E586)/($D586-$E586)/(1+$D586)^5)-Assumptions!$C$37)/Assumptions!$C$40/Assumptions!$C$38</f>
        <v>3.862493891</v>
      </c>
    </row>
    <row r="587" ht="12.0" customHeight="1">
      <c r="B587" s="139">
        <v>535.0</v>
      </c>
      <c r="C587" s="140">
        <f t="shared" si="6"/>
        <v>0.08876888796</v>
      </c>
      <c r="D587" s="141">
        <f t="shared" si="7"/>
        <v>0.09048567708</v>
      </c>
      <c r="E587" s="141">
        <f t="shared" si="8"/>
        <v>0.02063224098</v>
      </c>
      <c r="F587" s="140">
        <f t="shared" si="9"/>
        <v>0.9640827828</v>
      </c>
      <c r="G587" s="141">
        <f t="shared" si="10"/>
        <v>0.08195941601</v>
      </c>
      <c r="H587" s="142">
        <f t="shared" si="11"/>
        <v>0</v>
      </c>
      <c r="I587" s="142">
        <f t="shared" si="12"/>
        <v>0</v>
      </c>
      <c r="J587" s="142">
        <f t="shared" si="13"/>
        <v>1</v>
      </c>
      <c r="K587" s="142">
        <f t="shared" si="14"/>
        <v>1</v>
      </c>
      <c r="L587" s="139">
        <f>Assumptions!$C$6*Assumptions!$C$7*(1+$G587-0.05*(1-1))^1+Assumptions!$C$6*Assumptions!$C$8*(1+Assumptions!$C$11)^1+Assumptions!$C$16*1+Assumptions!$C$6*Assumptions!$C$9*(1+Assumptions!$C$12)^1</f>
        <v>754.0555394</v>
      </c>
      <c r="M587" s="139">
        <f>Assumptions!$C$6*Assumptions!$C$7*(1+$G587-0.05*(1-$H587))^2+Assumptions!$C$6*Assumptions!$C$8*(1+Assumptions!$C$11)^2+Assumptions!$C$16*$H587+Assumptions!$C$6*Assumptions!$C$9*(1+Assumptions!$C$12)^2</f>
        <v>694.9242435</v>
      </c>
      <c r="N587" s="139">
        <f>Assumptions!$C$6*Assumptions!$C$7*(1+$G587-0.05*(1-$I587))^3+Assumptions!$C$6*Assumptions!$C$8*(1+Assumptions!$C$11)^3+Assumptions!$C$16*$I587+Assumptions!$C$6*Assumptions!$C$9*(1+Assumptions!$C$12)^3</f>
        <v>713.1096873</v>
      </c>
      <c r="O587" s="139">
        <f>Assumptions!$C$6*Assumptions!$C$7*(1+$G587-0.05*(1-$J587))^4+Assumptions!$C$6*Assumptions!$C$8*(1+Assumptions!$C$11)^4+Assumptions!$C$16*$J587+Assumptions!$C$6*Assumptions!$C$9*(1+Assumptions!$C$12)^4</f>
        <v>871.3315185</v>
      </c>
      <c r="P587" s="139">
        <f>Assumptions!$C$6*Assumptions!$C$7*(1+$G587-0.05*(1-$K587))^5+Assumptions!$C$6*Assumptions!$C$8*(1+Assumptions!$C$11)^5+Assumptions!$C$16*$K587+Assumptions!$C$6*Assumptions!$C$9*(1+Assumptions!$C$12)^5</f>
        <v>916.1383519</v>
      </c>
      <c r="Q587" s="139">
        <f>($L587*(1-(Assumptions!$C$25+0.06*(1-1))-Assumptions!$C$27)-Assumptions!$C$28)-MAX(0,($L587*(1-(Assumptions!$C$25+0.06*(1-1))-Assumptions!$C$27)-Assumptions!$C$28)*Assumptions!$C$31)+Assumptions!$C$28-Assumptions!$C$29-$L587*Assumptions!$C$30</f>
        <v>94.62194098</v>
      </c>
      <c r="R587" s="139">
        <f>($M587*(1-(Assumptions!$C$25+0.06*(1-$H587))-Assumptions!$C$27)-Assumptions!$C$28)-MAX(0,($M587*(1-(Assumptions!$C$25+0.06*(1-$H587))-Assumptions!$C$27)-Assumptions!$C$28)*Assumptions!$C$31)+Assumptions!$C$28-Assumptions!$C$29-$M587*Assumptions!$C$30</f>
        <v>39.83257601</v>
      </c>
      <c r="S587" s="139">
        <f>($N587*(1-(Assumptions!$C$25+0.06*(1-$I587))-Assumptions!$C$27)-Assumptions!$C$28)-MAX(0,($N587*(1-(Assumptions!$C$25+0.06*(1-$I587))-Assumptions!$C$27)-Assumptions!$C$28)*Assumptions!$C$31)+Assumptions!$C$28-Assumptions!$C$29-$N587*Assumptions!$C$30</f>
        <v>44.01522808</v>
      </c>
      <c r="T587" s="139">
        <f>($O587*(1-(Assumptions!$C$25+0.06*(1-$J587))-Assumptions!$C$27)-Assumptions!$C$28)-MAX(0,($O587*(1-(Assumptions!$C$25+0.06*(1-$J587))-Assumptions!$C$27)-Assumptions!$C$28)*Assumptions!$C$31)+Assumptions!$C$28-Assumptions!$C$29-$O587*Assumptions!$C$30</f>
        <v>119.8362765</v>
      </c>
      <c r="U587" s="139">
        <f>($P587*(1-(Assumptions!$C$25+0.06*(1-$K587))-Assumptions!$C$27)-Assumptions!$C$28)-MAX(0,($P587*(1-(Assumptions!$C$25+0.06*(1-$K587))-Assumptions!$C$27)-Assumptions!$C$28)*Assumptions!$C$31)+Assumptions!$C$28-Assumptions!$C$29-$P587*Assumptions!$C$30</f>
        <v>129.4697457</v>
      </c>
      <c r="V587" s="143">
        <f>(($Q587/(1+$D587)^1+$R587/(1+$D587)^2+$S587/(1+$D587)^3+$T587/(1+$D587)^4+$U587/(1+$D587)^5+$U587*(1+$E587)/($D587-$E587)/(1+$D587)^5)-Assumptions!$C$37)/Assumptions!$C$40/Assumptions!$C$38</f>
        <v>6.6953742</v>
      </c>
    </row>
    <row r="588" ht="12.0" customHeight="1">
      <c r="B588" s="139">
        <v>536.0</v>
      </c>
      <c r="C588" s="140">
        <f t="shared" si="6"/>
        <v>0.06215524606</v>
      </c>
      <c r="D588" s="141">
        <f t="shared" si="7"/>
        <v>0.08959027542</v>
      </c>
      <c r="E588" s="141">
        <f t="shared" si="8"/>
        <v>0.01414506556</v>
      </c>
      <c r="F588" s="140">
        <f t="shared" si="9"/>
        <v>0.7556120288</v>
      </c>
      <c r="G588" s="141">
        <f t="shared" si="10"/>
        <v>0.06902624621</v>
      </c>
      <c r="H588" s="142">
        <f t="shared" si="11"/>
        <v>1</v>
      </c>
      <c r="I588" s="142">
        <f t="shared" si="12"/>
        <v>0</v>
      </c>
      <c r="J588" s="142">
        <f t="shared" si="13"/>
        <v>0</v>
      </c>
      <c r="K588" s="142">
        <f t="shared" si="14"/>
        <v>1</v>
      </c>
      <c r="L588" s="139">
        <f>Assumptions!$C$6*Assumptions!$C$7*(1+$G588-0.05*(1-1))^1+Assumptions!$C$6*Assumptions!$C$8*(1+Assumptions!$C$11)^1+Assumptions!$C$16*1+Assumptions!$C$6*Assumptions!$C$9*(1+Assumptions!$C$12)^1</f>
        <v>749.7022345</v>
      </c>
      <c r="M588" s="139">
        <f>Assumptions!$C$6*Assumptions!$C$7*(1+$G588-0.05*(1-$H588))^2+Assumptions!$C$6*Assumptions!$C$8*(1+Assumptions!$C$11)^2+Assumptions!$C$16*$H588+Assumptions!$C$6*Assumptions!$C$9*(1+Assumptions!$C$12)^2</f>
        <v>781.1376009</v>
      </c>
      <c r="N588" s="139">
        <f>Assumptions!$C$6*Assumptions!$C$7*(1+$G588-0.05*(1-$I588))^3+Assumptions!$C$6*Assumptions!$C$8*(1+Assumptions!$C$11)^3+Assumptions!$C$16*$I588+Assumptions!$C$6*Assumptions!$C$9*(1+Assumptions!$C$12)^3</f>
        <v>699.3752346</v>
      </c>
      <c r="O588" s="139">
        <f>Assumptions!$C$6*Assumptions!$C$7*(1+$G588-0.05*(1-$J588))^4+Assumptions!$C$6*Assumptions!$C$8*(1+Assumptions!$C$11)^4+Assumptions!$C$16*$J588+Assumptions!$C$6*Assumptions!$C$9*(1+Assumptions!$C$12)^4</f>
        <v>713.0159071</v>
      </c>
      <c r="P588" s="139">
        <f>Assumptions!$C$6*Assumptions!$C$7*(1+$G588-0.05*(1-$K588))^5+Assumptions!$C$6*Assumptions!$C$8*(1+Assumptions!$C$11)^5+Assumptions!$C$16*$K588+Assumptions!$C$6*Assumptions!$C$9*(1+Assumptions!$C$12)^5</f>
        <v>887.0143819</v>
      </c>
      <c r="Q588" s="139">
        <f>($L588*(1-(Assumptions!$C$25+0.06*(1-1))-Assumptions!$C$27)-Assumptions!$C$28)-MAX(0,($L588*(1-(Assumptions!$C$25+0.06*(1-1))-Assumptions!$C$27)-Assumptions!$C$28)*Assumptions!$C$31)+Assumptions!$C$28-Assumptions!$C$29-$L588*Assumptions!$C$30</f>
        <v>93.68598041</v>
      </c>
      <c r="R588" s="139">
        <f>($M588*(1-(Assumptions!$C$25+0.06*(1-$H588))-Assumptions!$C$27)-Assumptions!$C$28)-MAX(0,($M588*(1-(Assumptions!$C$25+0.06*(1-$H588))-Assumptions!$C$27)-Assumptions!$C$28)*Assumptions!$C$31)+Assumptions!$C$28-Assumptions!$C$29-$M588*Assumptions!$C$30</f>
        <v>100.4445842</v>
      </c>
      <c r="S588" s="139">
        <f>($N588*(1-(Assumptions!$C$25+0.06*(1-$I588))-Assumptions!$C$27)-Assumptions!$C$28)-MAX(0,($N588*(1-(Assumptions!$C$25+0.06*(1-$I588))-Assumptions!$C$27)-Assumptions!$C$28)*Assumptions!$C$31)+Assumptions!$C$28-Assumptions!$C$29-$N588*Assumptions!$C$30</f>
        <v>40.85630395</v>
      </c>
      <c r="T588" s="139">
        <f>($O588*(1-(Assumptions!$C$25+0.06*(1-$J588))-Assumptions!$C$27)-Assumptions!$C$28)-MAX(0,($O588*(1-(Assumptions!$C$25+0.06*(1-$J588))-Assumptions!$C$27)-Assumptions!$C$28)*Assumptions!$C$31)+Assumptions!$C$28-Assumptions!$C$29-$O588*Assumptions!$C$30</f>
        <v>43.99365863</v>
      </c>
      <c r="U588" s="139">
        <f>($P588*(1-(Assumptions!$C$25+0.06*(1-$K588))-Assumptions!$C$27)-Assumptions!$C$28)-MAX(0,($P588*(1-(Assumptions!$C$25+0.06*(1-$K588))-Assumptions!$C$27)-Assumptions!$C$28)*Assumptions!$C$31)+Assumptions!$C$28-Assumptions!$C$29-$P588*Assumptions!$C$30</f>
        <v>123.2080921</v>
      </c>
      <c r="V588" s="143">
        <f>(($Q588/(1+$D588)^1+$R588/(1+$D588)^2+$S588/(1+$D588)^3+$T588/(1+$D588)^4+$U588/(1+$D588)^5+$U588*(1+$E588)/($D588-$E588)/(1+$D588)^5)-Assumptions!$C$37)/Assumptions!$C$40/Assumptions!$C$38</f>
        <v>5.465446391</v>
      </c>
    </row>
    <row r="589" ht="12.0" customHeight="1">
      <c r="B589" s="139">
        <v>537.0</v>
      </c>
      <c r="C589" s="140">
        <f t="shared" si="6"/>
        <v>0.4751041175</v>
      </c>
      <c r="D589" s="141">
        <f t="shared" si="7"/>
        <v>0.09783997115</v>
      </c>
      <c r="E589" s="141">
        <f t="shared" si="8"/>
        <v>0.01854009994</v>
      </c>
      <c r="F589" s="140">
        <f t="shared" si="9"/>
        <v>0.9609790714</v>
      </c>
      <c r="G589" s="141">
        <f t="shared" si="10"/>
        <v>0.08161920818</v>
      </c>
      <c r="H589" s="142">
        <f t="shared" si="11"/>
        <v>1</v>
      </c>
      <c r="I589" s="142">
        <f t="shared" si="12"/>
        <v>0</v>
      </c>
      <c r="J589" s="142">
        <f t="shared" si="13"/>
        <v>1</v>
      </c>
      <c r="K589" s="142">
        <f t="shared" si="14"/>
        <v>0</v>
      </c>
      <c r="L589" s="139">
        <f>Assumptions!$C$6*Assumptions!$C$7*(1+$G589-0.05*(1-1))^1+Assumptions!$C$6*Assumptions!$C$8*(1+Assumptions!$C$11)^1+Assumptions!$C$16*1+Assumptions!$C$6*Assumptions!$C$9*(1+Assumptions!$C$12)^1</f>
        <v>753.9410255</v>
      </c>
      <c r="M589" s="139">
        <f>Assumptions!$C$6*Assumptions!$C$7*(1+$G589-0.05*(1-$H589))^2+Assumptions!$C$6*Assumptions!$C$8*(1+Assumptions!$C$11)^2+Assumptions!$C$16*$H589+Assumptions!$C$6*Assumptions!$C$9*(1+Assumptions!$C$12)^2</f>
        <v>790.2537375</v>
      </c>
      <c r="N589" s="139">
        <f>Assumptions!$C$6*Assumptions!$C$7*(1+$G589-0.05*(1-$I589))^3+Assumptions!$C$6*Assumptions!$C$8*(1+Assumptions!$C$11)^3+Assumptions!$C$16*$I589+Assumptions!$C$6*Assumptions!$C$9*(1+Assumptions!$C$12)^3</f>
        <v>712.7439564</v>
      </c>
      <c r="O589" s="139">
        <f>Assumptions!$C$6*Assumptions!$C$7*(1+$G589-0.05*(1-$J589))^4+Assumptions!$C$6*Assumptions!$C$8*(1+Assumptions!$C$11)^4+Assumptions!$C$16*$J589+Assumptions!$C$6*Assumptions!$C$9*(1+Assumptions!$C$12)^4</f>
        <v>870.7516273</v>
      </c>
      <c r="P589" s="139">
        <f>Assumptions!$C$6*Assumptions!$C$7*(1+$G589-0.05*(1-$K589))^5+Assumptions!$C$6*Assumptions!$C$8*(1+Assumptions!$C$11)^5+Assumptions!$C$16*$K589+Assumptions!$C$6*Assumptions!$C$9*(1+Assumptions!$C$12)^5</f>
        <v>750.3481986</v>
      </c>
      <c r="Q589" s="139">
        <f>($L589*(1-(Assumptions!$C$25+0.06*(1-1))-Assumptions!$C$27)-Assumptions!$C$28)-MAX(0,($L589*(1-(Assumptions!$C$25+0.06*(1-1))-Assumptions!$C$27)-Assumptions!$C$28)*Assumptions!$C$31)+Assumptions!$C$28-Assumptions!$C$29-$L589*Assumptions!$C$30</f>
        <v>94.59732048</v>
      </c>
      <c r="R589" s="139">
        <f>($M589*(1-(Assumptions!$C$25+0.06*(1-$H589))-Assumptions!$C$27)-Assumptions!$C$28)-MAX(0,($M589*(1-(Assumptions!$C$25+0.06*(1-$H589))-Assumptions!$C$27)-Assumptions!$C$28)*Assumptions!$C$31)+Assumptions!$C$28-Assumptions!$C$29-$M589*Assumptions!$C$30</f>
        <v>102.4045536</v>
      </c>
      <c r="S589" s="139">
        <f>($N589*(1-(Assumptions!$C$25+0.06*(1-$I589))-Assumptions!$C$27)-Assumptions!$C$28)-MAX(0,($N589*(1-(Assumptions!$C$25+0.06*(1-$I589))-Assumptions!$C$27)-Assumptions!$C$28)*Assumptions!$C$31)+Assumptions!$C$28-Assumptions!$C$29-$N589*Assumptions!$C$30</f>
        <v>43.93110996</v>
      </c>
      <c r="T589" s="139">
        <f>($O589*(1-(Assumptions!$C$25+0.06*(1-$J589))-Assumptions!$C$27)-Assumptions!$C$28)-MAX(0,($O589*(1-(Assumptions!$C$25+0.06*(1-$J589))-Assumptions!$C$27)-Assumptions!$C$28)*Assumptions!$C$31)+Assumptions!$C$28-Assumptions!$C$29-$O589*Assumptions!$C$30</f>
        <v>119.7115999</v>
      </c>
      <c r="U589" s="139">
        <f>($P589*(1-(Assumptions!$C$25+0.06*(1-$K589))-Assumptions!$C$27)-Assumptions!$C$28)-MAX(0,($P589*(1-(Assumptions!$C$25+0.06*(1-$K589))-Assumptions!$C$27)-Assumptions!$C$28)*Assumptions!$C$31)+Assumptions!$C$28-Assumptions!$C$29-$P589*Assumptions!$C$30</f>
        <v>52.58008568</v>
      </c>
      <c r="V589" s="143">
        <f>(($Q589/(1+$D589)^1+$R589/(1+$D589)^2+$S589/(1+$D589)^3+$T589/(1+$D589)^4+$U589/(1+$D589)^5+$U589*(1+$E589)/($D589-$E589)/(1+$D589)^5)-Assumptions!$C$37)/Assumptions!$C$40/Assumptions!$C$38</f>
        <v>0.4018474196</v>
      </c>
    </row>
    <row r="590" ht="12.0" customHeight="1">
      <c r="B590" s="139">
        <v>538.0</v>
      </c>
      <c r="C590" s="140">
        <f t="shared" si="6"/>
        <v>0.341385118</v>
      </c>
      <c r="D590" s="141">
        <f t="shared" si="7"/>
        <v>0.09575776719</v>
      </c>
      <c r="E590" s="141">
        <f t="shared" si="8"/>
        <v>0.01457828152</v>
      </c>
      <c r="F590" s="140">
        <f t="shared" si="9"/>
        <v>0.4725881238</v>
      </c>
      <c r="G590" s="141">
        <f t="shared" si="10"/>
        <v>0.05916605258</v>
      </c>
      <c r="H590" s="142">
        <f t="shared" si="11"/>
        <v>0</v>
      </c>
      <c r="I590" s="142">
        <f t="shared" si="12"/>
        <v>1</v>
      </c>
      <c r="J590" s="142">
        <f t="shared" si="13"/>
        <v>1</v>
      </c>
      <c r="K590" s="142">
        <f t="shared" si="14"/>
        <v>1</v>
      </c>
      <c r="L590" s="139">
        <f>Assumptions!$C$6*Assumptions!$C$7*(1+$G590-0.05*(1-1))^1+Assumptions!$C$6*Assumptions!$C$8*(1+Assumptions!$C$11)^1+Assumptions!$C$16*1+Assumptions!$C$6*Assumptions!$C$9*(1+Assumptions!$C$12)^1</f>
        <v>746.3832933</v>
      </c>
      <c r="M590" s="139">
        <f>Assumptions!$C$6*Assumptions!$C$7*(1+$G590-0.05*(1-$H590))^2+Assumptions!$C$6*Assumptions!$C$8*(1+Assumptions!$C$11)^2+Assumptions!$C$16*$H590+Assumptions!$C$6*Assumptions!$C$9*(1+Assumptions!$C$12)^2</f>
        <v>679.2642266</v>
      </c>
      <c r="N590" s="139">
        <f>Assumptions!$C$6*Assumptions!$C$7*(1+$G590-0.05*(1-$I590))^3+Assumptions!$C$6*Assumptions!$C$8*(1+Assumptions!$C$11)^3+Assumptions!$C$16*$I590+Assumptions!$C$6*Assumptions!$C$9*(1+Assumptions!$C$12)^3</f>
        <v>803.1451909</v>
      </c>
      <c r="O590" s="139">
        <f>Assumptions!$C$6*Assumptions!$C$7*(1+$G590-0.05*(1-$J590))^4+Assumptions!$C$6*Assumptions!$C$8*(1+Assumptions!$C$11)^4+Assumptions!$C$16*$J590+Assumptions!$C$6*Assumptions!$C$9*(1+Assumptions!$C$12)^4</f>
        <v>833.6725779</v>
      </c>
      <c r="P590" s="139">
        <f>Assumptions!$C$6*Assumptions!$C$7*(1+$G590-0.05*(1-$K590))^5+Assumptions!$C$6*Assumptions!$C$8*(1+Assumptions!$C$11)^5+Assumptions!$C$16*$K590+Assumptions!$C$6*Assumptions!$C$9*(1+Assumptions!$C$12)^5</f>
        <v>865.7373184</v>
      </c>
      <c r="Q590" s="139">
        <f>($L590*(1-(Assumptions!$C$25+0.06*(1-1))-Assumptions!$C$27)-Assumptions!$C$28)-MAX(0,($L590*(1-(Assumptions!$C$25+0.06*(1-1))-Assumptions!$C$27)-Assumptions!$C$28)*Assumptions!$C$31)+Assumptions!$C$28-Assumptions!$C$29-$L590*Assumptions!$C$30</f>
        <v>92.97240806</v>
      </c>
      <c r="R590" s="139">
        <f>($M590*(1-(Assumptions!$C$25+0.06*(1-$H590))-Assumptions!$C$27)-Assumptions!$C$28)-MAX(0,($M590*(1-(Assumptions!$C$25+0.06*(1-$H590))-Assumptions!$C$27)-Assumptions!$C$28)*Assumptions!$C$31)+Assumptions!$C$28-Assumptions!$C$29-$M590*Assumptions!$C$30</f>
        <v>36.23077211</v>
      </c>
      <c r="S590" s="139">
        <f>($N590*(1-(Assumptions!$C$25+0.06*(1-$I590))-Assumptions!$C$27)-Assumptions!$C$28)-MAX(0,($N590*(1-(Assumptions!$C$25+0.06*(1-$I590))-Assumptions!$C$27)-Assumptions!$C$28)*Assumptions!$C$31)+Assumptions!$C$28-Assumptions!$C$29-$N590*Assumptions!$C$30</f>
        <v>105.176216</v>
      </c>
      <c r="T590" s="139">
        <f>($O590*(1-(Assumptions!$C$25+0.06*(1-$J590))-Assumptions!$C$27)-Assumptions!$C$28)-MAX(0,($O590*(1-(Assumptions!$C$25+0.06*(1-$J590))-Assumptions!$C$27)-Assumptions!$C$28)*Assumptions!$C$31)+Assumptions!$C$28-Assumptions!$C$29-$O590*Assumptions!$C$30</f>
        <v>111.7396043</v>
      </c>
      <c r="U590" s="139">
        <f>($P590*(1-(Assumptions!$C$25+0.06*(1-$K590))-Assumptions!$C$27)-Assumptions!$C$28)-MAX(0,($P590*(1-(Assumptions!$C$25+0.06*(1-$K590))-Assumptions!$C$27)-Assumptions!$C$28)*Assumptions!$C$31)+Assumptions!$C$28-Assumptions!$C$29-$P590*Assumptions!$C$30</f>
        <v>118.6335234</v>
      </c>
      <c r="V590" s="143">
        <f>(($Q590/(1+$D590)^1+$R590/(1+$D590)^2+$S590/(1+$D590)^3+$T590/(1+$D590)^4+$U590/(1+$D590)^5+$U590*(1+$E590)/($D590-$E590)/(1+$D590)^5)-Assumptions!$C$37)/Assumptions!$C$40/Assumptions!$C$38</f>
        <v>4.639126061</v>
      </c>
    </row>
    <row r="591" ht="12.0" customHeight="1">
      <c r="B591" s="139">
        <v>539.0</v>
      </c>
      <c r="C591" s="140">
        <f t="shared" si="6"/>
        <v>0.691520907</v>
      </c>
      <c r="D591" s="141">
        <f t="shared" si="7"/>
        <v>0.1018448956</v>
      </c>
      <c r="E591" s="141">
        <f t="shared" si="8"/>
        <v>0.01497053501</v>
      </c>
      <c r="F591" s="140">
        <f t="shared" si="9"/>
        <v>0.2213857002</v>
      </c>
      <c r="G591" s="141">
        <f t="shared" si="10"/>
        <v>0.04996232102</v>
      </c>
      <c r="H591" s="142">
        <f t="shared" si="11"/>
        <v>0</v>
      </c>
      <c r="I591" s="142">
        <f t="shared" si="12"/>
        <v>0</v>
      </c>
      <c r="J591" s="142">
        <f t="shared" si="13"/>
        <v>1</v>
      </c>
      <c r="K591" s="142">
        <f t="shared" si="14"/>
        <v>0</v>
      </c>
      <c r="L591" s="139">
        <f>Assumptions!$C$6*Assumptions!$C$7*(1+$G591-0.05*(1-1))^1+Assumptions!$C$6*Assumptions!$C$8*(1+Assumptions!$C$11)^1+Assumptions!$C$16*1+Assumptions!$C$6*Assumptions!$C$9*(1+Assumptions!$C$12)^1</f>
        <v>743.2853173</v>
      </c>
      <c r="M591" s="139">
        <f>Assumptions!$C$6*Assumptions!$C$7*(1+$G591-0.05*(1-$H591))^2+Assumptions!$C$6*Assumptions!$C$8*(1+Assumptions!$C$11)^2+Assumptions!$C$16*$H591+Assumptions!$C$6*Assumptions!$C$9*(1+Assumptions!$C$12)^2</f>
        <v>673.039995</v>
      </c>
      <c r="N591" s="139">
        <f>Assumptions!$C$6*Assumptions!$C$7*(1+$G591-0.05*(1-$I591))^3+Assumptions!$C$6*Assumptions!$C$8*(1+Assumptions!$C$11)^3+Assumptions!$C$16*$I591+Assumptions!$C$6*Assumptions!$C$9*(1+Assumptions!$C$12)^3</f>
        <v>679.7566204</v>
      </c>
      <c r="O591" s="139">
        <f>Assumptions!$C$6*Assumptions!$C$7*(1+$G591-0.05*(1-$J591))^4+Assumptions!$C$6*Assumptions!$C$8*(1+Assumptions!$C$11)^4+Assumptions!$C$16*$J591+Assumptions!$C$6*Assumptions!$C$9*(1+Assumptions!$C$12)^4</f>
        <v>819.13924</v>
      </c>
      <c r="P591" s="139">
        <f>Assumptions!$C$6*Assumptions!$C$7*(1+$G591-0.05*(1-$K591))^5+Assumptions!$C$6*Assumptions!$C$8*(1+Assumptions!$C$11)^5+Assumptions!$C$16*$K591+Assumptions!$C$6*Assumptions!$C$9*(1+Assumptions!$C$12)^5</f>
        <v>693.5963228</v>
      </c>
      <c r="Q591" s="139">
        <f>($L591*(1-(Assumptions!$C$25+0.06*(1-1))-Assumptions!$C$27)-Assumptions!$C$28)-MAX(0,($L591*(1-(Assumptions!$C$25+0.06*(1-1))-Assumptions!$C$27)-Assumptions!$C$28)*Assumptions!$C$31)+Assumptions!$C$28-Assumptions!$C$29-$L591*Assumptions!$C$30</f>
        <v>92.30634321</v>
      </c>
      <c r="R591" s="139">
        <f>($M591*(1-(Assumptions!$C$25+0.06*(1-$H591))-Assumptions!$C$27)-Assumptions!$C$28)-MAX(0,($M591*(1-(Assumptions!$C$25+0.06*(1-$H591))-Assumptions!$C$27)-Assumptions!$C$28)*Assumptions!$C$31)+Assumptions!$C$28-Assumptions!$C$29-$M591*Assumptions!$C$30</f>
        <v>34.79919885</v>
      </c>
      <c r="S591" s="139">
        <f>($N591*(1-(Assumptions!$C$25+0.06*(1-$I591))-Assumptions!$C$27)-Assumptions!$C$28)-MAX(0,($N591*(1-(Assumptions!$C$25+0.06*(1-$I591))-Assumptions!$C$27)-Assumptions!$C$28)*Assumptions!$C$31)+Assumptions!$C$28-Assumptions!$C$29-$N591*Assumptions!$C$30</f>
        <v>36.34402269</v>
      </c>
      <c r="T591" s="139">
        <f>($O591*(1-(Assumptions!$C$25+0.06*(1-$J591))-Assumptions!$C$27)-Assumptions!$C$28)-MAX(0,($O591*(1-(Assumptions!$C$25+0.06*(1-$J591))-Assumptions!$C$27)-Assumptions!$C$28)*Assumptions!$C$31)+Assumptions!$C$28-Assumptions!$C$29-$O591*Assumptions!$C$30</f>
        <v>108.6149366</v>
      </c>
      <c r="U591" s="139">
        <f>($P591*(1-(Assumptions!$C$25+0.06*(1-$K591))-Assumptions!$C$27)-Assumptions!$C$28)-MAX(0,($P591*(1-(Assumptions!$C$25+0.06*(1-$K591))-Assumptions!$C$27)-Assumptions!$C$28)*Assumptions!$C$31)+Assumptions!$C$28-Assumptions!$C$29-$P591*Assumptions!$C$30</f>
        <v>39.52715424</v>
      </c>
      <c r="V591" s="143">
        <f>(($Q591/(1+$D591)^1+$R591/(1+$D591)^2+$S591/(1+$D591)^3+$T591/(1+$D591)^4+$U591/(1+$D591)^5+$U591*(1+$E591)/($D591-$E591)/(1+$D591)^5)-Assumptions!$C$37)/Assumptions!$C$40/Assumptions!$C$38</f>
        <v>-1.324440682</v>
      </c>
    </row>
    <row r="592" ht="12.0" customHeight="1">
      <c r="B592" s="139">
        <v>540.0</v>
      </c>
      <c r="C592" s="140">
        <f t="shared" si="6"/>
        <v>0.479476294</v>
      </c>
      <c r="D592" s="141">
        <f t="shared" si="7"/>
        <v>0.09791158875</v>
      </c>
      <c r="E592" s="141">
        <f t="shared" si="8"/>
        <v>0.01340937898</v>
      </c>
      <c r="F592" s="140">
        <f t="shared" si="9"/>
        <v>0.8479185502</v>
      </c>
      <c r="G592" s="141">
        <f t="shared" si="10"/>
        <v>0.07345471035</v>
      </c>
      <c r="H592" s="142">
        <f t="shared" si="11"/>
        <v>1</v>
      </c>
      <c r="I592" s="142">
        <f t="shared" si="12"/>
        <v>1</v>
      </c>
      <c r="J592" s="142">
        <f t="shared" si="13"/>
        <v>1</v>
      </c>
      <c r="K592" s="142">
        <f t="shared" si="14"/>
        <v>1</v>
      </c>
      <c r="L592" s="139">
        <f>Assumptions!$C$6*Assumptions!$C$7*(1+$G592-0.05*(1-1))^1+Assumptions!$C$6*Assumptions!$C$8*(1+Assumptions!$C$11)^1+Assumptions!$C$16*1+Assumptions!$C$6*Assumptions!$C$9*(1+Assumptions!$C$12)^1</f>
        <v>751.1928555</v>
      </c>
      <c r="M592" s="139">
        <f>Assumptions!$C$6*Assumptions!$C$7*(1+$G592-0.05*(1-$H592))^2+Assumptions!$C$6*Assumptions!$C$8*(1+Assumptions!$C$11)^2+Assumptions!$C$16*$H592+Assumptions!$C$6*Assumptions!$C$9*(1+Assumptions!$C$12)^2</f>
        <v>784.3312281</v>
      </c>
      <c r="N592" s="139">
        <f>Assumptions!$C$6*Assumptions!$C$7*(1+$G592-0.05*(1-$I592))^3+Assumptions!$C$6*Assumptions!$C$8*(1+Assumptions!$C$11)^3+Assumptions!$C$16*$I592+Assumptions!$C$6*Assumptions!$C$9*(1+Assumptions!$C$12)^3</f>
        <v>819.5511103</v>
      </c>
      <c r="O592" s="139">
        <f>Assumptions!$C$6*Assumptions!$C$7*(1+$G592-0.05*(1-$J592))^4+Assumptions!$C$6*Assumptions!$C$8*(1+Assumptions!$C$11)^4+Assumptions!$C$16*$J592+Assumptions!$C$6*Assumptions!$C$9*(1+Assumptions!$C$12)^4</f>
        <v>856.9983456</v>
      </c>
      <c r="P592" s="139">
        <f>Assumptions!$C$6*Assumptions!$C$7*(1+$G592-0.05*(1-$K592))^5+Assumptions!$C$6*Assumptions!$C$8*(1+Assumptions!$C$11)^5+Assumptions!$C$16*$K592+Assumptions!$C$6*Assumptions!$C$9*(1+Assumptions!$C$12)^5</f>
        <v>896.8293492</v>
      </c>
      <c r="Q592" s="139">
        <f>($L592*(1-(Assumptions!$C$25+0.06*(1-1))-Assumptions!$C$27)-Assumptions!$C$28)-MAX(0,($L592*(1-(Assumptions!$C$25+0.06*(1-1))-Assumptions!$C$27)-Assumptions!$C$28)*Assumptions!$C$31)+Assumptions!$C$28-Assumptions!$C$29-$L592*Assumptions!$C$30</f>
        <v>94.00646393</v>
      </c>
      <c r="R592" s="139">
        <f>($M592*(1-(Assumptions!$C$25+0.06*(1-$H592))-Assumptions!$C$27)-Assumptions!$C$28)-MAX(0,($M592*(1-(Assumptions!$C$25+0.06*(1-$H592))-Assumptions!$C$27)-Assumptions!$C$28)*Assumptions!$C$31)+Assumptions!$C$28-Assumptions!$C$29-$M592*Assumptions!$C$30</f>
        <v>101.131214</v>
      </c>
      <c r="S592" s="139">
        <f>($N592*(1-(Assumptions!$C$25+0.06*(1-$I592))-Assumptions!$C$27)-Assumptions!$C$28)-MAX(0,($N592*(1-(Assumptions!$C$25+0.06*(1-$I592))-Assumptions!$C$27)-Assumptions!$C$28)*Assumptions!$C$31)+Assumptions!$C$28-Assumptions!$C$29-$N592*Assumptions!$C$30</f>
        <v>108.7034887</v>
      </c>
      <c r="T592" s="139">
        <f>($O592*(1-(Assumptions!$C$25+0.06*(1-$J592))-Assumptions!$C$27)-Assumptions!$C$28)-MAX(0,($O592*(1-(Assumptions!$C$25+0.06*(1-$J592))-Assumptions!$C$27)-Assumptions!$C$28)*Assumptions!$C$31)+Assumptions!$C$28-Assumptions!$C$29-$O592*Assumptions!$C$30</f>
        <v>116.7546443</v>
      </c>
      <c r="U592" s="139">
        <f>($P592*(1-(Assumptions!$C$25+0.06*(1-$K592))-Assumptions!$C$27)-Assumptions!$C$28)-MAX(0,($P592*(1-(Assumptions!$C$25+0.06*(1-$K592))-Assumptions!$C$27)-Assumptions!$C$28)*Assumptions!$C$31)+Assumptions!$C$28-Assumptions!$C$29-$P592*Assumptions!$C$30</f>
        <v>125.3183101</v>
      </c>
      <c r="V592" s="143">
        <f>(($Q592/(1+$D592)^1+$R592/(1+$D592)^2+$S592/(1+$D592)^3+$T592/(1+$D592)^4+$U592/(1+$D592)^5+$U592*(1+$E592)/($D592-$E592)/(1+$D592)^5)-Assumptions!$C$37)/Assumptions!$C$40/Assumptions!$C$38</f>
        <v>5.15812447</v>
      </c>
    </row>
    <row r="593" ht="12.0" customHeight="1">
      <c r="B593" s="139">
        <v>541.0</v>
      </c>
      <c r="C593" s="140">
        <f t="shared" si="6"/>
        <v>0.537414215</v>
      </c>
      <c r="D593" s="141">
        <f t="shared" si="7"/>
        <v>0.09889066651</v>
      </c>
      <c r="E593" s="141">
        <f t="shared" si="8"/>
        <v>0.01036264058</v>
      </c>
      <c r="F593" s="140">
        <f t="shared" si="9"/>
        <v>0.8484746951</v>
      </c>
      <c r="G593" s="141">
        <f t="shared" si="10"/>
        <v>0.0734849902</v>
      </c>
      <c r="H593" s="142">
        <f t="shared" si="11"/>
        <v>1</v>
      </c>
      <c r="I593" s="142">
        <f t="shared" si="12"/>
        <v>0</v>
      </c>
      <c r="J593" s="142">
        <f t="shared" si="13"/>
        <v>0</v>
      </c>
      <c r="K593" s="142">
        <f t="shared" si="14"/>
        <v>1</v>
      </c>
      <c r="L593" s="139">
        <f>Assumptions!$C$6*Assumptions!$C$7*(1+$G593-0.05*(1-1))^1+Assumptions!$C$6*Assumptions!$C$8*(1+Assumptions!$C$11)^1+Assumptions!$C$16*1+Assumptions!$C$6*Assumptions!$C$9*(1+Assumptions!$C$12)^1</f>
        <v>751.2030477</v>
      </c>
      <c r="M593" s="139">
        <f>Assumptions!$C$6*Assumptions!$C$7*(1+$G593-0.05*(1-$H593))^2+Assumptions!$C$6*Assumptions!$C$8*(1+Assumptions!$C$11)^2+Assumptions!$C$16*$H593+Assumptions!$C$6*Assumptions!$C$9*(1+Assumptions!$C$12)^2</f>
        <v>784.3531101</v>
      </c>
      <c r="N593" s="139">
        <f>Assumptions!$C$6*Assumptions!$C$7*(1+$G593-0.05*(1-$I593))^3+Assumptions!$C$6*Assumptions!$C$8*(1+Assumptions!$C$11)^3+Assumptions!$C$16*$I593+Assumptions!$C$6*Assumptions!$C$9*(1+Assumptions!$C$12)^3</f>
        <v>704.0711202</v>
      </c>
      <c r="O593" s="139">
        <f>Assumptions!$C$6*Assumptions!$C$7*(1+$G593-0.05*(1-$J593))^4+Assumptions!$C$6*Assumptions!$C$8*(1+Assumptions!$C$11)^4+Assumptions!$C$16*$J593+Assumptions!$C$6*Assumptions!$C$9*(1+Assumptions!$C$12)^4</f>
        <v>719.4101935</v>
      </c>
      <c r="P593" s="139">
        <f>Assumptions!$C$6*Assumptions!$C$7*(1+$G593-0.05*(1-$K593))^5+Assumptions!$C$6*Assumptions!$C$8*(1+Assumptions!$C$11)^5+Assumptions!$C$16*$K593+Assumptions!$C$6*Assumptions!$C$9*(1+Assumptions!$C$12)^5</f>
        <v>896.8970194</v>
      </c>
      <c r="Q593" s="139">
        <f>($L593*(1-(Assumptions!$C$25+0.06*(1-1))-Assumptions!$C$27)-Assumptions!$C$28)-MAX(0,($L593*(1-(Assumptions!$C$25+0.06*(1-1))-Assumptions!$C$27)-Assumptions!$C$28)*Assumptions!$C$31)+Assumptions!$C$28-Assumptions!$C$29-$L593*Assumptions!$C$30</f>
        <v>94.00865526</v>
      </c>
      <c r="R593" s="139">
        <f>($M593*(1-(Assumptions!$C$25+0.06*(1-$H593))-Assumptions!$C$27)-Assumptions!$C$28)-MAX(0,($M593*(1-(Assumptions!$C$25+0.06*(1-$H593))-Assumptions!$C$27)-Assumptions!$C$28)*Assumptions!$C$31)+Assumptions!$C$28-Assumptions!$C$29-$M593*Assumptions!$C$30</f>
        <v>101.1359187</v>
      </c>
      <c r="S593" s="139">
        <f>($N593*(1-(Assumptions!$C$25+0.06*(1-$I593))-Assumptions!$C$27)-Assumptions!$C$28)-MAX(0,($N593*(1-(Assumptions!$C$25+0.06*(1-$I593))-Assumptions!$C$27)-Assumptions!$C$28)*Assumptions!$C$31)+Assumptions!$C$28-Assumptions!$C$29-$N593*Assumptions!$C$30</f>
        <v>41.93635764</v>
      </c>
      <c r="T593" s="139">
        <f>($O593*(1-(Assumptions!$C$25+0.06*(1-$J593))-Assumptions!$C$27)-Assumptions!$C$28)-MAX(0,($O593*(1-(Assumptions!$C$25+0.06*(1-$J593))-Assumptions!$C$27)-Assumptions!$C$28)*Assumptions!$C$31)+Assumptions!$C$28-Assumptions!$C$29-$O593*Assumptions!$C$30</f>
        <v>45.4643445</v>
      </c>
      <c r="U593" s="139">
        <f>($P593*(1-(Assumptions!$C$25+0.06*(1-$K593))-Assumptions!$C$27)-Assumptions!$C$28)-MAX(0,($P593*(1-(Assumptions!$C$25+0.06*(1-$K593))-Assumptions!$C$27)-Assumptions!$C$28)*Assumptions!$C$31)+Assumptions!$C$28-Assumptions!$C$29-$P593*Assumptions!$C$30</f>
        <v>125.3328592</v>
      </c>
      <c r="V593" s="143">
        <f>(($Q593/(1+$D593)^1+$R593/(1+$D593)^2+$S593/(1+$D593)^3+$T593/(1+$D593)^4+$U593/(1+$D593)^5+$U593*(1+$E593)/($D593-$E593)/(1+$D593)^5)-Assumptions!$C$37)/Assumptions!$C$40/Assumptions!$C$38</f>
        <v>3.989883737</v>
      </c>
    </row>
    <row r="594" ht="12.0" customHeight="1">
      <c r="B594" s="139">
        <v>542.0</v>
      </c>
      <c r="C594" s="140">
        <f t="shared" si="6"/>
        <v>0.5716445606</v>
      </c>
      <c r="D594" s="141">
        <f t="shared" si="7"/>
        <v>0.09949814845</v>
      </c>
      <c r="E594" s="141">
        <f t="shared" si="8"/>
        <v>0.02309483436</v>
      </c>
      <c r="F594" s="140">
        <f t="shared" si="9"/>
        <v>0.1980070906</v>
      </c>
      <c r="G594" s="141">
        <f t="shared" si="10"/>
        <v>0.0488788973</v>
      </c>
      <c r="H594" s="142">
        <f t="shared" si="11"/>
        <v>1</v>
      </c>
      <c r="I594" s="142">
        <f t="shared" si="12"/>
        <v>0</v>
      </c>
      <c r="J594" s="142">
        <f t="shared" si="13"/>
        <v>1</v>
      </c>
      <c r="K594" s="142">
        <f t="shared" si="14"/>
        <v>1</v>
      </c>
      <c r="L594" s="139">
        <f>Assumptions!$C$6*Assumptions!$C$7*(1+$G594-0.05*(1-1))^1+Assumptions!$C$6*Assumptions!$C$8*(1+Assumptions!$C$11)^1+Assumptions!$C$16*1+Assumptions!$C$6*Assumptions!$C$9*(1+Assumptions!$C$12)^1</f>
        <v>742.9206368</v>
      </c>
      <c r="M594" s="139">
        <f>Assumptions!$C$6*Assumptions!$C$7*(1+$G594-0.05*(1-$H594))^2+Assumptions!$C$6*Assumptions!$C$8*(1+Assumptions!$C$11)^2+Assumptions!$C$16*$H594+Assumptions!$C$6*Assumptions!$C$9*(1+Assumptions!$C$12)^2</f>
        <v>766.7748204</v>
      </c>
      <c r="N594" s="139">
        <f>Assumptions!$C$6*Assumptions!$C$7*(1+$G594-0.05*(1-$I594))^3+Assumptions!$C$6*Assumptions!$C$8*(1+Assumptions!$C$11)^3+Assumptions!$C$16*$I594+Assumptions!$C$6*Assumptions!$C$9*(1+Assumptions!$C$12)^3</f>
        <v>678.6638464</v>
      </c>
      <c r="O594" s="139">
        <f>Assumptions!$C$6*Assumptions!$C$7*(1+$G594-0.05*(1-$J594))^4+Assumptions!$C$6*Assumptions!$C$8*(1+Assumptions!$C$11)^4+Assumptions!$C$16*$J594+Assumptions!$C$6*Assumptions!$C$9*(1+Assumptions!$C$12)^4</f>
        <v>817.4533807</v>
      </c>
      <c r="P594" s="139">
        <f>Assumptions!$C$6*Assumptions!$C$7*(1+$G594-0.05*(1-$K594))^5+Assumptions!$C$6*Assumptions!$C$8*(1+Assumptions!$C$11)^5+Assumptions!$C$16*$K594+Assumptions!$C$6*Assumptions!$C$9*(1+Assumptions!$C$12)^5</f>
        <v>844.3675615</v>
      </c>
      <c r="Q594" s="139">
        <f>($L594*(1-(Assumptions!$C$25+0.06*(1-1))-Assumptions!$C$27)-Assumptions!$C$28)-MAX(0,($L594*(1-(Assumptions!$C$25+0.06*(1-1))-Assumptions!$C$27)-Assumptions!$C$28)*Assumptions!$C$31)+Assumptions!$C$28-Assumptions!$C$29-$L594*Assumptions!$C$30</f>
        <v>92.22793692</v>
      </c>
      <c r="R594" s="139">
        <f>($M594*(1-(Assumptions!$C$25+0.06*(1-$H594))-Assumptions!$C$27)-Assumptions!$C$28)-MAX(0,($M594*(1-(Assumptions!$C$25+0.06*(1-$H594))-Assumptions!$C$27)-Assumptions!$C$28)*Assumptions!$C$31)+Assumptions!$C$28-Assumptions!$C$29-$M594*Assumptions!$C$30</f>
        <v>97.35658639</v>
      </c>
      <c r="S594" s="139">
        <f>($N594*(1-(Assumptions!$C$25+0.06*(1-$I594))-Assumptions!$C$27)-Assumptions!$C$28)-MAX(0,($N594*(1-(Assumptions!$C$25+0.06*(1-$I594))-Assumptions!$C$27)-Assumptions!$C$28)*Assumptions!$C$31)+Assumptions!$C$28-Assumptions!$C$29-$N594*Assumptions!$C$30</f>
        <v>36.09268467</v>
      </c>
      <c r="T594" s="139">
        <f>($O594*(1-(Assumptions!$C$25+0.06*(1-$J594))-Assumptions!$C$27)-Assumptions!$C$28)-MAX(0,($O594*(1-(Assumptions!$C$25+0.06*(1-$J594))-Assumptions!$C$27)-Assumptions!$C$28)*Assumptions!$C$31)+Assumptions!$C$28-Assumptions!$C$29-$O594*Assumptions!$C$30</f>
        <v>108.2524769</v>
      </c>
      <c r="U594" s="139">
        <f>($P594*(1-(Assumptions!$C$25+0.06*(1-$K594))-Assumptions!$C$27)-Assumptions!$C$28)-MAX(0,($P594*(1-(Assumptions!$C$25+0.06*(1-$K594))-Assumptions!$C$27)-Assumptions!$C$28)*Assumptions!$C$31)+Assumptions!$C$28-Assumptions!$C$29-$P594*Assumptions!$C$30</f>
        <v>114.0390257</v>
      </c>
      <c r="V594" s="143">
        <f>(($Q594/(1+$D594)^1+$R594/(1+$D594)^2+$S594/(1+$D594)^3+$T594/(1+$D594)^4+$U594/(1+$D594)^5+$U594*(1+$E594)/($D594-$E594)/(1+$D594)^5)-Assumptions!$C$37)/Assumptions!$C$40/Assumptions!$C$38</f>
        <v>4.645433319</v>
      </c>
    </row>
    <row r="595" ht="12.0" customHeight="1">
      <c r="B595" s="139">
        <v>543.0</v>
      </c>
      <c r="C595" s="140">
        <f t="shared" si="6"/>
        <v>0.688790261</v>
      </c>
      <c r="D595" s="141">
        <f t="shared" si="7"/>
        <v>0.1017867996</v>
      </c>
      <c r="E595" s="141">
        <f t="shared" si="8"/>
        <v>0.02684210226</v>
      </c>
      <c r="F595" s="140">
        <f t="shared" si="9"/>
        <v>0.2879631508</v>
      </c>
      <c r="G595" s="141">
        <f t="shared" si="10"/>
        <v>0.05276694252</v>
      </c>
      <c r="H595" s="142">
        <f t="shared" si="11"/>
        <v>1</v>
      </c>
      <c r="I595" s="142">
        <f t="shared" si="12"/>
        <v>1</v>
      </c>
      <c r="J595" s="142">
        <f t="shared" si="13"/>
        <v>1</v>
      </c>
      <c r="K595" s="142">
        <f t="shared" si="14"/>
        <v>1</v>
      </c>
      <c r="L595" s="139">
        <f>Assumptions!$C$6*Assumptions!$C$7*(1+$G595-0.05*(1-1))^1+Assumptions!$C$6*Assumptions!$C$8*(1+Assumptions!$C$11)^1+Assumptions!$C$16*1+Assumptions!$C$6*Assumptions!$C$9*(1+Assumptions!$C$12)^1</f>
        <v>744.2293529</v>
      </c>
      <c r="M595" s="139">
        <f>Assumptions!$C$6*Assumptions!$C$7*(1+$G595-0.05*(1-$H595))^2+Assumptions!$C$6*Assumptions!$C$8*(1+Assumptions!$C$11)^2+Assumptions!$C$16*$H595+Assumptions!$C$6*Assumptions!$C$9*(1+Assumptions!$C$12)^2</f>
        <v>769.525278</v>
      </c>
      <c r="N595" s="139">
        <f>Assumptions!$C$6*Assumptions!$C$7*(1+$G595-0.05*(1-$I595))^3+Assumptions!$C$6*Assumptions!$C$8*(1+Assumptions!$C$11)^3+Assumptions!$C$16*$I595+Assumptions!$C$6*Assumptions!$C$9*(1+Assumptions!$C$12)^3</f>
        <v>795.9398164</v>
      </c>
      <c r="O595" s="139">
        <f>Assumptions!$C$6*Assumptions!$C$7*(1+$G595-0.05*(1-$J595))^4+Assumptions!$C$6*Assumptions!$C$8*(1+Assumptions!$C$11)^4+Assumptions!$C$16*$J595+Assumptions!$C$6*Assumptions!$C$9*(1+Assumptions!$C$12)^4</f>
        <v>823.5276705</v>
      </c>
      <c r="P595" s="139">
        <f>Assumptions!$C$6*Assumptions!$C$7*(1+$G595-0.05*(1-$K595))^5+Assumptions!$C$6*Assumptions!$C$8*(1+Assumptions!$C$11)^5+Assumptions!$C$16*$K595+Assumptions!$C$6*Assumptions!$C$9*(1+Assumptions!$C$12)^5</f>
        <v>852.3463425</v>
      </c>
      <c r="Q595" s="139">
        <f>($L595*(1-(Assumptions!$C$25+0.06*(1-1))-Assumptions!$C$27)-Assumptions!$C$28)-MAX(0,($L595*(1-(Assumptions!$C$25+0.06*(1-1))-Assumptions!$C$27)-Assumptions!$C$28)*Assumptions!$C$31)+Assumptions!$C$28-Assumptions!$C$29-$L595*Assumptions!$C$30</f>
        <v>92.50931086</v>
      </c>
      <c r="R595" s="139">
        <f>($M595*(1-(Assumptions!$C$25+0.06*(1-$H595))-Assumptions!$C$27)-Assumptions!$C$28)-MAX(0,($M595*(1-(Assumptions!$C$25+0.06*(1-$H595))-Assumptions!$C$27)-Assumptions!$C$28)*Assumptions!$C$31)+Assumptions!$C$28-Assumptions!$C$29-$M595*Assumptions!$C$30</f>
        <v>97.94793477</v>
      </c>
      <c r="S595" s="139">
        <f>($N595*(1-(Assumptions!$C$25+0.06*(1-$I595))-Assumptions!$C$27)-Assumptions!$C$28)-MAX(0,($N595*(1-(Assumptions!$C$25+0.06*(1-$I595))-Assumptions!$C$27)-Assumptions!$C$28)*Assumptions!$C$31)+Assumptions!$C$28-Assumptions!$C$29-$N595*Assumptions!$C$30</f>
        <v>103.6270605</v>
      </c>
      <c r="T595" s="139">
        <f>($O595*(1-(Assumptions!$C$25+0.06*(1-$J595))-Assumptions!$C$27)-Assumptions!$C$28)-MAX(0,($O595*(1-(Assumptions!$C$25+0.06*(1-$J595))-Assumptions!$C$27)-Assumptions!$C$28)*Assumptions!$C$31)+Assumptions!$C$28-Assumptions!$C$29-$O595*Assumptions!$C$30</f>
        <v>109.5584492</v>
      </c>
      <c r="U595" s="139">
        <f>($P595*(1-(Assumptions!$C$25+0.06*(1-$K595))-Assumptions!$C$27)-Assumptions!$C$28)-MAX(0,($P595*(1-(Assumptions!$C$25+0.06*(1-$K595))-Assumptions!$C$27)-Assumptions!$C$28)*Assumptions!$C$31)+Assumptions!$C$28-Assumptions!$C$29-$P595*Assumptions!$C$30</f>
        <v>115.7544636</v>
      </c>
      <c r="V595" s="143">
        <f>(($Q595/(1+$D595)^1+$R595/(1+$D595)^2+$S595/(1+$D595)^3+$T595/(1+$D595)^4+$U595/(1+$D595)^5+$U595*(1+$E595)/($D595-$E595)/(1+$D595)^5)-Assumptions!$C$37)/Assumptions!$C$40/Assumptions!$C$38</f>
        <v>5.251152567</v>
      </c>
    </row>
    <row r="596" ht="12.0" customHeight="1">
      <c r="B596" s="139">
        <v>544.0</v>
      </c>
      <c r="C596" s="140">
        <f t="shared" si="6"/>
        <v>0.6050835548</v>
      </c>
      <c r="D596" s="141">
        <f t="shared" si="7"/>
        <v>0.1001155072</v>
      </c>
      <c r="E596" s="141">
        <f t="shared" si="8"/>
        <v>0.01765831367</v>
      </c>
      <c r="F596" s="140">
        <f t="shared" si="9"/>
        <v>0.1792859005</v>
      </c>
      <c r="G596" s="141">
        <f t="shared" si="10"/>
        <v>0.04796425954</v>
      </c>
      <c r="H596" s="142">
        <f t="shared" si="11"/>
        <v>1</v>
      </c>
      <c r="I596" s="142">
        <f t="shared" si="12"/>
        <v>0</v>
      </c>
      <c r="J596" s="142">
        <f t="shared" si="13"/>
        <v>1</v>
      </c>
      <c r="K596" s="142">
        <f t="shared" si="14"/>
        <v>1</v>
      </c>
      <c r="L596" s="139">
        <f>Assumptions!$C$6*Assumptions!$C$7*(1+$G596-0.05*(1-1))^1+Assumptions!$C$6*Assumptions!$C$8*(1+Assumptions!$C$11)^1+Assumptions!$C$16*1+Assumptions!$C$6*Assumptions!$C$9*(1+Assumptions!$C$12)^1</f>
        <v>742.6127698</v>
      </c>
      <c r="M596" s="139">
        <f>Assumptions!$C$6*Assumptions!$C$7*(1+$G596-0.05*(1-$H596))^2+Assumptions!$C$6*Assumptions!$C$8*(1+Assumptions!$C$11)^2+Assumptions!$C$16*$H596+Assumptions!$C$6*Assumptions!$C$9*(1+Assumptions!$C$12)^2</f>
        <v>766.1292715</v>
      </c>
      <c r="N596" s="139">
        <f>Assumptions!$C$6*Assumptions!$C$7*(1+$G596-0.05*(1-$I596))^3+Assumptions!$C$6*Assumptions!$C$8*(1+Assumptions!$C$11)^3+Assumptions!$C$16*$I596+Assumptions!$C$6*Assumptions!$C$9*(1+Assumptions!$C$12)^3</f>
        <v>677.7431585</v>
      </c>
      <c r="O596" s="139">
        <f>Assumptions!$C$6*Assumptions!$C$7*(1+$G596-0.05*(1-$J596))^4+Assumptions!$C$6*Assumptions!$C$8*(1+Assumptions!$C$11)^4+Assumptions!$C$16*$J596+Assumptions!$C$6*Assumptions!$C$9*(1+Assumptions!$C$12)^4</f>
        <v>816.0342214</v>
      </c>
      <c r="P596" s="139">
        <f>Assumptions!$C$6*Assumptions!$C$7*(1+$G596-0.05*(1-$K596))^5+Assumptions!$C$6*Assumptions!$C$8*(1+Assumptions!$C$11)^5+Assumptions!$C$16*$K596+Assumptions!$C$6*Assumptions!$C$9*(1+Assumptions!$C$12)^5</f>
        <v>842.5077145</v>
      </c>
      <c r="Q596" s="139">
        <f>($L596*(1-(Assumptions!$C$25+0.06*(1-1))-Assumptions!$C$27)-Assumptions!$C$28)-MAX(0,($L596*(1-(Assumptions!$C$25+0.06*(1-1))-Assumptions!$C$27)-Assumptions!$C$28)*Assumptions!$C$31)+Assumptions!$C$28-Assumptions!$C$29-$L596*Assumptions!$C$30</f>
        <v>92.1617455</v>
      </c>
      <c r="R596" s="139">
        <f>($M596*(1-(Assumptions!$C$25+0.06*(1-$H596))-Assumptions!$C$27)-Assumptions!$C$28)-MAX(0,($M596*(1-(Assumptions!$C$25+0.06*(1-$H596))-Assumptions!$C$27)-Assumptions!$C$28)*Assumptions!$C$31)+Assumptions!$C$28-Assumptions!$C$29-$M596*Assumptions!$C$30</f>
        <v>97.21779336</v>
      </c>
      <c r="S596" s="139">
        <f>($N596*(1-(Assumptions!$C$25+0.06*(1-$I596))-Assumptions!$C$27)-Assumptions!$C$28)-MAX(0,($N596*(1-(Assumptions!$C$25+0.06*(1-$I596))-Assumptions!$C$27)-Assumptions!$C$28)*Assumptions!$C$31)+Assumptions!$C$28-Assumptions!$C$29-$N596*Assumptions!$C$30</f>
        <v>35.88092645</v>
      </c>
      <c r="T596" s="139">
        <f>($O596*(1-(Assumptions!$C$25+0.06*(1-$J596))-Assumptions!$C$27)-Assumptions!$C$28)-MAX(0,($O596*(1-(Assumptions!$C$25+0.06*(1-$J596))-Assumptions!$C$27)-Assumptions!$C$28)*Assumptions!$C$31)+Assumptions!$C$28-Assumptions!$C$29-$O596*Assumptions!$C$30</f>
        <v>107.9473576</v>
      </c>
      <c r="U596" s="139">
        <f>($P596*(1-(Assumptions!$C$25+0.06*(1-$K596))-Assumptions!$C$27)-Assumptions!$C$28)-MAX(0,($P596*(1-(Assumptions!$C$25+0.06*(1-$K596))-Assumptions!$C$27)-Assumptions!$C$28)*Assumptions!$C$31)+Assumptions!$C$28-Assumptions!$C$29-$P596*Assumptions!$C$30</f>
        <v>113.6391586</v>
      </c>
      <c r="V596" s="143">
        <f>(($Q596/(1+$D596)^1+$R596/(1+$D596)^2+$S596/(1+$D596)^3+$T596/(1+$D596)^4+$U596/(1+$D596)^5+$U596*(1+$E596)/($D596-$E596)/(1+$D596)^5)-Assumptions!$C$37)/Assumptions!$C$40/Assumptions!$C$38</f>
        <v>4.010902951</v>
      </c>
    </row>
    <row r="597" ht="12.0" customHeight="1">
      <c r="B597" s="139">
        <v>545.0</v>
      </c>
      <c r="C597" s="140">
        <f t="shared" si="6"/>
        <v>0.7972727383</v>
      </c>
      <c r="D597" s="141">
        <f t="shared" si="7"/>
        <v>0.1043355734</v>
      </c>
      <c r="E597" s="141">
        <f t="shared" si="8"/>
        <v>0.01628777205</v>
      </c>
      <c r="F597" s="140">
        <f t="shared" si="9"/>
        <v>0.1253985639</v>
      </c>
      <c r="G597" s="141">
        <f t="shared" si="10"/>
        <v>0.0450238948</v>
      </c>
      <c r="H597" s="142">
        <f t="shared" si="11"/>
        <v>1</v>
      </c>
      <c r="I597" s="142">
        <f t="shared" si="12"/>
        <v>1</v>
      </c>
      <c r="J597" s="142">
        <f t="shared" si="13"/>
        <v>0</v>
      </c>
      <c r="K597" s="142">
        <f t="shared" si="14"/>
        <v>1</v>
      </c>
      <c r="L597" s="139">
        <f>Assumptions!$C$6*Assumptions!$C$7*(1+$G597-0.05*(1-1))^1+Assumptions!$C$6*Assumptions!$C$8*(1+Assumptions!$C$11)^1+Assumptions!$C$16*1+Assumptions!$C$6*Assumptions!$C$9*(1+Assumptions!$C$12)^1</f>
        <v>741.623043</v>
      </c>
      <c r="M597" s="139">
        <f>Assumptions!$C$6*Assumptions!$C$7*(1+$G597-0.05*(1-$H597))^2+Assumptions!$C$6*Assumptions!$C$8*(1+Assumptions!$C$11)^2+Assumptions!$C$16*$H597+Assumptions!$C$6*Assumptions!$C$9*(1+Assumptions!$C$12)^2</f>
        <v>764.057785</v>
      </c>
      <c r="N597" s="139">
        <f>Assumptions!$C$6*Assumptions!$C$7*(1+$G597-0.05*(1-$I597))^3+Assumptions!$C$6*Assumptions!$C$8*(1+Assumptions!$C$11)^3+Assumptions!$C$16*$I597+Assumptions!$C$6*Assumptions!$C$9*(1+Assumptions!$C$12)^3</f>
        <v>787.3375349</v>
      </c>
      <c r="O597" s="139">
        <f>Assumptions!$C$6*Assumptions!$C$7*(1+$G597-0.05*(1-$J597))^4+Assumptions!$C$6*Assumptions!$C$8*(1+Assumptions!$C$11)^4+Assumptions!$C$16*$J597+Assumptions!$C$6*Assumptions!$C$9*(1+Assumptions!$C$12)^4</f>
        <v>680.0085754</v>
      </c>
      <c r="P597" s="139">
        <f>Assumptions!$C$6*Assumptions!$C$7*(1+$G597-0.05*(1-$K597))^5+Assumptions!$C$6*Assumptions!$C$8*(1+Assumptions!$C$11)^5+Assumptions!$C$16*$K597+Assumptions!$C$6*Assumptions!$C$9*(1+Assumptions!$C$12)^5</f>
        <v>836.5725312</v>
      </c>
      <c r="Q597" s="139">
        <f>($L597*(1-(Assumptions!$C$25+0.06*(1-1))-Assumptions!$C$27)-Assumptions!$C$28)-MAX(0,($L597*(1-(Assumptions!$C$25+0.06*(1-1))-Assumptions!$C$27)-Assumptions!$C$28)*Assumptions!$C$31)+Assumptions!$C$28-Assumptions!$C$29-$L597*Assumptions!$C$30</f>
        <v>91.94895424</v>
      </c>
      <c r="R597" s="139">
        <f>($M597*(1-(Assumptions!$C$25+0.06*(1-$H597))-Assumptions!$C$27)-Assumptions!$C$28)-MAX(0,($M597*(1-(Assumptions!$C$25+0.06*(1-$H597))-Assumptions!$C$27)-Assumptions!$C$28)*Assumptions!$C$31)+Assumptions!$C$28-Assumptions!$C$29-$M597*Assumptions!$C$30</f>
        <v>96.77242378</v>
      </c>
      <c r="S597" s="139">
        <f>($N597*(1-(Assumptions!$C$25+0.06*(1-$I597))-Assumptions!$C$27)-Assumptions!$C$28)-MAX(0,($N597*(1-(Assumptions!$C$25+0.06*(1-$I597))-Assumptions!$C$27)-Assumptions!$C$28)*Assumptions!$C$31)+Assumptions!$C$28-Assumptions!$C$29-$N597*Assumptions!$C$30</f>
        <v>101.77757</v>
      </c>
      <c r="T597" s="139">
        <f>($O597*(1-(Assumptions!$C$25+0.06*(1-$J597))-Assumptions!$C$27)-Assumptions!$C$28)-MAX(0,($O597*(1-(Assumptions!$C$25+0.06*(1-$J597))-Assumptions!$C$27)-Assumptions!$C$28)*Assumptions!$C$31)+Assumptions!$C$28-Assumptions!$C$29-$O597*Assumptions!$C$30</f>
        <v>36.40197234</v>
      </c>
      <c r="U597" s="139">
        <f>($P597*(1-(Assumptions!$C$25+0.06*(1-$K597))-Assumptions!$C$27)-Assumptions!$C$28)-MAX(0,($P597*(1-(Assumptions!$C$25+0.06*(1-$K597))-Assumptions!$C$27)-Assumptions!$C$28)*Assumptions!$C$31)+Assumptions!$C$28-Assumptions!$C$29-$P597*Assumptions!$C$30</f>
        <v>112.3630942</v>
      </c>
      <c r="V597" s="143">
        <f>(($Q597/(1+$D597)^1+$R597/(1+$D597)^2+$S597/(1+$D597)^3+$T597/(1+$D597)^4+$U597/(1+$D597)^5+$U597*(1+$E597)/($D597-$E597)/(1+$D597)^5)-Assumptions!$C$37)/Assumptions!$C$40/Assumptions!$C$38</f>
        <v>3.347775817</v>
      </c>
    </row>
    <row r="598" ht="12.0" customHeight="1">
      <c r="B598" s="139">
        <v>546.0</v>
      </c>
      <c r="C598" s="140">
        <f t="shared" si="6"/>
        <v>0.7853134136</v>
      </c>
      <c r="D598" s="141">
        <f t="shared" si="7"/>
        <v>0.1040255217</v>
      </c>
      <c r="E598" s="141">
        <f t="shared" si="8"/>
        <v>0.01710907384</v>
      </c>
      <c r="F598" s="140">
        <f t="shared" si="9"/>
        <v>0.7781611802</v>
      </c>
      <c r="G598" s="141">
        <f t="shared" si="10"/>
        <v>0.07001726056</v>
      </c>
      <c r="H598" s="142">
        <f t="shared" si="11"/>
        <v>0</v>
      </c>
      <c r="I598" s="142">
        <f t="shared" si="12"/>
        <v>0</v>
      </c>
      <c r="J598" s="142">
        <f t="shared" si="13"/>
        <v>1</v>
      </c>
      <c r="K598" s="142">
        <f t="shared" si="14"/>
        <v>1</v>
      </c>
      <c r="L598" s="139">
        <f>Assumptions!$C$6*Assumptions!$C$7*(1+$G598-0.05*(1-1))^1+Assumptions!$C$6*Assumptions!$C$8*(1+Assumptions!$C$11)^1+Assumptions!$C$16*1+Assumptions!$C$6*Assumptions!$C$9*(1+Assumptions!$C$12)^1</f>
        <v>750.0358099</v>
      </c>
      <c r="M598" s="139">
        <f>Assumptions!$C$6*Assumptions!$C$7*(1+$G598-0.05*(1-$H598))^2+Assumptions!$C$6*Assumptions!$C$8*(1+Assumptions!$C$11)^2+Assumptions!$C$16*$H598+Assumptions!$C$6*Assumptions!$C$9*(1+Assumptions!$C$12)^2</f>
        <v>686.6758523</v>
      </c>
      <c r="N598" s="139">
        <f>Assumptions!$C$6*Assumptions!$C$7*(1+$G598-0.05*(1-$I598))^3+Assumptions!$C$6*Assumptions!$C$8*(1+Assumptions!$C$11)^3+Assumptions!$C$16*$I598+Assumptions!$C$6*Assumptions!$C$9*(1+Assumptions!$C$12)^3</f>
        <v>700.4154142</v>
      </c>
      <c r="O598" s="139">
        <f>Assumptions!$C$6*Assumptions!$C$7*(1+$G598-0.05*(1-$J598))^4+Assumptions!$C$6*Assumptions!$C$8*(1+Assumptions!$C$11)^4+Assumptions!$C$16*$J598+Assumptions!$C$6*Assumptions!$C$9*(1+Assumptions!$C$12)^4</f>
        <v>851.3009677</v>
      </c>
      <c r="P598" s="139">
        <f>Assumptions!$C$6*Assumptions!$C$7*(1+$G598-0.05*(1-$K598))^5+Assumptions!$C$6*Assumptions!$C$8*(1+Assumptions!$C$11)^5+Assumptions!$C$16*$K598+Assumptions!$C$6*Assumptions!$C$9*(1+Assumptions!$C$12)^5</f>
        <v>889.1967235</v>
      </c>
      <c r="Q598" s="139">
        <f>($L598*(1-(Assumptions!$C$25+0.06*(1-1))-Assumptions!$C$27)-Assumptions!$C$28)-MAX(0,($L598*(1-(Assumptions!$C$25+0.06*(1-1))-Assumptions!$C$27)-Assumptions!$C$28)*Assumptions!$C$31)+Assumptions!$C$28-Assumptions!$C$29-$L598*Assumptions!$C$30</f>
        <v>93.75769913</v>
      </c>
      <c r="R598" s="139">
        <f>($M598*(1-(Assumptions!$C$25+0.06*(1-$H598))-Assumptions!$C$27)-Assumptions!$C$28)-MAX(0,($M598*(1-(Assumptions!$C$25+0.06*(1-$H598))-Assumptions!$C$27)-Assumptions!$C$28)*Assumptions!$C$31)+Assumptions!$C$28-Assumptions!$C$29-$M598*Assumptions!$C$30</f>
        <v>37.93544603</v>
      </c>
      <c r="S598" s="139">
        <f>($N598*(1-(Assumptions!$C$25+0.06*(1-$I598))-Assumptions!$C$27)-Assumptions!$C$28)-MAX(0,($N598*(1-(Assumptions!$C$25+0.06*(1-$I598))-Assumptions!$C$27)-Assumptions!$C$28)*Assumptions!$C$31)+Assumptions!$C$28-Assumptions!$C$29-$N598*Assumptions!$C$30</f>
        <v>41.09554526</v>
      </c>
      <c r="T598" s="139">
        <f>($O598*(1-(Assumptions!$C$25+0.06*(1-$J598))-Assumptions!$C$27)-Assumptions!$C$28)-MAX(0,($O598*(1-(Assumptions!$C$25+0.06*(1-$J598))-Assumptions!$C$27)-Assumptions!$C$28)*Assumptions!$C$31)+Assumptions!$C$28-Assumptions!$C$29-$O598*Assumptions!$C$30</f>
        <v>115.5297081</v>
      </c>
      <c r="U598" s="139">
        <f>($P598*(1-(Assumptions!$C$25+0.06*(1-$K598))-Assumptions!$C$27)-Assumptions!$C$28)-MAX(0,($P598*(1-(Assumptions!$C$25+0.06*(1-$K598))-Assumptions!$C$27)-Assumptions!$C$28)*Assumptions!$C$31)+Assumptions!$C$28-Assumptions!$C$29-$P598*Assumptions!$C$30</f>
        <v>123.6772956</v>
      </c>
      <c r="V598" s="143">
        <f>(($Q598/(1+$D598)^1+$R598/(1+$D598)^2+$S598/(1+$D598)^3+$T598/(1+$D598)^4+$U598/(1+$D598)^5+$U598*(1+$E598)/($D598-$E598)/(1+$D598)^5)-Assumptions!$C$37)/Assumptions!$C$40/Assumptions!$C$38</f>
        <v>3.827396612</v>
      </c>
    </row>
    <row r="599" ht="12.0" customHeight="1">
      <c r="B599" s="139">
        <v>547.0</v>
      </c>
      <c r="C599" s="140">
        <f t="shared" si="6"/>
        <v>0.04381108123</v>
      </c>
      <c r="D599" s="141">
        <f t="shared" si="7"/>
        <v>0.08885382363</v>
      </c>
      <c r="E599" s="141">
        <f t="shared" si="8"/>
        <v>0.02954682139</v>
      </c>
      <c r="F599" s="140">
        <f t="shared" si="9"/>
        <v>0.8752039325</v>
      </c>
      <c r="G599" s="141">
        <f t="shared" si="10"/>
        <v>0.07501224095</v>
      </c>
      <c r="H599" s="142">
        <f t="shared" si="11"/>
        <v>1</v>
      </c>
      <c r="I599" s="142">
        <f t="shared" si="12"/>
        <v>1</v>
      </c>
      <c r="J599" s="142">
        <f t="shared" si="13"/>
        <v>0</v>
      </c>
      <c r="K599" s="142">
        <f t="shared" si="14"/>
        <v>1</v>
      </c>
      <c r="L599" s="139">
        <f>Assumptions!$C$6*Assumptions!$C$7*(1+$G599-0.05*(1-1))^1+Assumptions!$C$6*Assumptions!$C$8*(1+Assumptions!$C$11)^1+Assumptions!$C$16*1+Assumptions!$C$6*Assumptions!$C$9*(1+Assumptions!$C$12)^1</f>
        <v>751.7171203</v>
      </c>
      <c r="M599" s="139">
        <f>Assumptions!$C$6*Assumptions!$C$7*(1+$G599-0.05*(1-$H599))^2+Assumptions!$C$6*Assumptions!$C$8*(1+Assumptions!$C$11)^2+Assumptions!$C$16*$H599+Assumptions!$C$6*Assumptions!$C$9*(1+Assumptions!$C$12)^2</f>
        <v>785.4575937</v>
      </c>
      <c r="N599" s="139">
        <f>Assumptions!$C$6*Assumptions!$C$7*(1+$G599-0.05*(1-$I599))^3+Assumptions!$C$6*Assumptions!$C$8*(1+Assumptions!$C$11)^3+Assumptions!$C$16*$I599+Assumptions!$C$6*Assumptions!$C$9*(1+Assumptions!$C$12)^3</f>
        <v>821.3660801</v>
      </c>
      <c r="O599" s="139">
        <f>Assumptions!$C$6*Assumptions!$C$7*(1+$G599-0.05*(1-$J599))^4+Assumptions!$C$6*Assumptions!$C$8*(1+Assumptions!$C$11)^4+Assumptions!$C$16*$J599+Assumptions!$C$6*Assumptions!$C$9*(1+Assumptions!$C$12)^4</f>
        <v>721.6197283</v>
      </c>
      <c r="P599" s="139">
        <f>Assumptions!$C$6*Assumptions!$C$7*(1+$G599-0.05*(1-$K599))^5+Assumptions!$C$6*Assumptions!$C$8*(1+Assumptions!$C$11)^5+Assumptions!$C$16*$K599+Assumptions!$C$6*Assumptions!$C$9*(1+Assumptions!$C$12)^5</f>
        <v>900.3200763</v>
      </c>
      <c r="Q599" s="139">
        <f>($L599*(1-(Assumptions!$C$25+0.06*(1-1))-Assumptions!$C$27)-Assumptions!$C$28)-MAX(0,($L599*(1-(Assumptions!$C$25+0.06*(1-1))-Assumptions!$C$27)-Assumptions!$C$28)*Assumptions!$C$31)+Assumptions!$C$28-Assumptions!$C$29-$L599*Assumptions!$C$30</f>
        <v>94.11918086</v>
      </c>
      <c r="R599" s="139">
        <f>($M599*(1-(Assumptions!$C$25+0.06*(1-$H599))-Assumptions!$C$27)-Assumptions!$C$28)-MAX(0,($M599*(1-(Assumptions!$C$25+0.06*(1-$H599))-Assumptions!$C$27)-Assumptions!$C$28)*Assumptions!$C$31)+Assumptions!$C$28-Assumptions!$C$29-$M599*Assumptions!$C$30</f>
        <v>101.3733826</v>
      </c>
      <c r="S599" s="139">
        <f>($N599*(1-(Assumptions!$C$25+0.06*(1-$I599))-Assumptions!$C$27)-Assumptions!$C$28)-MAX(0,($N599*(1-(Assumptions!$C$25+0.06*(1-$I599))-Assumptions!$C$27)-Assumptions!$C$28)*Assumptions!$C$31)+Assumptions!$C$28-Assumptions!$C$29-$N599*Assumptions!$C$30</f>
        <v>109.0937072</v>
      </c>
      <c r="T599" s="139">
        <f>($O599*(1-(Assumptions!$C$25+0.06*(1-$J599))-Assumptions!$C$27)-Assumptions!$C$28)-MAX(0,($O599*(1-(Assumptions!$C$25+0.06*(1-$J599))-Assumptions!$C$27)-Assumptions!$C$28)*Assumptions!$C$31)+Assumptions!$C$28-Assumptions!$C$29-$O599*Assumptions!$C$30</f>
        <v>45.97253751</v>
      </c>
      <c r="U599" s="139">
        <f>($P599*(1-(Assumptions!$C$25+0.06*(1-$K599))-Assumptions!$C$27)-Assumptions!$C$28)-MAX(0,($P599*(1-(Assumptions!$C$25+0.06*(1-$K599))-Assumptions!$C$27)-Assumptions!$C$28)*Assumptions!$C$31)+Assumptions!$C$28-Assumptions!$C$29-$P599*Assumptions!$C$30</f>
        <v>126.0688164</v>
      </c>
      <c r="V599" s="143">
        <f>(($Q599/(1+$D599)^1+$R599/(1+$D599)^2+$S599/(1+$D599)^3+$T599/(1+$D599)^4+$U599/(1+$D599)^5+$U599*(1+$E599)/($D599-$E599)/(1+$D599)^5)-Assumptions!$C$37)/Assumptions!$C$40/Assumptions!$C$38</f>
        <v>8.660089095</v>
      </c>
    </row>
    <row r="600" ht="12.0" customHeight="1">
      <c r="B600" s="139">
        <v>548.0</v>
      </c>
      <c r="C600" s="140">
        <f t="shared" si="6"/>
        <v>0.7368844277</v>
      </c>
      <c r="D600" s="141">
        <f t="shared" si="7"/>
        <v>0.1028506035</v>
      </c>
      <c r="E600" s="141">
        <f t="shared" si="8"/>
        <v>0.01469315789</v>
      </c>
      <c r="F600" s="140">
        <f t="shared" si="9"/>
        <v>0.4345542248</v>
      </c>
      <c r="G600" s="141">
        <f t="shared" si="10"/>
        <v>0.05796779585</v>
      </c>
      <c r="H600" s="142">
        <f t="shared" si="11"/>
        <v>0</v>
      </c>
      <c r="I600" s="142">
        <f t="shared" si="12"/>
        <v>1</v>
      </c>
      <c r="J600" s="142">
        <f t="shared" si="13"/>
        <v>1</v>
      </c>
      <c r="K600" s="142">
        <f t="shared" si="14"/>
        <v>0</v>
      </c>
      <c r="L600" s="139">
        <f>Assumptions!$C$6*Assumptions!$C$7*(1+$G600-0.05*(1-1))^1+Assumptions!$C$6*Assumptions!$C$8*(1+Assumptions!$C$11)^1+Assumptions!$C$16*1+Assumptions!$C$6*Assumptions!$C$9*(1+Assumptions!$C$12)^1</f>
        <v>745.9799601</v>
      </c>
      <c r="M600" s="139">
        <f>Assumptions!$C$6*Assumptions!$C$7*(1+$G600-0.05*(1-$H600))^2+Assumptions!$C$6*Assumptions!$C$8*(1+Assumptions!$C$11)^2+Assumptions!$C$16*$H600+Assumptions!$C$6*Assumptions!$C$9*(1+Assumptions!$C$12)^2</f>
        <v>678.4506495</v>
      </c>
      <c r="N600" s="139">
        <f>Assumptions!$C$6*Assumptions!$C$7*(1+$G600-0.05*(1-$I600))^3+Assumptions!$C$6*Assumptions!$C$8*(1+Assumptions!$C$11)^3+Assumptions!$C$16*$I600+Assumptions!$C$6*Assumptions!$C$9*(1+Assumptions!$C$12)^3</f>
        <v>801.7893088</v>
      </c>
      <c r="O600" s="139">
        <f>Assumptions!$C$6*Assumptions!$C$7*(1+$G600-0.05*(1-$J600))^4+Assumptions!$C$6*Assumptions!$C$8*(1+Assumptions!$C$11)^4+Assumptions!$C$16*$J600+Assumptions!$C$6*Assumptions!$C$9*(1+Assumptions!$C$12)^4</f>
        <v>831.7588549</v>
      </c>
      <c r="P600" s="139">
        <f>Assumptions!$C$6*Assumptions!$C$7*(1+$G600-0.05*(1-$K600))^5+Assumptions!$C$6*Assumptions!$C$8*(1+Assumptions!$C$11)^5+Assumptions!$C$16*$K600+Assumptions!$C$6*Assumptions!$C$9*(1+Assumptions!$C$12)^5</f>
        <v>707.2849347</v>
      </c>
      <c r="Q600" s="139">
        <f>($L600*(1-(Assumptions!$C$25+0.06*(1-1))-Assumptions!$C$27)-Assumptions!$C$28)-MAX(0,($L600*(1-(Assumptions!$C$25+0.06*(1-1))-Assumptions!$C$27)-Assumptions!$C$28)*Assumptions!$C$31)+Assumptions!$C$28-Assumptions!$C$29-$L600*Assumptions!$C$30</f>
        <v>92.88569142</v>
      </c>
      <c r="R600" s="139">
        <f>($M600*(1-(Assumptions!$C$25+0.06*(1-$H600))-Assumptions!$C$27)-Assumptions!$C$28)-MAX(0,($M600*(1-(Assumptions!$C$25+0.06*(1-$H600))-Assumptions!$C$27)-Assumptions!$C$28)*Assumptions!$C$31)+Assumptions!$C$28-Assumptions!$C$29-$M600*Assumptions!$C$30</f>
        <v>36.04364938</v>
      </c>
      <c r="S600" s="139">
        <f>($N600*(1-(Assumptions!$C$25+0.06*(1-$I600))-Assumptions!$C$27)-Assumptions!$C$28)-MAX(0,($N600*(1-(Assumptions!$C$25+0.06*(1-$I600))-Assumptions!$C$27)-Assumptions!$C$28)*Assumptions!$C$31)+Assumptions!$C$28-Assumptions!$C$29-$N600*Assumptions!$C$30</f>
        <v>104.8847014</v>
      </c>
      <c r="T600" s="139">
        <f>($O600*(1-(Assumptions!$C$25+0.06*(1-$J600))-Assumptions!$C$27)-Assumptions!$C$28)-MAX(0,($O600*(1-(Assumptions!$C$25+0.06*(1-$J600))-Assumptions!$C$27)-Assumptions!$C$28)*Assumptions!$C$31)+Assumptions!$C$28-Assumptions!$C$29-$O600*Assumptions!$C$30</f>
        <v>111.3281538</v>
      </c>
      <c r="U600" s="139">
        <f>($P600*(1-(Assumptions!$C$25+0.06*(1-$K600))-Assumptions!$C$27)-Assumptions!$C$28)-MAX(0,($P600*(1-(Assumptions!$C$25+0.06*(1-$K600))-Assumptions!$C$27)-Assumptions!$C$28)*Assumptions!$C$31)+Assumptions!$C$28-Assumptions!$C$29-$P600*Assumptions!$C$30</f>
        <v>42.67553499</v>
      </c>
      <c r="V600" s="143">
        <f>(($Q600/(1+$D600)^1+$R600/(1+$D600)^2+$S600/(1+$D600)^3+$T600/(1+$D600)^4+$U600/(1+$D600)^5+$U600*(1+$E600)/($D600-$E600)/(1+$D600)^5)-Assumptions!$C$37)/Assumptions!$C$40/Assumptions!$C$38</f>
        <v>-0.7582707953</v>
      </c>
    </row>
    <row r="601" ht="12.0" customHeight="1">
      <c r="B601" s="139">
        <v>549.0</v>
      </c>
      <c r="C601" s="140">
        <f t="shared" si="6"/>
        <v>0.6908720776</v>
      </c>
      <c r="D601" s="141">
        <f t="shared" si="7"/>
        <v>0.1018310682</v>
      </c>
      <c r="E601" s="141">
        <f t="shared" si="8"/>
        <v>0.011928559</v>
      </c>
      <c r="F601" s="140">
        <f t="shared" si="9"/>
        <v>0.6457486955</v>
      </c>
      <c r="G601" s="141">
        <f t="shared" si="10"/>
        <v>0.06474822089</v>
      </c>
      <c r="H601" s="142">
        <f t="shared" si="11"/>
        <v>1</v>
      </c>
      <c r="I601" s="142">
        <f t="shared" si="12"/>
        <v>1</v>
      </c>
      <c r="J601" s="142">
        <f t="shared" si="13"/>
        <v>1</v>
      </c>
      <c r="K601" s="142">
        <f t="shared" si="14"/>
        <v>1</v>
      </c>
      <c r="L601" s="139">
        <f>Assumptions!$C$6*Assumptions!$C$7*(1+$G601-0.05*(1-1))^1+Assumptions!$C$6*Assumptions!$C$8*(1+Assumptions!$C$11)^1+Assumptions!$C$16*1+Assumptions!$C$6*Assumptions!$C$9*(1+Assumptions!$C$12)^1</f>
        <v>748.2622512</v>
      </c>
      <c r="M601" s="139">
        <f>Assumptions!$C$6*Assumptions!$C$7*(1+$G601-0.05*(1-$H601))^2+Assumptions!$C$6*Assumptions!$C$8*(1+Assumptions!$C$11)^2+Assumptions!$C$16*$H601+Assumptions!$C$6*Assumptions!$C$9*(1+Assumptions!$C$12)^2</f>
        <v>778.0650013</v>
      </c>
      <c r="N601" s="139">
        <f>Assumptions!$C$6*Assumptions!$C$7*(1+$G601-0.05*(1-$I601))^3+Assumptions!$C$6*Assumptions!$C$8*(1+Assumptions!$C$11)^3+Assumptions!$C$16*$I601+Assumptions!$C$6*Assumptions!$C$9*(1+Assumptions!$C$12)^3</f>
        <v>809.5022064</v>
      </c>
      <c r="O601" s="139">
        <f>Assumptions!$C$6*Assumptions!$C$7*(1+$G601-0.05*(1-$J601))^4+Assumptions!$C$6*Assumptions!$C$8*(1+Assumptions!$C$11)^4+Assumptions!$C$16*$J601+Assumptions!$C$6*Assumptions!$C$9*(1+Assumptions!$C$12)^4</f>
        <v>842.67379</v>
      </c>
      <c r="P601" s="139">
        <f>Assumptions!$C$6*Assumptions!$C$7*(1+$G601-0.05*(1-$K601))^5+Assumptions!$C$6*Assumptions!$C$8*(1+Assumptions!$C$11)^5+Assumptions!$C$16*$K601+Assumptions!$C$6*Assumptions!$C$9*(1+Assumptions!$C$12)^5</f>
        <v>877.6860276</v>
      </c>
      <c r="Q601" s="139">
        <f>($L601*(1-(Assumptions!$C$25+0.06*(1-1))-Assumptions!$C$27)-Assumptions!$C$28)-MAX(0,($L601*(1-(Assumptions!$C$25+0.06*(1-1))-Assumptions!$C$27)-Assumptions!$C$28)*Assumptions!$C$31)+Assumptions!$C$28-Assumptions!$C$29-$L601*Assumptions!$C$30</f>
        <v>93.376384</v>
      </c>
      <c r="R601" s="139">
        <f>($M601*(1-(Assumptions!$C$25+0.06*(1-$H601))-Assumptions!$C$27)-Assumptions!$C$28)-MAX(0,($M601*(1-(Assumptions!$C$25+0.06*(1-$H601))-Assumptions!$C$27)-Assumptions!$C$28)*Assumptions!$C$31)+Assumptions!$C$28-Assumptions!$C$29-$M601*Assumptions!$C$30</f>
        <v>99.78397528</v>
      </c>
      <c r="S601" s="139">
        <f>($N601*(1-(Assumptions!$C$25+0.06*(1-$I601))-Assumptions!$C$27)-Assumptions!$C$28)-MAX(0,($N601*(1-(Assumptions!$C$25+0.06*(1-$I601))-Assumptions!$C$27)-Assumptions!$C$28)*Assumptions!$C$31)+Assumptions!$C$28-Assumptions!$C$29-$N601*Assumptions!$C$30</f>
        <v>106.5429744</v>
      </c>
      <c r="T601" s="139">
        <f>($O601*(1-(Assumptions!$C$25+0.06*(1-$J601))-Assumptions!$C$27)-Assumptions!$C$28)-MAX(0,($O601*(1-(Assumptions!$C$25+0.06*(1-$J601))-Assumptions!$C$27)-Assumptions!$C$28)*Assumptions!$C$31)+Assumptions!$C$28-Assumptions!$C$29-$O601*Assumptions!$C$30</f>
        <v>113.6748648</v>
      </c>
      <c r="U601" s="139">
        <f>($P601*(1-(Assumptions!$C$25+0.06*(1-$K601))-Assumptions!$C$27)-Assumptions!$C$28)-MAX(0,($P601*(1-(Assumptions!$C$25+0.06*(1-$K601))-Assumptions!$C$27)-Assumptions!$C$28)*Assumptions!$C$31)+Assumptions!$C$28-Assumptions!$C$29-$P601*Assumptions!$C$30</f>
        <v>121.2024959</v>
      </c>
      <c r="V601" s="143">
        <f>(($Q601/(1+$D601)^1+$R601/(1+$D601)^2+$S601/(1+$D601)^3+$T601/(1+$D601)^4+$U601/(1+$D601)^5+$U601*(1+$E601)/($D601-$E601)/(1+$D601)^5)-Assumptions!$C$37)/Assumptions!$C$40/Assumptions!$C$38</f>
        <v>4.266555777</v>
      </c>
    </row>
    <row r="602" ht="12.0" customHeight="1">
      <c r="B602" s="139">
        <v>550.0</v>
      </c>
      <c r="C602" s="140">
        <f t="shared" si="6"/>
        <v>0.2561825917</v>
      </c>
      <c r="D602" s="141">
        <f t="shared" si="7"/>
        <v>0.09431911469</v>
      </c>
      <c r="E602" s="141">
        <f t="shared" si="8"/>
        <v>0.02865643374</v>
      </c>
      <c r="F602" s="140">
        <f t="shared" si="9"/>
        <v>0.3682963864</v>
      </c>
      <c r="G602" s="141">
        <f t="shared" si="10"/>
        <v>0.05574749494</v>
      </c>
      <c r="H602" s="142">
        <f t="shared" si="11"/>
        <v>1</v>
      </c>
      <c r="I602" s="142">
        <f t="shared" si="12"/>
        <v>0</v>
      </c>
      <c r="J602" s="142">
        <f t="shared" si="13"/>
        <v>1</v>
      </c>
      <c r="K602" s="142">
        <f t="shared" si="14"/>
        <v>1</v>
      </c>
      <c r="L602" s="139">
        <f>Assumptions!$C$6*Assumptions!$C$7*(1+$G602-0.05*(1-1))^1+Assumptions!$C$6*Assumptions!$C$8*(1+Assumptions!$C$11)^1+Assumptions!$C$16*1+Assumptions!$C$6*Assumptions!$C$9*(1+Assumptions!$C$12)^1</f>
        <v>745.2326068</v>
      </c>
      <c r="M602" s="139">
        <f>Assumptions!$C$6*Assumptions!$C$7*(1+$G602-0.05*(1-$H602))^2+Assumptions!$C$6*Assumptions!$C$8*(1+Assumptions!$C$11)^2+Assumptions!$C$16*$H602+Assumptions!$C$6*Assumptions!$C$9*(1+Assumptions!$C$12)^2</f>
        <v>771.6406534</v>
      </c>
      <c r="N602" s="139">
        <f>Assumptions!$C$6*Assumptions!$C$7*(1+$G602-0.05*(1-$I602))^3+Assumptions!$C$6*Assumptions!$C$8*(1+Assumptions!$C$11)^3+Assumptions!$C$16*$I602+Assumptions!$C$6*Assumptions!$C$9*(1+Assumptions!$C$12)^3</f>
        <v>685.6319089</v>
      </c>
      <c r="O602" s="139">
        <f>Assumptions!$C$6*Assumptions!$C$7*(1+$G602-0.05*(1-$J602))^4+Assumptions!$C$6*Assumptions!$C$8*(1+Assumptions!$C$11)^4+Assumptions!$C$16*$J602+Assumptions!$C$6*Assumptions!$C$9*(1+Assumptions!$C$12)^4</f>
        <v>828.229983</v>
      </c>
      <c r="P602" s="139">
        <f>Assumptions!$C$6*Assumptions!$C$7*(1+$G602-0.05*(1-$K602))^5+Assumptions!$C$6*Assumptions!$C$8*(1+Assumptions!$C$11)^5+Assumptions!$C$16*$K602+Assumptions!$C$6*Assumptions!$C$9*(1+Assumptions!$C$12)^5</f>
        <v>858.5431634</v>
      </c>
      <c r="Q602" s="139">
        <f>($L602*(1-(Assumptions!$C$25+0.06*(1-1))-Assumptions!$C$27)-Assumptions!$C$28)-MAX(0,($L602*(1-(Assumptions!$C$25+0.06*(1-1))-Assumptions!$C$27)-Assumptions!$C$28)*Assumptions!$C$31)+Assumptions!$C$28-Assumptions!$C$29-$L602*Assumptions!$C$30</f>
        <v>92.72501046</v>
      </c>
      <c r="R602" s="139">
        <f>($M602*(1-(Assumptions!$C$25+0.06*(1-$H602))-Assumptions!$C$27)-Assumptions!$C$28)-MAX(0,($M602*(1-(Assumptions!$C$25+0.06*(1-$H602))-Assumptions!$C$27)-Assumptions!$C$28)*Assumptions!$C$31)+Assumptions!$C$28-Assumptions!$C$29-$M602*Assumptions!$C$30</f>
        <v>98.40274048</v>
      </c>
      <c r="S602" s="139">
        <f>($N602*(1-(Assumptions!$C$25+0.06*(1-$I602))-Assumptions!$C$27)-Assumptions!$C$28)-MAX(0,($N602*(1-(Assumptions!$C$25+0.06*(1-$I602))-Assumptions!$C$27)-Assumptions!$C$28)*Assumptions!$C$31)+Assumptions!$C$28-Assumptions!$C$29-$N602*Assumptions!$C$30</f>
        <v>37.69533905</v>
      </c>
      <c r="T602" s="139">
        <f>($O602*(1-(Assumptions!$C$25+0.06*(1-$J602))-Assumptions!$C$27)-Assumptions!$C$28)-MAX(0,($O602*(1-(Assumptions!$C$25+0.06*(1-$J602))-Assumptions!$C$27)-Assumptions!$C$28)*Assumptions!$C$31)+Assumptions!$C$28-Assumptions!$C$29-$O602*Assumptions!$C$30</f>
        <v>110.5694463</v>
      </c>
      <c r="U602" s="139">
        <f>($P602*(1-(Assumptions!$C$25+0.06*(1-$K602))-Assumptions!$C$27)-Assumptions!$C$28)-MAX(0,($P602*(1-(Assumptions!$C$25+0.06*(1-$K602))-Assumptions!$C$27)-Assumptions!$C$28)*Assumptions!$C$31)+Assumptions!$C$28-Assumptions!$C$29-$P602*Assumptions!$C$30</f>
        <v>117.0867801</v>
      </c>
      <c r="V602" s="143">
        <f>(($Q602/(1+$D602)^1+$R602/(1+$D602)^2+$S602/(1+$D602)^3+$T602/(1+$D602)^4+$U602/(1+$D602)^5+$U602*(1+$E602)/($D602-$E602)/(1+$D602)^5)-Assumptions!$C$37)/Assumptions!$C$40/Assumptions!$C$38</f>
        <v>6.434185088</v>
      </c>
    </row>
    <row r="603" ht="12.0" customHeight="1">
      <c r="B603" s="139">
        <v>551.0</v>
      </c>
      <c r="C603" s="140">
        <f t="shared" si="6"/>
        <v>0.3314412706</v>
      </c>
      <c r="D603" s="141">
        <f t="shared" si="7"/>
        <v>0.09559993352</v>
      </c>
      <c r="E603" s="141">
        <f t="shared" si="8"/>
        <v>0.02962855639</v>
      </c>
      <c r="F603" s="140">
        <f t="shared" si="9"/>
        <v>0.7529481922</v>
      </c>
      <c r="G603" s="141">
        <f t="shared" si="10"/>
        <v>0.06891224872</v>
      </c>
      <c r="H603" s="142">
        <f t="shared" si="11"/>
        <v>1</v>
      </c>
      <c r="I603" s="142">
        <f t="shared" si="12"/>
        <v>1</v>
      </c>
      <c r="J603" s="142">
        <f t="shared" si="13"/>
        <v>0</v>
      </c>
      <c r="K603" s="142">
        <f t="shared" si="14"/>
        <v>0</v>
      </c>
      <c r="L603" s="139">
        <f>Assumptions!$C$6*Assumptions!$C$7*(1+$G603-0.05*(1-1))^1+Assumptions!$C$6*Assumptions!$C$8*(1+Assumptions!$C$11)^1+Assumptions!$C$16*1+Assumptions!$C$6*Assumptions!$C$9*(1+Assumptions!$C$12)^1</f>
        <v>749.6638629</v>
      </c>
      <c r="M603" s="139">
        <f>Assumptions!$C$6*Assumptions!$C$7*(1+$G603-0.05*(1-$H603))^2+Assumptions!$C$6*Assumptions!$C$8*(1+Assumptions!$C$11)^2+Assumptions!$C$16*$H603+Assumptions!$C$6*Assumptions!$C$9*(1+Assumptions!$C$12)^2</f>
        <v>781.0555649</v>
      </c>
      <c r="N603" s="139">
        <f>Assumptions!$C$6*Assumptions!$C$7*(1+$G603-0.05*(1-$I603))^3+Assumptions!$C$6*Assumptions!$C$8*(1+Assumptions!$C$11)^3+Assumptions!$C$16*$I603+Assumptions!$C$6*Assumptions!$C$9*(1+Assumptions!$C$12)^3</f>
        <v>814.287848</v>
      </c>
      <c r="O603" s="139">
        <f>Assumptions!$C$6*Assumptions!$C$7*(1+$G603-0.05*(1-$J603))^4+Assumptions!$C$6*Assumptions!$C$8*(1+Assumptions!$C$11)^4+Assumptions!$C$16*$J603+Assumptions!$C$6*Assumptions!$C$9*(1+Assumptions!$C$12)^4</f>
        <v>712.8535196</v>
      </c>
      <c r="P603" s="139">
        <f>Assumptions!$C$6*Assumptions!$C$7*(1+$G603-0.05*(1-$K603))^5+Assumptions!$C$6*Assumptions!$C$8*(1+Assumptions!$C$11)^5+Assumptions!$C$16*$K603+Assumptions!$C$6*Assumptions!$C$9*(1+Assumptions!$C$12)^5</f>
        <v>726.7159593</v>
      </c>
      <c r="Q603" s="139">
        <f>($L603*(1-(Assumptions!$C$25+0.06*(1-1))-Assumptions!$C$27)-Assumptions!$C$28)-MAX(0,($L603*(1-(Assumptions!$C$25+0.06*(1-1))-Assumptions!$C$27)-Assumptions!$C$28)*Assumptions!$C$31)+Assumptions!$C$28-Assumptions!$C$29-$L603*Assumptions!$C$30</f>
        <v>93.67773053</v>
      </c>
      <c r="R603" s="139">
        <f>($M603*(1-(Assumptions!$C$25+0.06*(1-$H603))-Assumptions!$C$27)-Assumptions!$C$28)-MAX(0,($M603*(1-(Assumptions!$C$25+0.06*(1-$H603))-Assumptions!$C$27)-Assumptions!$C$28)*Assumptions!$C$31)+Assumptions!$C$28-Assumptions!$C$29-$M603*Assumptions!$C$30</f>
        <v>100.4269465</v>
      </c>
      <c r="S603" s="139">
        <f>($N603*(1-(Assumptions!$C$25+0.06*(1-$I603))-Assumptions!$C$27)-Assumptions!$C$28)-MAX(0,($N603*(1-(Assumptions!$C$25+0.06*(1-$I603))-Assumptions!$C$27)-Assumptions!$C$28)*Assumptions!$C$31)+Assumptions!$C$28-Assumptions!$C$29-$N603*Assumptions!$C$30</f>
        <v>107.5718873</v>
      </c>
      <c r="T603" s="139">
        <f>($O603*(1-(Assumptions!$C$25+0.06*(1-$J603))-Assumptions!$C$27)-Assumptions!$C$28)-MAX(0,($O603*(1-(Assumptions!$C$25+0.06*(1-$J603))-Assumptions!$C$27)-Assumptions!$C$28)*Assumptions!$C$31)+Assumptions!$C$28-Assumptions!$C$29-$O603*Assumptions!$C$30</f>
        <v>43.9563095</v>
      </c>
      <c r="U603" s="139">
        <f>($P603*(1-(Assumptions!$C$25+0.06*(1-$K603))-Assumptions!$C$27)-Assumptions!$C$28)-MAX(0,($P603*(1-(Assumptions!$C$25+0.06*(1-$K603))-Assumptions!$C$27)-Assumptions!$C$28)*Assumptions!$C$31)+Assumptions!$C$28-Assumptions!$C$29-$P603*Assumptions!$C$30</f>
        <v>47.14467063</v>
      </c>
      <c r="V603" s="143">
        <f>(($Q603/(1+$D603)^1+$R603/(1+$D603)^2+$S603/(1+$D603)^3+$T603/(1+$D603)^4+$U603/(1+$D603)^5+$U603*(1+$E603)/($D603-$E603)/(1+$D603)^5)-Assumptions!$C$37)/Assumptions!$C$40/Assumptions!$C$38</f>
        <v>0.6692730544</v>
      </c>
    </row>
    <row r="604" ht="12.0" customHeight="1">
      <c r="B604" s="139">
        <v>552.0</v>
      </c>
      <c r="C604" s="140">
        <f t="shared" si="6"/>
        <v>0.1560588309</v>
      </c>
      <c r="D604" s="141">
        <f t="shared" si="7"/>
        <v>0.09227350972</v>
      </c>
      <c r="E604" s="141">
        <f t="shared" si="8"/>
        <v>0.0251576971</v>
      </c>
      <c r="F604" s="140">
        <f t="shared" si="9"/>
        <v>0.8272057948</v>
      </c>
      <c r="G604" s="141">
        <f t="shared" si="10"/>
        <v>0.07236396957</v>
      </c>
      <c r="H604" s="142">
        <f t="shared" si="11"/>
        <v>0</v>
      </c>
      <c r="I604" s="142">
        <f t="shared" si="12"/>
        <v>0</v>
      </c>
      <c r="J604" s="142">
        <f t="shared" si="13"/>
        <v>1</v>
      </c>
      <c r="K604" s="142">
        <f t="shared" si="14"/>
        <v>1</v>
      </c>
      <c r="L604" s="139">
        <f>Assumptions!$C$6*Assumptions!$C$7*(1+$G604-0.05*(1-1))^1+Assumptions!$C$6*Assumptions!$C$8*(1+Assumptions!$C$11)^1+Assumptions!$C$16*1+Assumptions!$C$6*Assumptions!$C$9*(1+Assumptions!$C$12)^1</f>
        <v>750.8257122</v>
      </c>
      <c r="M604" s="139">
        <f>Assumptions!$C$6*Assumptions!$C$7*(1+$G604-0.05*(1-$H604))^2+Assumptions!$C$6*Assumptions!$C$8*(1+Assumptions!$C$11)^2+Assumptions!$C$16*$H604+Assumptions!$C$6*Assumptions!$C$9*(1+Assumptions!$C$12)^2</f>
        <v>688.2891338</v>
      </c>
      <c r="N604" s="139">
        <f>Assumptions!$C$6*Assumptions!$C$7*(1+$G604-0.05*(1-$I604))^3+Assumptions!$C$6*Assumptions!$C$8*(1+Assumptions!$C$11)^3+Assumptions!$C$16*$I604+Assumptions!$C$6*Assumptions!$C$9*(1+Assumptions!$C$12)^3</f>
        <v>702.8866172</v>
      </c>
      <c r="O604" s="139">
        <f>Assumptions!$C$6*Assumptions!$C$7*(1+$G604-0.05*(1-$J604))^4+Assumptions!$C$6*Assumptions!$C$8*(1+Assumptions!$C$11)^4+Assumptions!$C$16*$J604+Assumptions!$C$6*Assumptions!$C$9*(1+Assumptions!$C$12)^4</f>
        <v>855.1845646</v>
      </c>
      <c r="P604" s="139">
        <f>Assumptions!$C$6*Assumptions!$C$7*(1+$G604-0.05*(1-$K604))^5+Assumptions!$C$6*Assumptions!$C$8*(1+Assumptions!$C$11)^5+Assumptions!$C$16*$K604+Assumptions!$C$6*Assumptions!$C$9*(1+Assumptions!$C$12)^5</f>
        <v>894.3968204</v>
      </c>
      <c r="Q604" s="139">
        <f>($L604*(1-(Assumptions!$C$25+0.06*(1-1))-Assumptions!$C$27)-Assumptions!$C$28)-MAX(0,($L604*(1-(Assumptions!$C$25+0.06*(1-1))-Assumptions!$C$27)-Assumptions!$C$28)*Assumptions!$C$31)+Assumptions!$C$28-Assumptions!$C$29-$L604*Assumptions!$C$30</f>
        <v>93.92752811</v>
      </c>
      <c r="R604" s="139">
        <f>($M604*(1-(Assumptions!$C$25+0.06*(1-$H604))-Assumptions!$C$27)-Assumptions!$C$28)-MAX(0,($M604*(1-(Assumptions!$C$25+0.06*(1-$H604))-Assumptions!$C$27)-Assumptions!$C$28)*Assumptions!$C$31)+Assumptions!$C$28-Assumptions!$C$29-$M604*Assumptions!$C$30</f>
        <v>38.30650078</v>
      </c>
      <c r="S604" s="139">
        <f>($N604*(1-(Assumptions!$C$25+0.06*(1-$I604))-Assumptions!$C$27)-Assumptions!$C$28)-MAX(0,($N604*(1-(Assumptions!$C$25+0.06*(1-$I604))-Assumptions!$C$27)-Assumptions!$C$28)*Assumptions!$C$31)+Assumptions!$C$28-Assumptions!$C$29-$N604*Assumptions!$C$30</f>
        <v>41.66392196</v>
      </c>
      <c r="T604" s="139">
        <f>($O604*(1-(Assumptions!$C$25+0.06*(1-$J604))-Assumptions!$C$27)-Assumptions!$C$28)-MAX(0,($O604*(1-(Assumptions!$C$25+0.06*(1-$J604))-Assumptions!$C$27)-Assumptions!$C$28)*Assumptions!$C$31)+Assumptions!$C$28-Assumptions!$C$29-$O604*Assumptions!$C$30</f>
        <v>116.3646814</v>
      </c>
      <c r="U604" s="139">
        <f>($P604*(1-(Assumptions!$C$25+0.06*(1-$K604))-Assumptions!$C$27)-Assumptions!$C$28)-MAX(0,($P604*(1-(Assumptions!$C$25+0.06*(1-$K604))-Assumptions!$C$27)-Assumptions!$C$28)*Assumptions!$C$31)+Assumptions!$C$28-Assumptions!$C$29-$P604*Assumptions!$C$30</f>
        <v>124.7953164</v>
      </c>
      <c r="V604" s="143">
        <f>(($Q604/(1+$D604)^1+$R604/(1+$D604)^2+$S604/(1+$D604)^3+$T604/(1+$D604)^4+$U604/(1+$D604)^5+$U604*(1+$E604)/($D604-$E604)/(1+$D604)^5)-Assumptions!$C$37)/Assumptions!$C$40/Assumptions!$C$38</f>
        <v>6.605574769</v>
      </c>
    </row>
    <row r="605" ht="12.0" customHeight="1">
      <c r="B605" s="139">
        <v>553.0</v>
      </c>
      <c r="C605" s="140">
        <f t="shared" si="6"/>
        <v>0.6906960679</v>
      </c>
      <c r="D605" s="141">
        <f t="shared" si="7"/>
        <v>0.1018273197</v>
      </c>
      <c r="E605" s="141">
        <f t="shared" si="8"/>
        <v>0.02795672985</v>
      </c>
      <c r="F605" s="140">
        <f t="shared" si="9"/>
        <v>0.4601830056</v>
      </c>
      <c r="G605" s="141">
        <f t="shared" si="10"/>
        <v>0.05878071247</v>
      </c>
      <c r="H605" s="142">
        <f t="shared" si="11"/>
        <v>1</v>
      </c>
      <c r="I605" s="142">
        <f t="shared" si="12"/>
        <v>1</v>
      </c>
      <c r="J605" s="142">
        <f t="shared" si="13"/>
        <v>0</v>
      </c>
      <c r="K605" s="142">
        <f t="shared" si="14"/>
        <v>0</v>
      </c>
      <c r="L605" s="139">
        <f>Assumptions!$C$6*Assumptions!$C$7*(1+$G605-0.05*(1-1))^1+Assumptions!$C$6*Assumptions!$C$8*(1+Assumptions!$C$11)^1+Assumptions!$C$16*1+Assumptions!$C$6*Assumptions!$C$9*(1+Assumptions!$C$12)^1</f>
        <v>746.2535878</v>
      </c>
      <c r="M605" s="139">
        <f>Assumptions!$C$6*Assumptions!$C$7*(1+$G605-0.05*(1-$H605))^2+Assumptions!$C$6*Assumptions!$C$8*(1+Assumptions!$C$11)^2+Assumptions!$C$16*$H605+Assumptions!$C$6*Assumptions!$C$9*(1+Assumptions!$C$12)^2</f>
        <v>773.7995466</v>
      </c>
      <c r="N605" s="139">
        <f>Assumptions!$C$6*Assumptions!$C$7*(1+$G605-0.05*(1-$I605))^3+Assumptions!$C$6*Assumptions!$C$8*(1+Assumptions!$C$11)^3+Assumptions!$C$16*$I605+Assumptions!$C$6*Assumptions!$C$9*(1+Assumptions!$C$12)^3</f>
        <v>802.7088261</v>
      </c>
      <c r="O605" s="139">
        <f>Assumptions!$C$6*Assumptions!$C$7*(1+$G605-0.05*(1-$J605))^4+Assumptions!$C$6*Assumptions!$C$8*(1+Assumptions!$C$11)^4+Assumptions!$C$16*$J605+Assumptions!$C$6*Assumptions!$C$9*(1+Assumptions!$C$12)^4</f>
        <v>698.6375383</v>
      </c>
      <c r="P605" s="139">
        <f>Assumptions!$C$6*Assumptions!$C$7*(1+$G605-0.05*(1-$K605))^5+Assumptions!$C$6*Assumptions!$C$8*(1+Assumptions!$C$11)^5+Assumptions!$C$16*$K605+Assumptions!$C$6*Assumptions!$C$9*(1+Assumptions!$C$12)^5</f>
        <v>708.6994813</v>
      </c>
      <c r="Q605" s="139">
        <f>($L605*(1-(Assumptions!$C$25+0.06*(1-1))-Assumptions!$C$27)-Assumptions!$C$28)-MAX(0,($L605*(1-(Assumptions!$C$25+0.06*(1-1))-Assumptions!$C$27)-Assumptions!$C$28)*Assumptions!$C$31)+Assumptions!$C$28-Assumptions!$C$29-$L605*Assumptions!$C$30</f>
        <v>92.94452138</v>
      </c>
      <c r="R605" s="139">
        <f>($M605*(1-(Assumptions!$C$25+0.06*(1-$H605))-Assumptions!$C$27)-Assumptions!$C$28)-MAX(0,($M605*(1-(Assumptions!$C$25+0.06*(1-$H605))-Assumptions!$C$27)-Assumptions!$C$28)*Assumptions!$C$31)+Assumptions!$C$28-Assumptions!$C$29-$M605*Assumptions!$C$30</f>
        <v>98.86690252</v>
      </c>
      <c r="S605" s="139">
        <f>($N605*(1-(Assumptions!$C$25+0.06*(1-$I605))-Assumptions!$C$27)-Assumptions!$C$28)-MAX(0,($N605*(1-(Assumptions!$C$25+0.06*(1-$I605))-Assumptions!$C$27)-Assumptions!$C$28)*Assumptions!$C$31)+Assumptions!$C$28-Assumptions!$C$29-$N605*Assumptions!$C$30</f>
        <v>105.0823976</v>
      </c>
      <c r="T605" s="139">
        <f>($O605*(1-(Assumptions!$C$25+0.06*(1-$J605))-Assumptions!$C$27)-Assumptions!$C$28)-MAX(0,($O605*(1-(Assumptions!$C$25+0.06*(1-$J605))-Assumptions!$C$27)-Assumptions!$C$28)*Assumptions!$C$31)+Assumptions!$C$28-Assumptions!$C$29-$O605*Assumptions!$C$30</f>
        <v>40.68663382</v>
      </c>
      <c r="U605" s="139">
        <f>($P605*(1-(Assumptions!$C$25+0.06*(1-$K605))-Assumptions!$C$27)-Assumptions!$C$28)-MAX(0,($P605*(1-(Assumptions!$C$25+0.06*(1-$K605))-Assumptions!$C$27)-Assumptions!$C$28)*Assumptions!$C$31)+Assumptions!$C$28-Assumptions!$C$29-$P605*Assumptions!$C$30</f>
        <v>43.0008807</v>
      </c>
      <c r="V605" s="143">
        <f>(($Q605/(1+$D605)^1+$R605/(1+$D605)^2+$S605/(1+$D605)^3+$T605/(1+$D605)^4+$U605/(1+$D605)^5+$U605*(1+$E605)/($D605-$E605)/(1+$D605)^5)-Assumptions!$C$37)/Assumptions!$C$40/Assumptions!$C$38</f>
        <v>-0.1934261424</v>
      </c>
    </row>
    <row r="606" ht="12.0" customHeight="1">
      <c r="B606" s="139">
        <v>554.0</v>
      </c>
      <c r="C606" s="140">
        <f t="shared" si="6"/>
        <v>0.5742506594</v>
      </c>
      <c r="D606" s="141">
        <f t="shared" si="7"/>
        <v>0.09954537674</v>
      </c>
      <c r="E606" s="141">
        <f t="shared" si="8"/>
        <v>0.01060039595</v>
      </c>
      <c r="F606" s="140">
        <f t="shared" si="9"/>
        <v>0.5720834597</v>
      </c>
      <c r="G606" s="141">
        <f t="shared" si="10"/>
        <v>0.06224662593</v>
      </c>
      <c r="H606" s="142">
        <f t="shared" si="11"/>
        <v>1</v>
      </c>
      <c r="I606" s="142">
        <f t="shared" si="12"/>
        <v>1</v>
      </c>
      <c r="J606" s="142">
        <f t="shared" si="13"/>
        <v>1</v>
      </c>
      <c r="K606" s="142">
        <f t="shared" si="14"/>
        <v>0</v>
      </c>
      <c r="L606" s="139">
        <f>Assumptions!$C$6*Assumptions!$C$7*(1+$G606-0.05*(1-1))^1+Assumptions!$C$6*Assumptions!$C$8*(1+Assumptions!$C$11)^1+Assumptions!$C$16*1+Assumptions!$C$6*Assumptions!$C$9*(1+Assumptions!$C$12)^1</f>
        <v>747.4202143</v>
      </c>
      <c r="M606" s="139">
        <f>Assumptions!$C$6*Assumptions!$C$7*(1+$G606-0.05*(1-$H606))^2+Assumptions!$C$6*Assumptions!$C$8*(1+Assumptions!$C$11)^2+Assumptions!$C$16*$H606+Assumptions!$C$6*Assumptions!$C$9*(1+Assumptions!$C$12)^2</f>
        <v>776.2739932</v>
      </c>
      <c r="N606" s="139">
        <f>Assumptions!$C$6*Assumptions!$C$7*(1+$G606-0.05*(1-$I606))^3+Assumptions!$C$6*Assumptions!$C$8*(1+Assumptions!$C$11)^3+Assumptions!$C$16*$I606+Assumptions!$C$6*Assumptions!$C$9*(1+Assumptions!$C$12)^3</f>
        <v>806.6451063</v>
      </c>
      <c r="O606" s="139">
        <f>Assumptions!$C$6*Assumptions!$C$7*(1+$G606-0.05*(1-$J606))^4+Assumptions!$C$6*Assumptions!$C$8*(1+Assumptions!$C$11)^4+Assumptions!$C$16*$J606+Assumptions!$C$6*Assumptions!$C$9*(1+Assumptions!$C$12)^4</f>
        <v>838.6224282</v>
      </c>
      <c r="P606" s="139">
        <f>Assumptions!$C$6*Assumptions!$C$7*(1+$G606-0.05*(1-$K606))^5+Assumptions!$C$6*Assumptions!$C$8*(1+Assumptions!$C$11)^5+Assumptions!$C$16*$K606+Assumptions!$C$6*Assumptions!$C$9*(1+Assumptions!$C$12)^5</f>
        <v>714.7818558</v>
      </c>
      <c r="Q606" s="139">
        <f>($L606*(1-(Assumptions!$C$25+0.06*(1-1))-Assumptions!$C$27)-Assumptions!$C$28)-MAX(0,($L606*(1-(Assumptions!$C$25+0.06*(1-1))-Assumptions!$C$27)-Assumptions!$C$28)*Assumptions!$C$31)+Assumptions!$C$28-Assumptions!$C$29-$L606*Assumptions!$C$30</f>
        <v>93.19534607</v>
      </c>
      <c r="R606" s="139">
        <f>($M606*(1-(Assumptions!$C$25+0.06*(1-$H606))-Assumptions!$C$27)-Assumptions!$C$28)-MAX(0,($M606*(1-(Assumptions!$C$25+0.06*(1-$H606))-Assumptions!$C$27)-Assumptions!$C$28)*Assumptions!$C$31)+Assumptions!$C$28-Assumptions!$C$29-$M606*Assumptions!$C$30</f>
        <v>99.39890854</v>
      </c>
      <c r="S606" s="139">
        <f>($N606*(1-(Assumptions!$C$25+0.06*(1-$I606))-Assumptions!$C$27)-Assumptions!$C$28)-MAX(0,($N606*(1-(Assumptions!$C$25+0.06*(1-$I606))-Assumptions!$C$27)-Assumptions!$C$28)*Assumptions!$C$31)+Assumptions!$C$28-Assumptions!$C$29-$N606*Assumptions!$C$30</f>
        <v>105.9286979</v>
      </c>
      <c r="T606" s="139">
        <f>($O606*(1-(Assumptions!$C$25+0.06*(1-$J606))-Assumptions!$C$27)-Assumptions!$C$28)-MAX(0,($O606*(1-(Assumptions!$C$25+0.06*(1-$J606))-Assumptions!$C$27)-Assumptions!$C$28)*Assumptions!$C$31)+Assumptions!$C$28-Assumptions!$C$29-$O606*Assumptions!$C$30</f>
        <v>112.8038221</v>
      </c>
      <c r="U606" s="139">
        <f>($P606*(1-(Assumptions!$C$25+0.06*(1-$K606))-Assumptions!$C$27)-Assumptions!$C$28)-MAX(0,($P606*(1-(Assumptions!$C$25+0.06*(1-$K606))-Assumptions!$C$27)-Assumptions!$C$28)*Assumptions!$C$31)+Assumptions!$C$28-Assumptions!$C$29-$P606*Assumptions!$C$30</f>
        <v>44.39982683</v>
      </c>
      <c r="V606" s="143">
        <f>(($Q606/(1+$D606)^1+$R606/(1+$D606)^2+$S606/(1+$D606)^3+$T606/(1+$D606)^4+$U606/(1+$D606)^5+$U606*(1+$E606)/($D606-$E606)/(1+$D606)^5)-Assumptions!$C$37)/Assumptions!$C$40/Assumptions!$C$38</f>
        <v>-0.2056700922</v>
      </c>
    </row>
    <row r="607" ht="12.0" customHeight="1">
      <c r="B607" s="139">
        <v>555.0</v>
      </c>
      <c r="C607" s="140">
        <f t="shared" si="6"/>
        <v>0.778965287</v>
      </c>
      <c r="D607" s="141">
        <f t="shared" si="7"/>
        <v>0.10386445</v>
      </c>
      <c r="E607" s="141">
        <f t="shared" si="8"/>
        <v>0.01705999677</v>
      </c>
      <c r="F607" s="140">
        <f t="shared" si="9"/>
        <v>0.4518997502</v>
      </c>
      <c r="G607" s="141">
        <f t="shared" si="10"/>
        <v>0.05852051105</v>
      </c>
      <c r="H607" s="142">
        <f t="shared" si="11"/>
        <v>1</v>
      </c>
      <c r="I607" s="142">
        <f t="shared" si="12"/>
        <v>0</v>
      </c>
      <c r="J607" s="142">
        <f t="shared" si="13"/>
        <v>1</v>
      </c>
      <c r="K607" s="142">
        <f t="shared" si="14"/>
        <v>1</v>
      </c>
      <c r="L607" s="139">
        <f>Assumptions!$C$6*Assumptions!$C$7*(1+$G607-0.05*(1-1))^1+Assumptions!$C$6*Assumptions!$C$8*(1+Assumptions!$C$11)^1+Assumptions!$C$16*1+Assumptions!$C$6*Assumptions!$C$9*(1+Assumptions!$C$12)^1</f>
        <v>746.166004</v>
      </c>
      <c r="M607" s="139">
        <f>Assumptions!$C$6*Assumptions!$C$7*(1+$G607-0.05*(1-$H607))^2+Assumptions!$C$6*Assumptions!$C$8*(1+Assumptions!$C$11)^2+Assumptions!$C$16*$H607+Assumptions!$C$6*Assumptions!$C$9*(1+Assumptions!$C$12)^2</f>
        <v>773.6141053</v>
      </c>
      <c r="N607" s="139">
        <f>Assumptions!$C$6*Assumptions!$C$7*(1+$G607-0.05*(1-$I607))^3+Assumptions!$C$6*Assumptions!$C$8*(1+Assumptions!$C$11)^3+Assumptions!$C$16*$I607+Assumptions!$C$6*Assumptions!$C$9*(1+Assumptions!$C$12)^3</f>
        <v>688.472198</v>
      </c>
      <c r="O607" s="139">
        <f>Assumptions!$C$6*Assumptions!$C$7*(1+$G607-0.05*(1-$J607))^4+Assumptions!$C$6*Assumptions!$C$8*(1+Assumptions!$C$11)^4+Assumptions!$C$16*$J607+Assumptions!$C$6*Assumptions!$C$9*(1+Assumptions!$C$12)^4</f>
        <v>832.640783</v>
      </c>
      <c r="P607" s="139">
        <f>Assumptions!$C$6*Assumptions!$C$7*(1+$G607-0.05*(1-$K607))^5+Assumptions!$C$6*Assumptions!$C$8*(1+Assumptions!$C$11)^5+Assumptions!$C$16*$K607+Assumptions!$C$6*Assumptions!$C$9*(1+Assumptions!$C$12)^5</f>
        <v>864.3716818</v>
      </c>
      <c r="Q607" s="139">
        <f>($L607*(1-(Assumptions!$C$25+0.06*(1-1))-Assumptions!$C$27)-Assumptions!$C$28)-MAX(0,($L607*(1-(Assumptions!$C$25+0.06*(1-1))-Assumptions!$C$27)-Assumptions!$C$28)*Assumptions!$C$31)+Assumptions!$C$28-Assumptions!$C$29-$L607*Assumptions!$C$30</f>
        <v>92.92569086</v>
      </c>
      <c r="R607" s="139">
        <f>($M607*(1-(Assumptions!$C$25+0.06*(1-$H607))-Assumptions!$C$27)-Assumptions!$C$28)-MAX(0,($M607*(1-(Assumptions!$C$25+0.06*(1-$H607))-Assumptions!$C$27)-Assumptions!$C$28)*Assumptions!$C$31)+Assumptions!$C$28-Assumptions!$C$29-$M607*Assumptions!$C$30</f>
        <v>98.82703264</v>
      </c>
      <c r="S607" s="139">
        <f>($N607*(1-(Assumptions!$C$25+0.06*(1-$I607))-Assumptions!$C$27)-Assumptions!$C$28)-MAX(0,($N607*(1-(Assumptions!$C$25+0.06*(1-$I607))-Assumptions!$C$27)-Assumptions!$C$28)*Assumptions!$C$31)+Assumptions!$C$28-Assumptions!$C$29-$N607*Assumptions!$C$30</f>
        <v>38.34860555</v>
      </c>
      <c r="T607" s="139">
        <f>($O607*(1-(Assumptions!$C$25+0.06*(1-$J607))-Assumptions!$C$27)-Assumptions!$C$28)-MAX(0,($O607*(1-(Assumptions!$C$25+0.06*(1-$J607))-Assumptions!$C$27)-Assumptions!$C$28)*Assumptions!$C$31)+Assumptions!$C$28-Assumptions!$C$29-$O607*Assumptions!$C$30</f>
        <v>111.5177683</v>
      </c>
      <c r="U607" s="139">
        <f>($P607*(1-(Assumptions!$C$25+0.06*(1-$K607))-Assumptions!$C$27)-Assumptions!$C$28)-MAX(0,($P607*(1-(Assumptions!$C$25+0.06*(1-$K607))-Assumptions!$C$27)-Assumptions!$C$28)*Assumptions!$C$31)+Assumptions!$C$28-Assumptions!$C$29-$P607*Assumptions!$C$30</f>
        <v>118.3399116</v>
      </c>
      <c r="V607" s="143">
        <f>(($Q607/(1+$D607)^1+$R607/(1+$D607)^2+$S607/(1+$D607)^3+$T607/(1+$D607)^4+$U607/(1+$D607)^5+$U607*(1+$E607)/($D607-$E607)/(1+$D607)^5)-Assumptions!$C$37)/Assumptions!$C$40/Assumptions!$C$38</f>
        <v>3.865932842</v>
      </c>
    </row>
    <row r="608" ht="12.0" customHeight="1">
      <c r="B608" s="139">
        <v>556.0</v>
      </c>
      <c r="C608" s="140">
        <f t="shared" si="6"/>
        <v>0.5538798329</v>
      </c>
      <c r="D608" s="141">
        <f t="shared" si="7"/>
        <v>0.09917996796</v>
      </c>
      <c r="E608" s="141">
        <f t="shared" si="8"/>
        <v>0.01887877428</v>
      </c>
      <c r="F608" s="140">
        <f t="shared" si="9"/>
        <v>0.715902264</v>
      </c>
      <c r="G608" s="141">
        <f t="shared" si="10"/>
        <v>0.06738637745</v>
      </c>
      <c r="H608" s="142">
        <f t="shared" si="11"/>
        <v>1</v>
      </c>
      <c r="I608" s="142">
        <f t="shared" si="12"/>
        <v>0</v>
      </c>
      <c r="J608" s="142">
        <f t="shared" si="13"/>
        <v>0</v>
      </c>
      <c r="K608" s="142">
        <f t="shared" si="14"/>
        <v>0</v>
      </c>
      <c r="L608" s="139">
        <f>Assumptions!$C$6*Assumptions!$C$7*(1+$G608-0.05*(1-1))^1+Assumptions!$C$6*Assumptions!$C$8*(1+Assumptions!$C$11)^1+Assumptions!$C$16*1+Assumptions!$C$6*Assumptions!$C$9*(1+Assumptions!$C$12)^1</f>
        <v>749.1502546</v>
      </c>
      <c r="M608" s="139">
        <f>Assumptions!$C$6*Assumptions!$C$7*(1+$G608-0.05*(1-$H608))^2+Assumptions!$C$6*Assumptions!$C$8*(1+Assumptions!$C$11)^2+Assumptions!$C$16*$H608+Assumptions!$C$6*Assumptions!$C$9*(1+Assumptions!$C$12)^2</f>
        <v>779.9583443</v>
      </c>
      <c r="N608" s="139">
        <f>Assumptions!$C$6*Assumptions!$C$7*(1+$G608-0.05*(1-$I608))^3+Assumptions!$C$6*Assumptions!$C$8*(1+Assumptions!$C$11)^3+Assumptions!$C$16*$I608+Assumptions!$C$6*Assumptions!$C$9*(1+Assumptions!$C$12)^3</f>
        <v>697.6584487</v>
      </c>
      <c r="O608" s="139">
        <f>Assumptions!$C$6*Assumptions!$C$7*(1+$G608-0.05*(1-$J608))^4+Assumptions!$C$6*Assumptions!$C$8*(1+Assumptions!$C$11)^4+Assumptions!$C$16*$J608+Assumptions!$C$6*Assumptions!$C$9*(1+Assumptions!$C$12)^4</f>
        <v>710.6851832</v>
      </c>
      <c r="P608" s="139">
        <f>Assumptions!$C$6*Assumptions!$C$7*(1+$G608-0.05*(1-$K608))^5+Assumptions!$C$6*Assumptions!$C$8*(1+Assumptions!$C$11)^5+Assumptions!$C$16*$K608+Assumptions!$C$6*Assumptions!$C$9*(1+Assumptions!$C$12)^5</f>
        <v>723.956345</v>
      </c>
      <c r="Q608" s="139">
        <f>($L608*(1-(Assumptions!$C$25+0.06*(1-1))-Assumptions!$C$27)-Assumptions!$C$28)-MAX(0,($L608*(1-(Assumptions!$C$25+0.06*(1-1))-Assumptions!$C$27)-Assumptions!$C$28)*Assumptions!$C$31)+Assumptions!$C$28-Assumptions!$C$29-$L608*Assumptions!$C$30</f>
        <v>93.56730475</v>
      </c>
      <c r="R608" s="139">
        <f>($M608*(1-(Assumptions!$C$25+0.06*(1-$H608))-Assumptions!$C$27)-Assumptions!$C$28)-MAX(0,($M608*(1-(Assumptions!$C$25+0.06*(1-$H608))-Assumptions!$C$27)-Assumptions!$C$28)*Assumptions!$C$31)+Assumptions!$C$28-Assumptions!$C$29-$M608*Assumptions!$C$30</f>
        <v>100.191044</v>
      </c>
      <c r="S608" s="139">
        <f>($N608*(1-(Assumptions!$C$25+0.06*(1-$I608))-Assumptions!$C$27)-Assumptions!$C$28)-MAX(0,($N608*(1-(Assumptions!$C$25+0.06*(1-$I608))-Assumptions!$C$27)-Assumptions!$C$28)*Assumptions!$C$31)+Assumptions!$C$28-Assumptions!$C$29-$N608*Assumptions!$C$30</f>
        <v>40.46144321</v>
      </c>
      <c r="T608" s="139">
        <f>($O608*(1-(Assumptions!$C$25+0.06*(1-$J608))-Assumptions!$C$27)-Assumptions!$C$28)-MAX(0,($O608*(1-(Assumptions!$C$25+0.06*(1-$J608))-Assumptions!$C$27)-Assumptions!$C$28)*Assumptions!$C$31)+Assumptions!$C$28-Assumptions!$C$29-$O608*Assumptions!$C$30</f>
        <v>43.45759213</v>
      </c>
      <c r="U608" s="139">
        <f>($P608*(1-(Assumptions!$C$25+0.06*(1-$K608))-Assumptions!$C$27)-Assumptions!$C$28)-MAX(0,($P608*(1-(Assumptions!$C$25+0.06*(1-$K608))-Assumptions!$C$27)-Assumptions!$C$28)*Assumptions!$C$31)+Assumptions!$C$28-Assumptions!$C$29-$P608*Assumptions!$C$30</f>
        <v>46.50995934</v>
      </c>
      <c r="V608" s="143">
        <f>(($Q608/(1+$D608)^1+$R608/(1+$D608)^2+$S608/(1+$D608)^3+$T608/(1+$D608)^4+$U608/(1+$D608)^5+$U608*(1+$E608)/($D608-$E608)/(1+$D608)^5)-Assumptions!$C$37)/Assumptions!$C$40/Assumptions!$C$38</f>
        <v>-0.5199939548</v>
      </c>
    </row>
    <row r="609" ht="12.0" customHeight="1">
      <c r="B609" s="139">
        <v>557.0</v>
      </c>
      <c r="C609" s="140">
        <f t="shared" si="6"/>
        <v>0.9704114739</v>
      </c>
      <c r="D609" s="141">
        <f t="shared" si="7"/>
        <v>0.1109257929</v>
      </c>
      <c r="E609" s="141">
        <f t="shared" si="8"/>
        <v>0.02144909687</v>
      </c>
      <c r="F609" s="140">
        <f t="shared" si="9"/>
        <v>0.0749545992</v>
      </c>
      <c r="G609" s="141">
        <f t="shared" si="10"/>
        <v>0.04161543278</v>
      </c>
      <c r="H609" s="142">
        <f t="shared" si="11"/>
        <v>1</v>
      </c>
      <c r="I609" s="142">
        <f t="shared" si="12"/>
        <v>0</v>
      </c>
      <c r="J609" s="142">
        <f t="shared" si="13"/>
        <v>1</v>
      </c>
      <c r="K609" s="142">
        <f t="shared" si="14"/>
        <v>0</v>
      </c>
      <c r="L609" s="139">
        <f>Assumptions!$C$6*Assumptions!$C$7*(1+$G609-0.05*(1-1))^1+Assumptions!$C$6*Assumptions!$C$8*(1+Assumptions!$C$11)^1+Assumptions!$C$16*1+Assumptions!$C$6*Assumptions!$C$9*(1+Assumptions!$C$12)^1</f>
        <v>740.4757547</v>
      </c>
      <c r="M609" s="139">
        <f>Assumptions!$C$6*Assumptions!$C$7*(1+$G609-0.05*(1-$H609))^2+Assumptions!$C$6*Assumptions!$C$8*(1+Assumptions!$C$11)^2+Assumptions!$C$16*$H609+Assumptions!$C$6*Assumptions!$C$9*(1+Assumptions!$C$12)^2</f>
        <v>761.6638081</v>
      </c>
      <c r="N609" s="139">
        <f>Assumptions!$C$6*Assumptions!$C$7*(1+$G609-0.05*(1-$I609))^3+Assumptions!$C$6*Assumptions!$C$8*(1+Assumptions!$C$11)^3+Assumptions!$C$16*$I609+Assumptions!$C$6*Assumptions!$C$9*(1+Assumptions!$C$12)^3</f>
        <v>671.3987227</v>
      </c>
      <c r="O609" s="139">
        <f>Assumptions!$C$6*Assumptions!$C$7*(1+$G609-0.05*(1-$J609))^4+Assumptions!$C$6*Assumptions!$C$8*(1+Assumptions!$C$11)^4+Assumptions!$C$16*$J609+Assumptions!$C$6*Assumptions!$C$9*(1+Assumptions!$C$12)^4</f>
        <v>806.2852584</v>
      </c>
      <c r="P609" s="139">
        <f>Assumptions!$C$6*Assumptions!$C$7*(1+$G609-0.05*(1-$K609))^5+Assumptions!$C$6*Assumptions!$C$8*(1+Assumptions!$C$11)^5+Assumptions!$C$16*$K609+Assumptions!$C$6*Assumptions!$C$9*(1+Assumptions!$C$12)^5</f>
        <v>679.7831624</v>
      </c>
      <c r="Q609" s="139">
        <f>($L609*(1-(Assumptions!$C$25+0.06*(1-1))-Assumptions!$C$27)-Assumptions!$C$28)-MAX(0,($L609*(1-(Assumptions!$C$25+0.06*(1-1))-Assumptions!$C$27)-Assumptions!$C$28)*Assumptions!$C$31)+Assumptions!$C$28-Assumptions!$C$29-$L609*Assumptions!$C$30</f>
        <v>91.70228725</v>
      </c>
      <c r="R609" s="139">
        <f>($M609*(1-(Assumptions!$C$25+0.06*(1-$H609))-Assumptions!$C$27)-Assumptions!$C$28)-MAX(0,($M609*(1-(Assumptions!$C$25+0.06*(1-$H609))-Assumptions!$C$27)-Assumptions!$C$28)*Assumptions!$C$31)+Assumptions!$C$28-Assumptions!$C$29-$M609*Assumptions!$C$30</f>
        <v>96.25771875</v>
      </c>
      <c r="S609" s="139">
        <f>($N609*(1-(Assumptions!$C$25+0.06*(1-$I609))-Assumptions!$C$27)-Assumptions!$C$28)-MAX(0,($N609*(1-(Assumptions!$C$25+0.06*(1-$I609))-Assumptions!$C$27)-Assumptions!$C$28)*Assumptions!$C$31)+Assumptions!$C$28-Assumptions!$C$29-$N609*Assumptions!$C$30</f>
        <v>34.42170623</v>
      </c>
      <c r="T609" s="139">
        <f>($O609*(1-(Assumptions!$C$25+0.06*(1-$J609))-Assumptions!$C$27)-Assumptions!$C$28)-MAX(0,($O609*(1-(Assumptions!$C$25+0.06*(1-$J609))-Assumptions!$C$27)-Assumptions!$C$28)*Assumptions!$C$31)+Assumptions!$C$28-Assumptions!$C$29-$O609*Assumptions!$C$30</f>
        <v>105.8513306</v>
      </c>
      <c r="U609" s="139">
        <f>($P609*(1-(Assumptions!$C$25+0.06*(1-$K609))-Assumptions!$C$27)-Assumptions!$C$28)-MAX(0,($P609*(1-(Assumptions!$C$25+0.06*(1-$K609))-Assumptions!$C$27)-Assumptions!$C$28)*Assumptions!$C$31)+Assumptions!$C$28-Assumptions!$C$29-$P609*Assumptions!$C$30</f>
        <v>36.35012735</v>
      </c>
      <c r="V609" s="143">
        <f>(($Q609/(1+$D609)^1+$R609/(1+$D609)^2+$S609/(1+$D609)^3+$T609/(1+$D609)^4+$U609/(1+$D609)^5+$U609*(1+$E609)/($D609-$E609)/(1+$D609)^5)-Assumptions!$C$37)/Assumptions!$C$40/Assumptions!$C$38</f>
        <v>-1.325408785</v>
      </c>
    </row>
    <row r="610" ht="12.0" customHeight="1">
      <c r="B610" s="139">
        <v>558.0</v>
      </c>
      <c r="C610" s="140">
        <f t="shared" si="6"/>
        <v>0.2691012547</v>
      </c>
      <c r="D610" s="141">
        <f t="shared" si="7"/>
        <v>0.09455119497</v>
      </c>
      <c r="E610" s="141">
        <f t="shared" si="8"/>
        <v>0.02859668931</v>
      </c>
      <c r="F610" s="140">
        <f t="shared" si="9"/>
        <v>0.191540145</v>
      </c>
      <c r="G610" s="141">
        <f t="shared" si="10"/>
        <v>0.04856804408</v>
      </c>
      <c r="H610" s="142">
        <f t="shared" si="11"/>
        <v>1</v>
      </c>
      <c r="I610" s="142">
        <f t="shared" si="12"/>
        <v>1</v>
      </c>
      <c r="J610" s="142">
        <f t="shared" si="13"/>
        <v>1</v>
      </c>
      <c r="K610" s="142">
        <f t="shared" si="14"/>
        <v>1</v>
      </c>
      <c r="L610" s="139">
        <f>Assumptions!$C$6*Assumptions!$C$7*(1+$G610-0.05*(1-1))^1+Assumptions!$C$6*Assumptions!$C$8*(1+Assumptions!$C$11)^1+Assumptions!$C$16*1+Assumptions!$C$6*Assumptions!$C$9*(1+Assumptions!$C$12)^1</f>
        <v>742.8160036</v>
      </c>
      <c r="M610" s="139">
        <f>Assumptions!$C$6*Assumptions!$C$7*(1+$G610-0.05*(1-$H610))^2+Assumptions!$C$6*Assumptions!$C$8*(1+Assumptions!$C$11)^2+Assumptions!$C$16*$H610+Assumptions!$C$6*Assumptions!$C$9*(1+Assumptions!$C$12)^2</f>
        <v>766.5553578</v>
      </c>
      <c r="N610" s="139">
        <f>Assumptions!$C$6*Assumptions!$C$7*(1+$G610-0.05*(1-$I610))^3+Assumptions!$C$6*Assumptions!$C$8*(1+Assumptions!$C$11)^3+Assumptions!$C$16*$I610+Assumptions!$C$6*Assumptions!$C$9*(1+Assumptions!$C$12)^3</f>
        <v>791.2592124</v>
      </c>
      <c r="O610" s="139">
        <f>Assumptions!$C$6*Assumptions!$C$7*(1+$G610-0.05*(1-$J610))^4+Assumptions!$C$6*Assumptions!$C$8*(1+Assumptions!$C$11)^4+Assumptions!$C$16*$J610+Assumptions!$C$6*Assumptions!$C$9*(1+Assumptions!$C$12)^4</f>
        <v>816.9706416</v>
      </c>
      <c r="P610" s="139">
        <f>Assumptions!$C$6*Assumptions!$C$7*(1+$G610-0.05*(1-$K610))^5+Assumptions!$C$6*Assumptions!$C$8*(1+Assumptions!$C$11)^5+Assumptions!$C$16*$K610+Assumptions!$C$6*Assumptions!$C$9*(1+Assumptions!$C$12)^5</f>
        <v>843.7347367</v>
      </c>
      <c r="Q610" s="139">
        <f>($L610*(1-(Assumptions!$C$25+0.06*(1-1))-Assumptions!$C$27)-Assumptions!$C$28)-MAX(0,($L610*(1-(Assumptions!$C$25+0.06*(1-1))-Assumptions!$C$27)-Assumptions!$C$28)*Assumptions!$C$31)+Assumptions!$C$28-Assumptions!$C$29-$L610*Assumptions!$C$30</f>
        <v>92.20544078</v>
      </c>
      <c r="R610" s="139">
        <f>($M610*(1-(Assumptions!$C$25+0.06*(1-$H610))-Assumptions!$C$27)-Assumptions!$C$28)-MAX(0,($M610*(1-(Assumptions!$C$25+0.06*(1-$H610))-Assumptions!$C$27)-Assumptions!$C$28)*Assumptions!$C$31)+Assumptions!$C$28-Assumptions!$C$29-$M610*Assumptions!$C$30</f>
        <v>97.30940193</v>
      </c>
      <c r="S610" s="139">
        <f>($N610*(1-(Assumptions!$C$25+0.06*(1-$I610))-Assumptions!$C$27)-Assumptions!$C$28)-MAX(0,($N610*(1-(Assumptions!$C$25+0.06*(1-$I610))-Assumptions!$C$27)-Assumptions!$C$28)*Assumptions!$C$31)+Assumptions!$C$28-Assumptions!$C$29-$N610*Assumptions!$C$30</f>
        <v>102.6207307</v>
      </c>
      <c r="T610" s="139">
        <f>($O610*(1-(Assumptions!$C$25+0.06*(1-$J610))-Assumptions!$C$27)-Assumptions!$C$28)-MAX(0,($O610*(1-(Assumptions!$C$25+0.06*(1-$J610))-Assumptions!$C$27)-Assumptions!$C$28)*Assumptions!$C$31)+Assumptions!$C$28-Assumptions!$C$29-$O610*Assumptions!$C$30</f>
        <v>108.148688</v>
      </c>
      <c r="U610" s="139">
        <f>($P610*(1-(Assumptions!$C$25+0.06*(1-$K610))-Assumptions!$C$27)-Assumptions!$C$28)-MAX(0,($P610*(1-(Assumptions!$C$25+0.06*(1-$K610))-Assumptions!$C$27)-Assumptions!$C$28)*Assumptions!$C$31)+Assumptions!$C$28-Assumptions!$C$29-$P610*Assumptions!$C$30</f>
        <v>113.9029684</v>
      </c>
      <c r="V610" s="143">
        <f>(($Q610/(1+$D610)^1+$R610/(1+$D610)^2+$S610/(1+$D610)^3+$T610/(1+$D610)^4+$U610/(1+$D610)^5+$U610*(1+$E610)/($D610-$E610)/(1+$D610)^5)-Assumptions!$C$37)/Assumptions!$C$40/Assumptions!$C$38</f>
        <v>6.481926102</v>
      </c>
    </row>
    <row r="611" ht="12.0" customHeight="1">
      <c r="B611" s="139">
        <v>559.0</v>
      </c>
      <c r="C611" s="140">
        <f t="shared" si="6"/>
        <v>0.7542397261</v>
      </c>
      <c r="D611" s="141">
        <f t="shared" si="7"/>
        <v>0.1032581299</v>
      </c>
      <c r="E611" s="141">
        <f t="shared" si="8"/>
        <v>0.01357967228</v>
      </c>
      <c r="F611" s="140">
        <f t="shared" si="9"/>
        <v>0.9940699416</v>
      </c>
      <c r="G611" s="141">
        <f t="shared" si="10"/>
        <v>0.0867328751</v>
      </c>
      <c r="H611" s="142">
        <f t="shared" si="11"/>
        <v>0</v>
      </c>
      <c r="I611" s="142">
        <f t="shared" si="12"/>
        <v>1</v>
      </c>
      <c r="J611" s="142">
        <f t="shared" si="13"/>
        <v>1</v>
      </c>
      <c r="K611" s="142">
        <f t="shared" si="14"/>
        <v>1</v>
      </c>
      <c r="L611" s="139">
        <f>Assumptions!$C$6*Assumptions!$C$7*(1+$G611-0.05*(1-1))^1+Assumptions!$C$6*Assumptions!$C$8*(1+Assumptions!$C$11)^1+Assumptions!$C$16*1+Assumptions!$C$6*Assumptions!$C$9*(1+Assumptions!$C$12)^1</f>
        <v>755.6622858</v>
      </c>
      <c r="M611" s="139">
        <f>Assumptions!$C$6*Assumptions!$C$7*(1+$G611-0.05*(1-$H611))^2+Assumptions!$C$6*Assumptions!$C$8*(1+Assumptions!$C$11)^2+Assumptions!$C$16*$H611+Assumptions!$C$6*Assumptions!$C$9*(1+Assumptions!$C$12)^2</f>
        <v>698.2481073</v>
      </c>
      <c r="N611" s="139">
        <f>Assumptions!$C$6*Assumptions!$C$7*(1+$G611-0.05*(1-$I611))^3+Assumptions!$C$6*Assumptions!$C$8*(1+Assumptions!$C$11)^3+Assumptions!$C$16*$I611+Assumptions!$C$6*Assumptions!$C$9*(1+Assumptions!$C$12)^3</f>
        <v>835.1934542</v>
      </c>
      <c r="O611" s="139">
        <f>Assumptions!$C$6*Assumptions!$C$7*(1+$G611-0.05*(1-$J611))^4+Assumptions!$C$6*Assumptions!$C$8*(1+Assumptions!$C$11)^4+Assumptions!$C$16*$J611+Assumptions!$C$6*Assumptions!$C$9*(1+Assumptions!$C$12)^4</f>
        <v>879.5258444</v>
      </c>
      <c r="P611" s="139">
        <f>Assumptions!$C$6*Assumptions!$C$7*(1+$G611-0.05*(1-$K611))^5+Assumptions!$C$6*Assumptions!$C$8*(1+Assumptions!$C$11)^5+Assumptions!$C$16*$K611+Assumptions!$C$6*Assumptions!$C$9*(1+Assumptions!$C$12)^5</f>
        <v>927.2452629</v>
      </c>
      <c r="Q611" s="139">
        <f>($L611*(1-(Assumptions!$C$25+0.06*(1-1))-Assumptions!$C$27)-Assumptions!$C$28)-MAX(0,($L611*(1-(Assumptions!$C$25+0.06*(1-1))-Assumptions!$C$27)-Assumptions!$C$28)*Assumptions!$C$31)+Assumptions!$C$28-Assumptions!$C$29-$L611*Assumptions!$C$30</f>
        <v>94.96739144</v>
      </c>
      <c r="R611" s="139">
        <f>($M611*(1-(Assumptions!$C$25+0.06*(1-$H611))-Assumptions!$C$27)-Assumptions!$C$28)-MAX(0,($M611*(1-(Assumptions!$C$25+0.06*(1-$H611))-Assumptions!$C$27)-Assumptions!$C$28)*Assumptions!$C$31)+Assumptions!$C$28-Assumptions!$C$29-$M611*Assumptions!$C$30</f>
        <v>40.59706468</v>
      </c>
      <c r="S611" s="139">
        <f>($N611*(1-(Assumptions!$C$25+0.06*(1-$I611))-Assumptions!$C$27)-Assumptions!$C$28)-MAX(0,($N611*(1-(Assumptions!$C$25+0.06*(1-$I611))-Assumptions!$C$27)-Assumptions!$C$28)*Assumptions!$C$31)+Assumptions!$C$28-Assumptions!$C$29-$N611*Assumptions!$C$30</f>
        <v>112.0665927</v>
      </c>
      <c r="T611" s="139">
        <f>($O611*(1-(Assumptions!$C$25+0.06*(1-$J611))-Assumptions!$C$27)-Assumptions!$C$28)-MAX(0,($O611*(1-(Assumptions!$C$25+0.06*(1-$J611))-Assumptions!$C$27)-Assumptions!$C$28)*Assumptions!$C$31)+Assumptions!$C$28-Assumptions!$C$29-$O611*Assumptions!$C$30</f>
        <v>121.5980565</v>
      </c>
      <c r="U611" s="139">
        <f>($P611*(1-(Assumptions!$C$25+0.06*(1-$K611))-Assumptions!$C$27)-Assumptions!$C$28)-MAX(0,($P611*(1-(Assumptions!$C$25+0.06*(1-$K611))-Assumptions!$C$27)-Assumptions!$C$28)*Assumptions!$C$31)+Assumptions!$C$28-Assumptions!$C$29-$P611*Assumptions!$C$30</f>
        <v>131.8577315</v>
      </c>
      <c r="V611" s="143">
        <f>(($Q611/(1+$D611)^1+$R611/(1+$D611)^2+$S611/(1+$D611)^3+$T611/(1+$D611)^4+$U611/(1+$D611)^5+$U611*(1+$E611)/($D611-$E611)/(1+$D611)^5)-Assumptions!$C$37)/Assumptions!$C$40/Assumptions!$C$38</f>
        <v>4.570883467</v>
      </c>
    </row>
    <row r="612" ht="12.0" customHeight="1">
      <c r="B612" s="139">
        <v>560.0</v>
      </c>
      <c r="C612" s="140">
        <f t="shared" si="6"/>
        <v>0.6272900905</v>
      </c>
      <c r="D612" s="141">
        <f t="shared" si="7"/>
        <v>0.1005400464</v>
      </c>
      <c r="E612" s="141">
        <f t="shared" si="8"/>
        <v>0.02676580208</v>
      </c>
      <c r="F612" s="140">
        <f t="shared" si="9"/>
        <v>0.9245672296</v>
      </c>
      <c r="G612" s="141">
        <f t="shared" si="10"/>
        <v>0.07834757593</v>
      </c>
      <c r="H612" s="142">
        <f t="shared" si="11"/>
        <v>1</v>
      </c>
      <c r="I612" s="142">
        <f t="shared" si="12"/>
        <v>1</v>
      </c>
      <c r="J612" s="142">
        <f t="shared" si="13"/>
        <v>0</v>
      </c>
      <c r="K612" s="142">
        <f t="shared" si="14"/>
        <v>1</v>
      </c>
      <c r="L612" s="139">
        <f>Assumptions!$C$6*Assumptions!$C$7*(1+$G612-0.05*(1-1))^1+Assumptions!$C$6*Assumptions!$C$8*(1+Assumptions!$C$11)^1+Assumptions!$C$16*1+Assumptions!$C$6*Assumptions!$C$9*(1+Assumptions!$C$12)^1</f>
        <v>752.8397941</v>
      </c>
      <c r="M612" s="139">
        <f>Assumptions!$C$6*Assumptions!$C$7*(1+$G612-0.05*(1-$H612))^2+Assumptions!$C$6*Assumptions!$C$8*(1+Assumptions!$C$11)^2+Assumptions!$C$16*$H612+Assumptions!$C$6*Assumptions!$C$9*(1+Assumptions!$C$12)^2</f>
        <v>787.8751143</v>
      </c>
      <c r="N612" s="139">
        <f>Assumptions!$C$6*Assumptions!$C$7*(1+$G612-0.05*(1-$I612))^3+Assumptions!$C$6*Assumptions!$C$8*(1+Assumptions!$C$11)^3+Assumptions!$C$16*$I612+Assumptions!$C$6*Assumptions!$C$9*(1+Assumptions!$C$12)^3</f>
        <v>825.2704269</v>
      </c>
      <c r="O612" s="139">
        <f>Assumptions!$C$6*Assumptions!$C$7*(1+$G612-0.05*(1-$J612))^4+Assumptions!$C$6*Assumptions!$C$8*(1+Assumptions!$C$11)^4+Assumptions!$C$16*$J612+Assumptions!$C$6*Assumptions!$C$9*(1+Assumptions!$C$12)^4</f>
        <v>726.4795451</v>
      </c>
      <c r="P612" s="139">
        <f>Assumptions!$C$6*Assumptions!$C$7*(1+$G612-0.05*(1-$K612))^5+Assumptions!$C$6*Assumptions!$C$8*(1+Assumptions!$C$11)^5+Assumptions!$C$16*$K612+Assumptions!$C$6*Assumptions!$C$9*(1+Assumptions!$C$12)^5</f>
        <v>907.8635623</v>
      </c>
      <c r="Q612" s="139">
        <f>($L612*(1-(Assumptions!$C$25+0.06*(1-1))-Assumptions!$C$27)-Assumptions!$C$28)-MAX(0,($L612*(1-(Assumptions!$C$25+0.06*(1-1))-Assumptions!$C$27)-Assumptions!$C$28)*Assumptions!$C$31)+Assumptions!$C$28-Assumptions!$C$29-$L612*Assumptions!$C$30</f>
        <v>94.36055572</v>
      </c>
      <c r="R612" s="139">
        <f>($M612*(1-(Assumptions!$C$25+0.06*(1-$H612))-Assumptions!$C$27)-Assumptions!$C$28)-MAX(0,($M612*(1-(Assumptions!$C$25+0.06*(1-$H612))-Assumptions!$C$27)-Assumptions!$C$28)*Assumptions!$C$31)+Assumptions!$C$28-Assumptions!$C$29-$M612*Assumptions!$C$30</f>
        <v>101.8931496</v>
      </c>
      <c r="S612" s="139">
        <f>($N612*(1-(Assumptions!$C$25+0.06*(1-$I612))-Assumptions!$C$27)-Assumptions!$C$28)-MAX(0,($N612*(1-(Assumptions!$C$25+0.06*(1-$I612))-Assumptions!$C$27)-Assumptions!$C$28)*Assumptions!$C$31)+Assumptions!$C$28-Assumptions!$C$29-$N612*Assumptions!$C$30</f>
        <v>109.9331418</v>
      </c>
      <c r="T612" s="139">
        <f>($O612*(1-(Assumptions!$C$25+0.06*(1-$J612))-Assumptions!$C$27)-Assumptions!$C$28)-MAX(0,($O612*(1-(Assumptions!$C$25+0.06*(1-$J612))-Assumptions!$C$27)-Assumptions!$C$28)*Assumptions!$C$31)+Assumptions!$C$28-Assumptions!$C$29-$O612*Assumptions!$C$30</f>
        <v>47.09029537</v>
      </c>
      <c r="U612" s="139">
        <f>($P612*(1-(Assumptions!$C$25+0.06*(1-$K612))-Assumptions!$C$27)-Assumptions!$C$28)-MAX(0,($P612*(1-(Assumptions!$C$25+0.06*(1-$K612))-Assumptions!$C$27)-Assumptions!$C$28)*Assumptions!$C$31)+Assumptions!$C$28-Assumptions!$C$29-$P612*Assumptions!$C$30</f>
        <v>127.6906659</v>
      </c>
      <c r="V612" s="143">
        <f>(($Q612/(1+$D612)^1+$R612/(1+$D612)^2+$S612/(1+$D612)^3+$T612/(1+$D612)^4+$U612/(1+$D612)^5+$U612*(1+$E612)/($D612-$E612)/(1+$D612)^5)-Assumptions!$C$37)/Assumptions!$C$40/Assumptions!$C$38</f>
        <v>6.02935285</v>
      </c>
    </row>
    <row r="613" ht="12.0" customHeight="1">
      <c r="B613" s="139">
        <v>561.0</v>
      </c>
      <c r="C613" s="140">
        <f t="shared" si="6"/>
        <v>0.8032503973</v>
      </c>
      <c r="D613" s="141">
        <f t="shared" si="7"/>
        <v>0.1044939766</v>
      </c>
      <c r="E613" s="141">
        <f t="shared" si="8"/>
        <v>0.011831776</v>
      </c>
      <c r="F613" s="140">
        <f t="shared" si="9"/>
        <v>0.6597921673</v>
      </c>
      <c r="G613" s="141">
        <f t="shared" si="10"/>
        <v>0.06525380638</v>
      </c>
      <c r="H613" s="142">
        <f t="shared" si="11"/>
        <v>0</v>
      </c>
      <c r="I613" s="142">
        <f t="shared" si="12"/>
        <v>0</v>
      </c>
      <c r="J613" s="142">
        <f t="shared" si="13"/>
        <v>1</v>
      </c>
      <c r="K613" s="142">
        <f t="shared" si="14"/>
        <v>0</v>
      </c>
      <c r="L613" s="139">
        <f>Assumptions!$C$6*Assumptions!$C$7*(1+$G613-0.05*(1-1))^1+Assumptions!$C$6*Assumptions!$C$8*(1+Assumptions!$C$11)^1+Assumptions!$C$16*1+Assumptions!$C$6*Assumptions!$C$9*(1+Assumptions!$C$12)^1</f>
        <v>748.4324312</v>
      </c>
      <c r="M613" s="139">
        <f>Assumptions!$C$6*Assumptions!$C$7*(1+$G613-0.05*(1-$H613))^2+Assumptions!$C$6*Assumptions!$C$8*(1+Assumptions!$C$11)^2+Assumptions!$C$16*$H613+Assumptions!$C$6*Assumptions!$C$9*(1+Assumptions!$C$12)^2</f>
        <v>683.4125421</v>
      </c>
      <c r="N613" s="139">
        <f>Assumptions!$C$6*Assumptions!$C$7*(1+$G613-0.05*(1-$I613))^3+Assumptions!$C$6*Assumptions!$C$8*(1+Assumptions!$C$11)^3+Assumptions!$C$16*$I613+Assumptions!$C$6*Assumptions!$C$9*(1+Assumptions!$C$12)^3</f>
        <v>695.4341144</v>
      </c>
      <c r="O613" s="139">
        <f>Assumptions!$C$6*Assumptions!$C$7*(1+$G613-0.05*(1-$J613))^4+Assumptions!$C$6*Assumptions!$C$8*(1+Assumptions!$C$11)^4+Assumptions!$C$16*$J613+Assumptions!$C$6*Assumptions!$C$9*(1+Assumptions!$C$12)^4</f>
        <v>843.4960682</v>
      </c>
      <c r="P613" s="139">
        <f>Assumptions!$C$6*Assumptions!$C$7*(1+$G613-0.05*(1-$K613))^5+Assumptions!$C$6*Assumptions!$C$8*(1+Assumptions!$C$11)^5+Assumptions!$C$16*$K613+Assumptions!$C$6*Assumptions!$C$9*(1+Assumptions!$C$12)^5</f>
        <v>720.1271222</v>
      </c>
      <c r="Q613" s="139">
        <f>($L613*(1-(Assumptions!$C$25+0.06*(1-1))-Assumptions!$C$27)-Assumptions!$C$28)-MAX(0,($L613*(1-(Assumptions!$C$25+0.06*(1-1))-Assumptions!$C$27)-Assumptions!$C$28)*Assumptions!$C$31)+Assumptions!$C$28-Assumptions!$C$29-$L613*Assumptions!$C$30</f>
        <v>93.41297271</v>
      </c>
      <c r="R613" s="139">
        <f>($M613*(1-(Assumptions!$C$25+0.06*(1-$H613))-Assumptions!$C$27)-Assumptions!$C$28)-MAX(0,($M613*(1-(Assumptions!$C$25+0.06*(1-$H613))-Assumptions!$C$27)-Assumptions!$C$28)*Assumptions!$C$31)+Assumptions!$C$28-Assumptions!$C$29-$M613*Assumptions!$C$30</f>
        <v>37.18488468</v>
      </c>
      <c r="S613" s="139">
        <f>($N613*(1-(Assumptions!$C$25+0.06*(1-$I613))-Assumptions!$C$27)-Assumptions!$C$28)-MAX(0,($N613*(1-(Assumptions!$C$25+0.06*(1-$I613))-Assumptions!$C$27)-Assumptions!$C$28)*Assumptions!$C$31)+Assumptions!$C$28-Assumptions!$C$29-$N613*Assumptions!$C$30</f>
        <v>39.94984631</v>
      </c>
      <c r="T613" s="139">
        <f>($O613*(1-(Assumptions!$C$25+0.06*(1-$J613))-Assumptions!$C$27)-Assumptions!$C$28)-MAX(0,($O613*(1-(Assumptions!$C$25+0.06*(1-$J613))-Assumptions!$C$27)-Assumptions!$C$28)*Assumptions!$C$31)+Assumptions!$C$28-Assumptions!$C$29-$O613*Assumptions!$C$30</f>
        <v>113.8516547</v>
      </c>
      <c r="U613" s="139">
        <f>($P613*(1-(Assumptions!$C$25+0.06*(1-$K613))-Assumptions!$C$27)-Assumptions!$C$28)-MAX(0,($P613*(1-(Assumptions!$C$25+0.06*(1-$K613))-Assumptions!$C$27)-Assumptions!$C$28)*Assumptions!$C$31)+Assumptions!$C$28-Assumptions!$C$29-$P613*Assumptions!$C$30</f>
        <v>45.62923811</v>
      </c>
      <c r="V613" s="143">
        <f>(($Q613/(1+$D613)^1+$R613/(1+$D613)^2+$S613/(1+$D613)^3+$T613/(1+$D613)^4+$U613/(1+$D613)^5+$U613*(1+$E613)/($D613-$E613)/(1+$D613)^5)-Assumptions!$C$37)/Assumptions!$C$40/Assumptions!$C$38</f>
        <v>-1.089401063</v>
      </c>
    </row>
    <row r="614" ht="12.0" customHeight="1">
      <c r="B614" s="139">
        <v>562.0</v>
      </c>
      <c r="C614" s="140">
        <f t="shared" si="6"/>
        <v>0.1866458657</v>
      </c>
      <c r="D614" s="141">
        <f t="shared" si="7"/>
        <v>0.09295442949</v>
      </c>
      <c r="E614" s="141">
        <f t="shared" si="8"/>
        <v>0.02618754059</v>
      </c>
      <c r="F614" s="140">
        <f t="shared" si="9"/>
        <v>0.9154996852</v>
      </c>
      <c r="G614" s="141">
        <f t="shared" si="10"/>
        <v>0.07766709415</v>
      </c>
      <c r="H614" s="142">
        <f t="shared" si="11"/>
        <v>1</v>
      </c>
      <c r="I614" s="142">
        <f t="shared" si="12"/>
        <v>0</v>
      </c>
      <c r="J614" s="142">
        <f t="shared" si="13"/>
        <v>1</v>
      </c>
      <c r="K614" s="142">
        <f t="shared" si="14"/>
        <v>0</v>
      </c>
      <c r="L614" s="139">
        <f>Assumptions!$C$6*Assumptions!$C$7*(1+$G614-0.05*(1-1))^1+Assumptions!$C$6*Assumptions!$C$8*(1+Assumptions!$C$11)^1+Assumptions!$C$16*1+Assumptions!$C$6*Assumptions!$C$9*(1+Assumptions!$C$12)^1</f>
        <v>752.6107439</v>
      </c>
      <c r="M614" s="139">
        <f>Assumptions!$C$6*Assumptions!$C$7*(1+$G614-0.05*(1-$H614))^2+Assumptions!$C$6*Assumptions!$C$8*(1+Assumptions!$C$11)^2+Assumptions!$C$16*$H614+Assumptions!$C$6*Assumptions!$C$9*(1+Assumptions!$C$12)^2</f>
        <v>787.3812787</v>
      </c>
      <c r="N614" s="139">
        <f>Assumptions!$C$6*Assumptions!$C$7*(1+$G614-0.05*(1-$I614))^3+Assumptions!$C$6*Assumptions!$C$8*(1+Assumptions!$C$11)^3+Assumptions!$C$16*$I614+Assumptions!$C$6*Assumptions!$C$9*(1+Assumptions!$C$12)^3</f>
        <v>708.5129972</v>
      </c>
      <c r="O614" s="139">
        <f>Assumptions!$C$6*Assumptions!$C$7*(1+$G614-0.05*(1-$J614))^4+Assumptions!$C$6*Assumptions!$C$8*(1+Assumptions!$C$11)^4+Assumptions!$C$16*$J614+Assumptions!$C$6*Assumptions!$C$9*(1+Assumptions!$C$12)^4</f>
        <v>864.0551604</v>
      </c>
      <c r="P614" s="139">
        <f>Assumptions!$C$6*Assumptions!$C$7*(1+$G614-0.05*(1-$K614))^5+Assumptions!$C$6*Assumptions!$C$8*(1+Assumptions!$C$11)^5+Assumptions!$C$16*$K614+Assumptions!$C$6*Assumptions!$C$9*(1+Assumptions!$C$12)^5</f>
        <v>742.8722945</v>
      </c>
      <c r="Q614" s="139">
        <f>($L614*(1-(Assumptions!$C$25+0.06*(1-1))-Assumptions!$C$27)-Assumptions!$C$28)-MAX(0,($L614*(1-(Assumptions!$C$25+0.06*(1-1))-Assumptions!$C$27)-Assumptions!$C$28)*Assumptions!$C$31)+Assumptions!$C$28-Assumptions!$C$29-$L614*Assumptions!$C$30</f>
        <v>94.31130994</v>
      </c>
      <c r="R614" s="139">
        <f>($M614*(1-(Assumptions!$C$25+0.06*(1-$H614))-Assumptions!$C$27)-Assumptions!$C$28)-MAX(0,($M614*(1-(Assumptions!$C$25+0.06*(1-$H614))-Assumptions!$C$27)-Assumptions!$C$28)*Assumptions!$C$31)+Assumptions!$C$28-Assumptions!$C$29-$M614*Assumptions!$C$30</f>
        <v>101.7869749</v>
      </c>
      <c r="S614" s="139">
        <f>($N614*(1-(Assumptions!$C$25+0.06*(1-$I614))-Assumptions!$C$27)-Assumptions!$C$28)-MAX(0,($N614*(1-(Assumptions!$C$25+0.06*(1-$I614))-Assumptions!$C$27)-Assumptions!$C$28)*Assumptions!$C$31)+Assumptions!$C$28-Assumptions!$C$29-$N614*Assumptions!$C$30</f>
        <v>42.95798935</v>
      </c>
      <c r="T614" s="139">
        <f>($O614*(1-(Assumptions!$C$25+0.06*(1-$J614))-Assumptions!$C$27)-Assumptions!$C$28)-MAX(0,($O614*(1-(Assumptions!$C$25+0.06*(1-$J614))-Assumptions!$C$27)-Assumptions!$C$28)*Assumptions!$C$31)+Assumptions!$C$28-Assumptions!$C$29-$O614*Assumptions!$C$30</f>
        <v>118.2718595</v>
      </c>
      <c r="U614" s="139">
        <f>($P614*(1-(Assumptions!$C$25+0.06*(1-$K614))-Assumptions!$C$27)-Assumptions!$C$28)-MAX(0,($P614*(1-(Assumptions!$C$25+0.06*(1-$K614))-Assumptions!$C$27)-Assumptions!$C$28)*Assumptions!$C$31)+Assumptions!$C$28-Assumptions!$C$29-$P614*Assumptions!$C$30</f>
        <v>50.86062774</v>
      </c>
      <c r="V614" s="143">
        <f>(($Q614/(1+$D614)^1+$R614/(1+$D614)^2+$S614/(1+$D614)^3+$T614/(1+$D614)^4+$U614/(1+$D614)^5+$U614*(1+$E614)/($D614-$E614)/(1+$D614)^5)-Assumptions!$C$37)/Assumptions!$C$40/Assumptions!$C$38</f>
        <v>1.010058904</v>
      </c>
    </row>
    <row r="615" ht="12.0" customHeight="1">
      <c r="B615" s="139">
        <v>563.0</v>
      </c>
      <c r="C615" s="140">
        <f t="shared" si="6"/>
        <v>0.9729409108</v>
      </c>
      <c r="D615" s="141">
        <f t="shared" si="7"/>
        <v>0.1111038289</v>
      </c>
      <c r="E615" s="141">
        <f t="shared" si="8"/>
        <v>0.01262414172</v>
      </c>
      <c r="F615" s="140">
        <f t="shared" si="9"/>
        <v>0.8487929265</v>
      </c>
      <c r="G615" s="141">
        <f t="shared" si="10"/>
        <v>0.07350234161</v>
      </c>
      <c r="H615" s="142">
        <f t="shared" si="11"/>
        <v>0</v>
      </c>
      <c r="I615" s="142">
        <f t="shared" si="12"/>
        <v>1</v>
      </c>
      <c r="J615" s="142">
        <f t="shared" si="13"/>
        <v>1</v>
      </c>
      <c r="K615" s="142">
        <f t="shared" si="14"/>
        <v>0</v>
      </c>
      <c r="L615" s="139">
        <f>Assumptions!$C$6*Assumptions!$C$7*(1+$G615-0.05*(1-1))^1+Assumptions!$C$6*Assumptions!$C$8*(1+Assumptions!$C$11)^1+Assumptions!$C$16*1+Assumptions!$C$6*Assumptions!$C$9*(1+Assumptions!$C$12)^1</f>
        <v>751.2088882</v>
      </c>
      <c r="M615" s="139">
        <f>Assumptions!$C$6*Assumptions!$C$7*(1+$G615-0.05*(1-$H615))^2+Assumptions!$C$6*Assumptions!$C$8*(1+Assumptions!$C$11)^2+Assumptions!$C$16*$H615+Assumptions!$C$6*Assumptions!$C$9*(1+Assumptions!$C$12)^2</f>
        <v>689.0730608</v>
      </c>
      <c r="N615" s="139">
        <f>Assumptions!$C$6*Assumptions!$C$7*(1+$G615-0.05*(1-$I615))^3+Assumptions!$C$6*Assumptions!$C$8*(1+Assumptions!$C$11)^3+Assumptions!$C$16*$I615+Assumptions!$C$6*Assumptions!$C$9*(1+Assumptions!$C$12)^3</f>
        <v>819.6065364</v>
      </c>
      <c r="O615" s="139">
        <f>Assumptions!$C$6*Assumptions!$C$7*(1+$G615-0.05*(1-$J615))^4+Assumptions!$C$6*Assumptions!$C$8*(1+Assumptions!$C$11)^4+Assumptions!$C$16*$J615+Assumptions!$C$6*Assumptions!$C$9*(1+Assumptions!$C$12)^4</f>
        <v>857.0776772</v>
      </c>
      <c r="P615" s="139">
        <f>Assumptions!$C$6*Assumptions!$C$7*(1+$G615-0.05*(1-$K615))^5+Assumptions!$C$6*Assumptions!$C$8*(1+Assumptions!$C$11)^5+Assumptions!$C$16*$K615+Assumptions!$C$6*Assumptions!$C$9*(1+Assumptions!$C$12)^5</f>
        <v>735.1176291</v>
      </c>
      <c r="Q615" s="139">
        <f>($L615*(1-(Assumptions!$C$25+0.06*(1-1))-Assumptions!$C$27)-Assumptions!$C$28)-MAX(0,($L615*(1-(Assumptions!$C$25+0.06*(1-1))-Assumptions!$C$27)-Assumptions!$C$28)*Assumptions!$C$31)+Assumptions!$C$28-Assumptions!$C$29-$L615*Assumptions!$C$30</f>
        <v>94.00991096</v>
      </c>
      <c r="R615" s="139">
        <f>($M615*(1-(Assumptions!$C$25+0.06*(1-$H615))-Assumptions!$C$27)-Assumptions!$C$28)-MAX(0,($M615*(1-(Assumptions!$C$25+0.06*(1-$H615))-Assumptions!$C$27)-Assumptions!$C$28)*Assumptions!$C$31)+Assumptions!$C$28-Assumptions!$C$29-$M615*Assumptions!$C$30</f>
        <v>38.48680398</v>
      </c>
      <c r="S615" s="139">
        <f>($N615*(1-(Assumptions!$C$25+0.06*(1-$I615))-Assumptions!$C$27)-Assumptions!$C$28)-MAX(0,($N615*(1-(Assumptions!$C$25+0.06*(1-$I615))-Assumptions!$C$27)-Assumptions!$C$28)*Assumptions!$C$31)+Assumptions!$C$28-Assumptions!$C$29-$N615*Assumptions!$C$30</f>
        <v>108.7154053</v>
      </c>
      <c r="T615" s="139">
        <f>($O615*(1-(Assumptions!$C$25+0.06*(1-$J615))-Assumptions!$C$27)-Assumptions!$C$28)-MAX(0,($O615*(1-(Assumptions!$C$25+0.06*(1-$J615))-Assumptions!$C$27)-Assumptions!$C$28)*Assumptions!$C$31)+Assumptions!$C$28-Assumptions!$C$29-$O615*Assumptions!$C$30</f>
        <v>116.7717006</v>
      </c>
      <c r="U615" s="139">
        <f>($P615*(1-(Assumptions!$C$25+0.06*(1-$K615))-Assumptions!$C$27)-Assumptions!$C$28)-MAX(0,($P615*(1-(Assumptions!$C$25+0.06*(1-$K615))-Assumptions!$C$27)-Assumptions!$C$28)*Assumptions!$C$31)+Assumptions!$C$28-Assumptions!$C$29-$P615*Assumptions!$C$30</f>
        <v>49.0770547</v>
      </c>
      <c r="V615" s="143">
        <f>(($Q615/(1+$D615)^1+$R615/(1+$D615)^2+$S615/(1+$D615)^3+$T615/(1+$D615)^4+$U615/(1+$D615)^5+$U615*(1+$E615)/($D615-$E615)/(1+$D615)^5)-Assumptions!$C$37)/Assumptions!$C$40/Assumptions!$C$38</f>
        <v>-0.7263209798</v>
      </c>
    </row>
    <row r="616" ht="12.0" customHeight="1">
      <c r="B616" s="139">
        <v>564.0</v>
      </c>
      <c r="C616" s="140">
        <f t="shared" si="6"/>
        <v>0.08105713159</v>
      </c>
      <c r="D616" s="141">
        <f t="shared" si="7"/>
        <v>0.09024198127</v>
      </c>
      <c r="E616" s="141">
        <f t="shared" si="8"/>
        <v>0.01384600062</v>
      </c>
      <c r="F616" s="140">
        <f t="shared" si="9"/>
        <v>0.2108693493</v>
      </c>
      <c r="G616" s="141">
        <f t="shared" si="10"/>
        <v>0.04948242358</v>
      </c>
      <c r="H616" s="142">
        <f t="shared" si="11"/>
        <v>0</v>
      </c>
      <c r="I616" s="142">
        <f t="shared" si="12"/>
        <v>1</v>
      </c>
      <c r="J616" s="142">
        <f t="shared" si="13"/>
        <v>1</v>
      </c>
      <c r="K616" s="142">
        <f t="shared" si="14"/>
        <v>0</v>
      </c>
      <c r="L616" s="139">
        <f>Assumptions!$C$6*Assumptions!$C$7*(1+$G616-0.05*(1-1))^1+Assumptions!$C$6*Assumptions!$C$8*(1+Assumptions!$C$11)^1+Assumptions!$C$16*1+Assumptions!$C$6*Assumptions!$C$9*(1+Assumptions!$C$12)^1</f>
        <v>743.1237838</v>
      </c>
      <c r="M616" s="139">
        <f>Assumptions!$C$6*Assumptions!$C$7*(1+$G616-0.05*(1-$H616))^2+Assumptions!$C$6*Assumptions!$C$8*(1+Assumptions!$C$11)^2+Assumptions!$C$16*$H616+Assumptions!$C$6*Assumptions!$C$9*(1+Assumptions!$C$12)^2</f>
        <v>672.7170177</v>
      </c>
      <c r="N616" s="139">
        <f>Assumptions!$C$6*Assumptions!$C$7*(1+$G616-0.05*(1-$I616))^3+Assumptions!$C$6*Assumptions!$C$8*(1+Assumptions!$C$11)^3+Assumptions!$C$16*$I616+Assumptions!$C$6*Assumptions!$C$9*(1+Assumptions!$C$12)^3</f>
        <v>792.275306</v>
      </c>
      <c r="O616" s="139">
        <f>Assumptions!$C$6*Assumptions!$C$7*(1+$G616-0.05*(1-$J616))^4+Assumptions!$C$6*Assumptions!$C$8*(1+Assumptions!$C$11)^4+Assumptions!$C$16*$J616+Assumptions!$C$6*Assumptions!$C$9*(1+Assumptions!$C$12)^4</f>
        <v>818.3918524</v>
      </c>
      <c r="P616" s="139">
        <f>Assumptions!$C$6*Assumptions!$C$7*(1+$G616-0.05*(1-$K616))^5+Assumptions!$C$6*Assumptions!$C$8*(1+Assumptions!$C$11)^5+Assumptions!$C$16*$K616+Assumptions!$C$6*Assumptions!$C$9*(1+Assumptions!$C$12)^5</f>
        <v>692.7895519</v>
      </c>
      <c r="Q616" s="139">
        <f>($L616*(1-(Assumptions!$C$25+0.06*(1-1))-Assumptions!$C$27)-Assumptions!$C$28)-MAX(0,($L616*(1-(Assumptions!$C$25+0.06*(1-1))-Assumptions!$C$27)-Assumptions!$C$28)*Assumptions!$C$31)+Assumptions!$C$28-Assumptions!$C$29-$L616*Assumptions!$C$30</f>
        <v>92.27161351</v>
      </c>
      <c r="R616" s="139">
        <f>($M616*(1-(Assumptions!$C$25+0.06*(1-$H616))-Assumptions!$C$27)-Assumptions!$C$28)-MAX(0,($M616*(1-(Assumptions!$C$25+0.06*(1-$H616))-Assumptions!$C$27)-Assumptions!$C$28)*Assumptions!$C$31)+Assumptions!$C$28-Assumptions!$C$29-$M616*Assumptions!$C$30</f>
        <v>34.72491408</v>
      </c>
      <c r="S616" s="139">
        <f>($N616*(1-(Assumptions!$C$25+0.06*(1-$I616))-Assumptions!$C$27)-Assumptions!$C$28)-MAX(0,($N616*(1-(Assumptions!$C$25+0.06*(1-$I616))-Assumptions!$C$27)-Assumptions!$C$28)*Assumptions!$C$31)+Assumptions!$C$28-Assumptions!$C$29-$N616*Assumptions!$C$30</f>
        <v>102.8391908</v>
      </c>
      <c r="T616" s="139">
        <f>($O616*(1-(Assumptions!$C$25+0.06*(1-$J616))-Assumptions!$C$27)-Assumptions!$C$28)-MAX(0,($O616*(1-(Assumptions!$C$25+0.06*(1-$J616))-Assumptions!$C$27)-Assumptions!$C$28)*Assumptions!$C$31)+Assumptions!$C$28-Assumptions!$C$29-$O616*Assumptions!$C$30</f>
        <v>108.4542483</v>
      </c>
      <c r="U616" s="139">
        <f>($P616*(1-(Assumptions!$C$25+0.06*(1-$K616))-Assumptions!$C$27)-Assumptions!$C$28)-MAX(0,($P616*(1-(Assumptions!$C$25+0.06*(1-$K616))-Assumptions!$C$27)-Assumptions!$C$28)*Assumptions!$C$31)+Assumptions!$C$28-Assumptions!$C$29-$P616*Assumptions!$C$30</f>
        <v>39.34159693</v>
      </c>
      <c r="V616" s="143">
        <f>(($Q616/(1+$D616)^1+$R616/(1+$D616)^2+$S616/(1+$D616)^3+$T616/(1+$D616)^4+$U616/(1+$D616)^5+$U616*(1+$E616)/($D616-$E616)/(1+$D616)^5)-Assumptions!$C$37)/Assumptions!$C$40/Assumptions!$C$38</f>
        <v>-0.4466729843</v>
      </c>
    </row>
    <row r="617" ht="12.0" customHeight="1">
      <c r="B617" s="139">
        <v>565.0</v>
      </c>
      <c r="C617" s="140">
        <f t="shared" si="6"/>
        <v>0.4934747932</v>
      </c>
      <c r="D617" s="141">
        <f t="shared" si="7"/>
        <v>0.09814293498</v>
      </c>
      <c r="E617" s="141">
        <f t="shared" si="8"/>
        <v>0.02354683722</v>
      </c>
      <c r="F617" s="140">
        <f t="shared" si="9"/>
        <v>0.7425974854</v>
      </c>
      <c r="G617" s="141">
        <f t="shared" si="10"/>
        <v>0.06847502552</v>
      </c>
      <c r="H617" s="142">
        <f t="shared" si="11"/>
        <v>1</v>
      </c>
      <c r="I617" s="142">
        <f t="shared" si="12"/>
        <v>0</v>
      </c>
      <c r="J617" s="142">
        <f t="shared" si="13"/>
        <v>1</v>
      </c>
      <c r="K617" s="142">
        <f t="shared" si="14"/>
        <v>0</v>
      </c>
      <c r="L617" s="139">
        <f>Assumptions!$C$6*Assumptions!$C$7*(1+$G617-0.05*(1-1))^1+Assumptions!$C$6*Assumptions!$C$8*(1+Assumptions!$C$11)^1+Assumptions!$C$16*1+Assumptions!$C$6*Assumptions!$C$9*(1+Assumptions!$C$12)^1</f>
        <v>749.5166936</v>
      </c>
      <c r="M617" s="139">
        <f>Assumptions!$C$6*Assumptions!$C$7*(1+$G617-0.05*(1-$H617))^2+Assumptions!$C$6*Assumptions!$C$8*(1+Assumptions!$C$11)^2+Assumptions!$C$16*$H617+Assumptions!$C$6*Assumptions!$C$9*(1+Assumptions!$C$12)^2</f>
        <v>780.7410071</v>
      </c>
      <c r="N617" s="139">
        <f>Assumptions!$C$6*Assumptions!$C$7*(1+$G617-0.05*(1-$I617))^3+Assumptions!$C$6*Assumptions!$C$8*(1+Assumptions!$C$11)^3+Assumptions!$C$16*$I617+Assumptions!$C$6*Assumptions!$C$9*(1+Assumptions!$C$12)^3</f>
        <v>698.7975421</v>
      </c>
      <c r="O617" s="139">
        <f>Assumptions!$C$6*Assumptions!$C$7*(1+$G617-0.05*(1-$J617))^4+Assumptions!$C$6*Assumptions!$C$8*(1+Assumptions!$C$11)^4+Assumptions!$C$16*$J617+Assumptions!$C$6*Assumptions!$C$9*(1+Assumptions!$C$12)^4</f>
        <v>848.7625799</v>
      </c>
      <c r="P617" s="139">
        <f>Assumptions!$C$6*Assumptions!$C$7*(1+$G617-0.05*(1-$K617))^5+Assumptions!$C$6*Assumptions!$C$8*(1+Assumptions!$C$11)^5+Assumptions!$C$16*$K617+Assumptions!$C$6*Assumptions!$C$9*(1+Assumptions!$C$12)^5</f>
        <v>725.9235278</v>
      </c>
      <c r="Q617" s="139">
        <f>($L617*(1-(Assumptions!$C$25+0.06*(1-1))-Assumptions!$C$27)-Assumptions!$C$28)-MAX(0,($L617*(1-(Assumptions!$C$25+0.06*(1-1))-Assumptions!$C$27)-Assumptions!$C$28)*Assumptions!$C$31)+Assumptions!$C$28-Assumptions!$C$29-$L617*Assumptions!$C$30</f>
        <v>93.64608912</v>
      </c>
      <c r="R617" s="139">
        <f>($M617*(1-(Assumptions!$C$25+0.06*(1-$H617))-Assumptions!$C$27)-Assumptions!$C$28)-MAX(0,($M617*(1-(Assumptions!$C$25+0.06*(1-$H617))-Assumptions!$C$27)-Assumptions!$C$28)*Assumptions!$C$31)+Assumptions!$C$28-Assumptions!$C$29-$M617*Assumptions!$C$30</f>
        <v>100.3593165</v>
      </c>
      <c r="S617" s="139">
        <f>($N617*(1-(Assumptions!$C$25+0.06*(1-$I617))-Assumptions!$C$27)-Assumptions!$C$28)-MAX(0,($N617*(1-(Assumptions!$C$25+0.06*(1-$I617))-Assumptions!$C$27)-Assumptions!$C$28)*Assumptions!$C$31)+Assumptions!$C$28-Assumptions!$C$29-$N617*Assumptions!$C$30</f>
        <v>40.72343469</v>
      </c>
      <c r="T617" s="139">
        <f>($O617*(1-(Assumptions!$C$25+0.06*(1-$J617))-Assumptions!$C$27)-Assumptions!$C$28)-MAX(0,($O617*(1-(Assumptions!$C$25+0.06*(1-$J617))-Assumptions!$C$27)-Assumptions!$C$28)*Assumptions!$C$31)+Assumptions!$C$28-Assumptions!$C$29-$O617*Assumptions!$C$30</f>
        <v>114.9839547</v>
      </c>
      <c r="U617" s="139">
        <f>($P617*(1-(Assumptions!$C$25+0.06*(1-$K617))-Assumptions!$C$27)-Assumptions!$C$28)-MAX(0,($P617*(1-(Assumptions!$C$25+0.06*(1-$K617))-Assumptions!$C$27)-Assumptions!$C$28)*Assumptions!$C$31)+Assumptions!$C$28-Assumptions!$C$29-$P617*Assumptions!$C$30</f>
        <v>46.96241139</v>
      </c>
      <c r="V617" s="143">
        <f>(($Q617/(1+$D617)^1+$R617/(1+$D617)^2+$S617/(1+$D617)^3+$T617/(1+$D617)^4+$U617/(1+$D617)^5+$U617*(1+$E617)/($D617-$E617)/(1+$D617)^5)-Assumptions!$C$37)/Assumptions!$C$40/Assumptions!$C$38</f>
        <v>0.1524120387</v>
      </c>
    </row>
    <row r="618" ht="12.0" customHeight="1">
      <c r="B618" s="139">
        <v>566.0</v>
      </c>
      <c r="C618" s="140">
        <f t="shared" si="6"/>
        <v>0.5294190862</v>
      </c>
      <c r="D618" s="141">
        <f t="shared" si="7"/>
        <v>0.09875204959</v>
      </c>
      <c r="E618" s="141">
        <f t="shared" si="8"/>
        <v>0.02517502923</v>
      </c>
      <c r="F618" s="140">
        <f t="shared" si="9"/>
        <v>0.3763435268</v>
      </c>
      <c r="G618" s="141">
        <f t="shared" si="10"/>
        <v>0.05602726164</v>
      </c>
      <c r="H618" s="142">
        <f t="shared" si="11"/>
        <v>1</v>
      </c>
      <c r="I618" s="142">
        <f t="shared" si="12"/>
        <v>1</v>
      </c>
      <c r="J618" s="142">
        <f t="shared" si="13"/>
        <v>1</v>
      </c>
      <c r="K618" s="142">
        <f t="shared" si="14"/>
        <v>0</v>
      </c>
      <c r="L618" s="139">
        <f>Assumptions!$C$6*Assumptions!$C$7*(1+$G618-0.05*(1-1))^1+Assumptions!$C$6*Assumptions!$C$8*(1+Assumptions!$C$11)^1+Assumptions!$C$16*1+Assumptions!$C$6*Assumptions!$C$9*(1+Assumptions!$C$12)^1</f>
        <v>745.3267763</v>
      </c>
      <c r="M618" s="139">
        <f>Assumptions!$C$6*Assumptions!$C$7*(1+$G618-0.05*(1-$H618))^2+Assumptions!$C$6*Assumptions!$C$8*(1+Assumptions!$C$11)^2+Assumptions!$C$16*$H618+Assumptions!$C$6*Assumptions!$C$9*(1+Assumptions!$C$12)^2</f>
        <v>771.8395181</v>
      </c>
      <c r="N618" s="139">
        <f>Assumptions!$C$6*Assumptions!$C$7*(1+$G618-0.05*(1-$I618))^3+Assumptions!$C$6*Assumptions!$C$8*(1+Assumptions!$C$11)^3+Assumptions!$C$16*$I618+Assumptions!$C$6*Assumptions!$C$9*(1+Assumptions!$C$12)^3</f>
        <v>799.6000115</v>
      </c>
      <c r="O618" s="139">
        <f>Assumptions!$C$6*Assumptions!$C$7*(1+$G618-0.05*(1-$J618))^4+Assumptions!$C$6*Assumptions!$C$8*(1+Assumptions!$C$11)^4+Assumptions!$C$16*$J618+Assumptions!$C$6*Assumptions!$C$9*(1+Assumptions!$C$12)^4</f>
        <v>828.6734108</v>
      </c>
      <c r="P618" s="139">
        <f>Assumptions!$C$6*Assumptions!$C$7*(1+$G618-0.05*(1-$K618))^5+Assumptions!$C$6*Assumptions!$C$8*(1+Assumptions!$C$11)^5+Assumptions!$C$16*$K618+Assumptions!$C$6*Assumptions!$C$9*(1+Assumptions!$C$12)^5</f>
        <v>703.926632</v>
      </c>
      <c r="Q618" s="139">
        <f>($L618*(1-(Assumptions!$C$25+0.06*(1-1))-Assumptions!$C$27)-Assumptions!$C$28)-MAX(0,($L618*(1-(Assumptions!$C$25+0.06*(1-1))-Assumptions!$C$27)-Assumptions!$C$28)*Assumptions!$C$31)+Assumptions!$C$28-Assumptions!$C$29-$L618*Assumptions!$C$30</f>
        <v>92.7452569</v>
      </c>
      <c r="R618" s="139">
        <f>($M618*(1-(Assumptions!$C$25+0.06*(1-$H618))-Assumptions!$C$27)-Assumptions!$C$28)-MAX(0,($M618*(1-(Assumptions!$C$25+0.06*(1-$H618))-Assumptions!$C$27)-Assumptions!$C$28)*Assumptions!$C$31)+Assumptions!$C$28-Assumptions!$C$29-$M618*Assumptions!$C$30</f>
        <v>98.4454964</v>
      </c>
      <c r="S618" s="139">
        <f>($N618*(1-(Assumptions!$C$25+0.06*(1-$I618))-Assumptions!$C$27)-Assumptions!$C$28)-MAX(0,($N618*(1-(Assumptions!$C$25+0.06*(1-$I618))-Assumptions!$C$27)-Assumptions!$C$28)*Assumptions!$C$31)+Assumptions!$C$28-Assumptions!$C$29-$N618*Assumptions!$C$30</f>
        <v>104.4140025</v>
      </c>
      <c r="T618" s="139">
        <f>($O618*(1-(Assumptions!$C$25+0.06*(1-$J618))-Assumptions!$C$27)-Assumptions!$C$28)-MAX(0,($O618*(1-(Assumptions!$C$25+0.06*(1-$J618))-Assumptions!$C$27)-Assumptions!$C$28)*Assumptions!$C$31)+Assumptions!$C$28-Assumptions!$C$29-$O618*Assumptions!$C$30</f>
        <v>110.6647833</v>
      </c>
      <c r="U618" s="139">
        <f>($P618*(1-(Assumptions!$C$25+0.06*(1-$K618))-Assumptions!$C$27)-Assumptions!$C$28)-MAX(0,($P618*(1-(Assumptions!$C$25+0.06*(1-$K618))-Assumptions!$C$27)-Assumptions!$C$28)*Assumptions!$C$31)+Assumptions!$C$28-Assumptions!$C$29-$P618*Assumptions!$C$30</f>
        <v>41.90312535</v>
      </c>
      <c r="V618" s="143">
        <f>(($Q618/(1+$D618)^1+$R618/(1+$D618)^2+$S618/(1+$D618)^3+$T618/(1+$D618)^4+$U618/(1+$D618)^5+$U618*(1+$E618)/($D618-$E618)/(1+$D618)^5)-Assumptions!$C$37)/Assumptions!$C$40/Assumptions!$C$38</f>
        <v>0.153388247</v>
      </c>
    </row>
    <row r="619" ht="12.0" customHeight="1">
      <c r="B619" s="139">
        <v>567.0</v>
      </c>
      <c r="C619" s="140">
        <f t="shared" si="6"/>
        <v>0.07264983668</v>
      </c>
      <c r="D619" s="141">
        <f t="shared" si="7"/>
        <v>0.08996269026</v>
      </c>
      <c r="E619" s="141">
        <f t="shared" si="8"/>
        <v>0.01806788275</v>
      </c>
      <c r="F619" s="140">
        <f t="shared" si="9"/>
        <v>0.3128296011</v>
      </c>
      <c r="G619" s="141">
        <f t="shared" si="10"/>
        <v>0.05372958664</v>
      </c>
      <c r="H619" s="142">
        <f t="shared" si="11"/>
        <v>1</v>
      </c>
      <c r="I619" s="142">
        <f t="shared" si="12"/>
        <v>0</v>
      </c>
      <c r="J619" s="142">
        <f t="shared" si="13"/>
        <v>1</v>
      </c>
      <c r="K619" s="142">
        <f t="shared" si="14"/>
        <v>1</v>
      </c>
      <c r="L619" s="139">
        <f>Assumptions!$C$6*Assumptions!$C$7*(1+$G619-0.05*(1-1))^1+Assumptions!$C$6*Assumptions!$C$8*(1+Assumptions!$C$11)^1+Assumptions!$C$16*1+Assumptions!$C$6*Assumptions!$C$9*(1+Assumptions!$C$12)^1</f>
        <v>744.5533789</v>
      </c>
      <c r="M619" s="139">
        <f>Assumptions!$C$6*Assumptions!$C$7*(1+$G619-0.05*(1-$H619))^2+Assumptions!$C$6*Assumptions!$C$8*(1+Assumptions!$C$11)^2+Assumptions!$C$16*$H619+Assumptions!$C$6*Assumptions!$C$9*(1+Assumptions!$C$12)^2</f>
        <v>770.2078377</v>
      </c>
      <c r="N619" s="139">
        <f>Assumptions!$C$6*Assumptions!$C$7*(1+$G619-0.05*(1-$I619))^3+Assumptions!$C$6*Assumptions!$C$8*(1+Assumptions!$C$11)^3+Assumptions!$C$16*$I619+Assumptions!$C$6*Assumptions!$C$9*(1+Assumptions!$C$12)^3</f>
        <v>683.5748674</v>
      </c>
      <c r="O619" s="139">
        <f>Assumptions!$C$6*Assumptions!$C$7*(1+$G619-0.05*(1-$J619))^4+Assumptions!$C$6*Assumptions!$C$8*(1+Assumptions!$C$11)^4+Assumptions!$C$16*$J619+Assumptions!$C$6*Assumptions!$C$9*(1+Assumptions!$C$12)^4</f>
        <v>825.0420412</v>
      </c>
      <c r="P619" s="139">
        <f>Assumptions!$C$6*Assumptions!$C$7*(1+$G619-0.05*(1-$K619))^5+Assumptions!$C$6*Assumptions!$C$8*(1+Assumptions!$C$11)^5+Assumptions!$C$16*$K619+Assumptions!$C$6*Assumptions!$C$9*(1+Assumptions!$C$12)^5</f>
        <v>854.3401033</v>
      </c>
      <c r="Q619" s="139">
        <f>($L619*(1-(Assumptions!$C$25+0.06*(1-1))-Assumptions!$C$27)-Assumptions!$C$28)-MAX(0,($L619*(1-(Assumptions!$C$25+0.06*(1-1))-Assumptions!$C$27)-Assumptions!$C$28)*Assumptions!$C$31)+Assumptions!$C$28-Assumptions!$C$29-$L619*Assumptions!$C$30</f>
        <v>92.57897646</v>
      </c>
      <c r="R619" s="139">
        <f>($M619*(1-(Assumptions!$C$25+0.06*(1-$H619))-Assumptions!$C$27)-Assumptions!$C$28)-MAX(0,($M619*(1-(Assumptions!$C$25+0.06*(1-$H619))-Assumptions!$C$27)-Assumptions!$C$28)*Assumptions!$C$31)+Assumptions!$C$28-Assumptions!$C$29-$M619*Assumptions!$C$30</f>
        <v>98.0946851</v>
      </c>
      <c r="S619" s="139">
        <f>($N619*(1-(Assumptions!$C$25+0.06*(1-$I619))-Assumptions!$C$27)-Assumptions!$C$28)-MAX(0,($N619*(1-(Assumptions!$C$25+0.06*(1-$I619))-Assumptions!$C$27)-Assumptions!$C$28)*Assumptions!$C$31)+Assumptions!$C$28-Assumptions!$C$29-$N619*Assumptions!$C$30</f>
        <v>37.2222195</v>
      </c>
      <c r="T619" s="139">
        <f>($O619*(1-(Assumptions!$C$25+0.06*(1-$J619))-Assumptions!$C$27)-Assumptions!$C$28)-MAX(0,($O619*(1-(Assumptions!$C$25+0.06*(1-$J619))-Assumptions!$C$27)-Assumptions!$C$28)*Assumptions!$C$31)+Assumptions!$C$28-Assumptions!$C$29-$O619*Assumptions!$C$30</f>
        <v>109.8840389</v>
      </c>
      <c r="U619" s="139">
        <f>($P619*(1-(Assumptions!$C$25+0.06*(1-$K619))-Assumptions!$C$27)-Assumptions!$C$28)-MAX(0,($P619*(1-(Assumptions!$C$25+0.06*(1-$K619))-Assumptions!$C$27)-Assumptions!$C$28)*Assumptions!$C$31)+Assumptions!$C$28-Assumptions!$C$29-$P619*Assumptions!$C$30</f>
        <v>116.1831222</v>
      </c>
      <c r="V619" s="143">
        <f>(($Q619/(1+$D619)^1+$R619/(1+$D619)^2+$S619/(1+$D619)^3+$T619/(1+$D619)^4+$U619/(1+$D619)^5+$U619*(1+$E619)/($D619-$E619)/(1+$D619)^5)-Assumptions!$C$37)/Assumptions!$C$40/Assumptions!$C$38</f>
        <v>5.676535208</v>
      </c>
    </row>
    <row r="620" ht="12.0" customHeight="1">
      <c r="B620" s="139">
        <v>568.0</v>
      </c>
      <c r="C620" s="140">
        <f t="shared" si="6"/>
        <v>0.2518702714</v>
      </c>
      <c r="D620" s="141">
        <f t="shared" si="7"/>
        <v>0.0942403475</v>
      </c>
      <c r="E620" s="141">
        <f t="shared" si="8"/>
        <v>0.01481293575</v>
      </c>
      <c r="F620" s="140">
        <f t="shared" si="9"/>
        <v>0.9304993328</v>
      </c>
      <c r="G620" s="141">
        <f t="shared" si="10"/>
        <v>0.07881513519</v>
      </c>
      <c r="H620" s="142">
        <f t="shared" si="11"/>
        <v>1</v>
      </c>
      <c r="I620" s="142">
        <f t="shared" si="12"/>
        <v>1</v>
      </c>
      <c r="J620" s="142">
        <f t="shared" si="13"/>
        <v>1</v>
      </c>
      <c r="K620" s="142">
        <f t="shared" si="14"/>
        <v>1</v>
      </c>
      <c r="L620" s="139">
        <f>Assumptions!$C$6*Assumptions!$C$7*(1+$G620-0.05*(1-1))^1+Assumptions!$C$6*Assumptions!$C$8*(1+Assumptions!$C$11)^1+Assumptions!$C$16*1+Assumptions!$C$6*Assumptions!$C$9*(1+Assumptions!$C$12)^1</f>
        <v>752.9971745</v>
      </c>
      <c r="M620" s="139">
        <f>Assumptions!$C$6*Assumptions!$C$7*(1+$G620-0.05*(1-$H620))^2+Assumptions!$C$6*Assumptions!$C$8*(1+Assumptions!$C$11)^2+Assumptions!$C$16*$H620+Assumptions!$C$6*Assumptions!$C$9*(1+Assumptions!$C$12)^2</f>
        <v>788.2146095</v>
      </c>
      <c r="N620" s="139">
        <f>Assumptions!$C$6*Assumptions!$C$7*(1+$G620-0.05*(1-$I620))^3+Assumptions!$C$6*Assumptions!$C$8*(1+Assumptions!$C$11)^3+Assumptions!$C$16*$I620+Assumptions!$C$6*Assumptions!$C$9*(1+Assumptions!$C$12)^3</f>
        <v>825.8196867</v>
      </c>
      <c r="O620" s="139">
        <f>Assumptions!$C$6*Assumptions!$C$7*(1+$G620-0.05*(1-$J620))^4+Assumptions!$C$6*Assumptions!$C$8*(1+Assumptions!$C$11)^4+Assumptions!$C$16*$J620+Assumptions!$C$6*Assumptions!$C$9*(1+Assumptions!$C$12)^4</f>
        <v>865.9928281</v>
      </c>
      <c r="P620" s="139">
        <f>Assumptions!$C$6*Assumptions!$C$7*(1+$G620-0.05*(1-$K620))^5+Assumptions!$C$6*Assumptions!$C$8*(1+Assumptions!$C$11)^5+Assumptions!$C$16*$K620+Assumptions!$C$6*Assumptions!$C$9*(1+Assumptions!$C$12)^5</f>
        <v>908.9285203</v>
      </c>
      <c r="Q620" s="139">
        <f>($L620*(1-(Assumptions!$C$25+0.06*(1-1))-Assumptions!$C$27)-Assumptions!$C$28)-MAX(0,($L620*(1-(Assumptions!$C$25+0.06*(1-1))-Assumptions!$C$27)-Assumptions!$C$28)*Assumptions!$C$31)+Assumptions!$C$28-Assumptions!$C$29-$L620*Assumptions!$C$30</f>
        <v>94.39439252</v>
      </c>
      <c r="R620" s="139">
        <f>($M620*(1-(Assumptions!$C$25+0.06*(1-$H620))-Assumptions!$C$27)-Assumptions!$C$28)-MAX(0,($M620*(1-(Assumptions!$C$25+0.06*(1-$H620))-Assumptions!$C$27)-Assumptions!$C$28)*Assumptions!$C$31)+Assumptions!$C$28-Assumptions!$C$29-$M620*Assumptions!$C$30</f>
        <v>101.966141</v>
      </c>
      <c r="S620" s="139">
        <f>($N620*(1-(Assumptions!$C$25+0.06*(1-$I620))-Assumptions!$C$27)-Assumptions!$C$28)-MAX(0,($N620*(1-(Assumptions!$C$25+0.06*(1-$I620))-Assumptions!$C$27)-Assumptions!$C$28)*Assumptions!$C$31)+Assumptions!$C$28-Assumptions!$C$29-$N620*Assumptions!$C$30</f>
        <v>110.0512326</v>
      </c>
      <c r="T620" s="139">
        <f>($O620*(1-(Assumptions!$C$25+0.06*(1-$J620))-Assumptions!$C$27)-Assumptions!$C$28)-MAX(0,($O620*(1-(Assumptions!$C$25+0.06*(1-$J620))-Assumptions!$C$27)-Assumptions!$C$28)*Assumptions!$C$31)+Assumptions!$C$28-Assumptions!$C$29-$O620*Assumptions!$C$30</f>
        <v>118.688458</v>
      </c>
      <c r="U620" s="139">
        <f>($P620*(1-(Assumptions!$C$25+0.06*(1-$K620))-Assumptions!$C$27)-Assumptions!$C$28)-MAX(0,($P620*(1-(Assumptions!$C$25+0.06*(1-$K620))-Assumptions!$C$27)-Assumptions!$C$28)*Assumptions!$C$31)+Assumptions!$C$28-Assumptions!$C$29-$P620*Assumptions!$C$30</f>
        <v>127.9196319</v>
      </c>
      <c r="V620" s="143">
        <f>(($Q620/(1+$D620)^1+$R620/(1+$D620)^2+$S620/(1+$D620)^3+$T620/(1+$D620)^4+$U620/(1+$D620)^5+$U620*(1+$E620)/($D620-$E620)/(1+$D620)^5)-Assumptions!$C$37)/Assumptions!$C$40/Assumptions!$C$38</f>
        <v>6.007941435</v>
      </c>
    </row>
    <row r="621" ht="12.0" customHeight="1">
      <c r="B621" s="139">
        <v>569.0</v>
      </c>
      <c r="C621" s="140">
        <f t="shared" si="6"/>
        <v>0.7821155737</v>
      </c>
      <c r="D621" s="141">
        <f t="shared" si="7"/>
        <v>0.1039440892</v>
      </c>
      <c r="E621" s="141">
        <f t="shared" si="8"/>
        <v>0.02664805118</v>
      </c>
      <c r="F621" s="140">
        <f t="shared" si="9"/>
        <v>0.695434375</v>
      </c>
      <c r="G621" s="141">
        <f t="shared" si="10"/>
        <v>0.06658594172</v>
      </c>
      <c r="H621" s="142">
        <f t="shared" si="11"/>
        <v>1</v>
      </c>
      <c r="I621" s="142">
        <f t="shared" si="12"/>
        <v>1</v>
      </c>
      <c r="J621" s="142">
        <f t="shared" si="13"/>
        <v>0</v>
      </c>
      <c r="K621" s="142">
        <f t="shared" si="14"/>
        <v>1</v>
      </c>
      <c r="L621" s="139">
        <f>Assumptions!$C$6*Assumptions!$C$7*(1+$G621-0.05*(1-1))^1+Assumptions!$C$6*Assumptions!$C$8*(1+Assumptions!$C$11)^1+Assumptions!$C$16*1+Assumptions!$C$6*Assumptions!$C$9*(1+Assumptions!$C$12)^1</f>
        <v>748.880828</v>
      </c>
      <c r="M621" s="139">
        <f>Assumptions!$C$6*Assumptions!$C$7*(1+$G621-0.05*(1-$H621))^2+Assumptions!$C$6*Assumptions!$C$8*(1+Assumptions!$C$11)^2+Assumptions!$C$16*$H621+Assumptions!$C$6*Assumptions!$C$9*(1+Assumptions!$C$12)^2</f>
        <v>779.3833952</v>
      </c>
      <c r="N621" s="139">
        <f>Assumptions!$C$6*Assumptions!$C$7*(1+$G621-0.05*(1-$I621))^3+Assumptions!$C$6*Assumptions!$C$8*(1+Assumptions!$C$11)^3+Assumptions!$C$16*$I621+Assumptions!$C$6*Assumptions!$C$9*(1+Assumptions!$C$12)^3</f>
        <v>811.6096604</v>
      </c>
      <c r="O621" s="139">
        <f>Assumptions!$C$6*Assumptions!$C$7*(1+$G621-0.05*(1-$J621))^4+Assumptions!$C$6*Assumptions!$C$8*(1+Assumptions!$C$11)^4+Assumptions!$C$16*$J621+Assumptions!$C$6*Assumptions!$C$9*(1+Assumptions!$C$12)^4</f>
        <v>709.5516199</v>
      </c>
      <c r="P621" s="139">
        <f>Assumptions!$C$6*Assumptions!$C$7*(1+$G621-0.05*(1-$K621))^5+Assumptions!$C$6*Assumptions!$C$8*(1+Assumptions!$C$11)^5+Assumptions!$C$16*$K621+Assumptions!$C$6*Assumptions!$C$9*(1+Assumptions!$C$12)^5</f>
        <v>881.6749033</v>
      </c>
      <c r="Q621" s="139">
        <f>($L621*(1-(Assumptions!$C$25+0.06*(1-1))-Assumptions!$C$27)-Assumptions!$C$28)-MAX(0,($L621*(1-(Assumptions!$C$25+0.06*(1-1))-Assumptions!$C$27)-Assumptions!$C$28)*Assumptions!$C$31)+Assumptions!$C$28-Assumptions!$C$29-$L621*Assumptions!$C$30</f>
        <v>93.50937802</v>
      </c>
      <c r="R621" s="139">
        <f>($M621*(1-(Assumptions!$C$25+0.06*(1-$H621))-Assumptions!$C$27)-Assumptions!$C$28)-MAX(0,($M621*(1-(Assumptions!$C$25+0.06*(1-$H621))-Assumptions!$C$27)-Assumptions!$C$28)*Assumptions!$C$31)+Assumptions!$C$28-Assumptions!$C$29-$M621*Assumptions!$C$30</f>
        <v>100.06743</v>
      </c>
      <c r="S621" s="139">
        <f>($N621*(1-(Assumptions!$C$25+0.06*(1-$I621))-Assumptions!$C$27)-Assumptions!$C$28)-MAX(0,($N621*(1-(Assumptions!$C$25+0.06*(1-$I621))-Assumptions!$C$27)-Assumptions!$C$28)*Assumptions!$C$31)+Assumptions!$C$28-Assumptions!$C$29-$N621*Assumptions!$C$30</f>
        <v>106.996077</v>
      </c>
      <c r="T621" s="139">
        <f>($O621*(1-(Assumptions!$C$25+0.06*(1-$J621))-Assumptions!$C$27)-Assumptions!$C$28)-MAX(0,($O621*(1-(Assumptions!$C$25+0.06*(1-$J621))-Assumptions!$C$27)-Assumptions!$C$28)*Assumptions!$C$31)+Assumptions!$C$28-Assumptions!$C$29-$O621*Assumptions!$C$30</f>
        <v>43.19687258</v>
      </c>
      <c r="U621" s="139">
        <f>($P621*(1-(Assumptions!$C$25+0.06*(1-$K621))-Assumptions!$C$27)-Assumptions!$C$28)-MAX(0,($P621*(1-(Assumptions!$C$25+0.06*(1-$K621))-Assumptions!$C$27)-Assumptions!$C$28)*Assumptions!$C$31)+Assumptions!$C$28-Assumptions!$C$29-$P621*Assumptions!$C$30</f>
        <v>122.0601042</v>
      </c>
      <c r="V621" s="143">
        <f>(($Q621/(1+$D621)^1+$R621/(1+$D621)^2+$S621/(1+$D621)^3+$T621/(1+$D621)^4+$U621/(1+$D621)^5+$U621*(1+$E621)/($D621-$E621)/(1+$D621)^5)-Assumptions!$C$37)/Assumptions!$C$40/Assumptions!$C$38</f>
        <v>5.048864678</v>
      </c>
    </row>
    <row r="622" ht="12.0" customHeight="1">
      <c r="B622" s="139">
        <v>570.0</v>
      </c>
      <c r="C622" s="140">
        <f t="shared" si="6"/>
        <v>0.8387767266</v>
      </c>
      <c r="D622" s="141">
        <f t="shared" si="7"/>
        <v>0.1054896763</v>
      </c>
      <c r="E622" s="141">
        <f t="shared" si="8"/>
        <v>0.02703587385</v>
      </c>
      <c r="F622" s="140">
        <f t="shared" si="9"/>
        <v>0.9978802997</v>
      </c>
      <c r="G622" s="141">
        <f t="shared" si="10"/>
        <v>0.08804667962</v>
      </c>
      <c r="H622" s="142">
        <f t="shared" si="11"/>
        <v>0</v>
      </c>
      <c r="I622" s="142">
        <f t="shared" si="12"/>
        <v>1</v>
      </c>
      <c r="J622" s="142">
        <f t="shared" si="13"/>
        <v>0</v>
      </c>
      <c r="K622" s="142">
        <f t="shared" si="14"/>
        <v>0</v>
      </c>
      <c r="L622" s="139">
        <f>Assumptions!$C$6*Assumptions!$C$7*(1+$G622-0.05*(1-1))^1+Assumptions!$C$6*Assumptions!$C$8*(1+Assumptions!$C$11)^1+Assumptions!$C$16*1+Assumptions!$C$6*Assumptions!$C$9*(1+Assumptions!$C$12)^1</f>
        <v>756.1045124</v>
      </c>
      <c r="M622" s="139">
        <f>Assumptions!$C$6*Assumptions!$C$7*(1+$G622-0.05*(1-$H622))^2+Assumptions!$C$6*Assumptions!$C$8*(1+Assumptions!$C$11)^2+Assumptions!$C$16*$H622+Assumptions!$C$6*Assumptions!$C$9*(1+Assumptions!$C$12)^2</f>
        <v>699.16563</v>
      </c>
      <c r="N622" s="139">
        <f>Assumptions!$C$6*Assumptions!$C$7*(1+$G622-0.05*(1-$I622))^3+Assumptions!$C$6*Assumptions!$C$8*(1+Assumptions!$C$11)^3+Assumptions!$C$16*$I622+Assumptions!$C$6*Assumptions!$C$9*(1+Assumptions!$C$12)^3</f>
        <v>836.7621425</v>
      </c>
      <c r="O622" s="139">
        <f>Assumptions!$C$6*Assumptions!$C$7*(1+$G622-0.05*(1-$J622))^4+Assumptions!$C$6*Assumptions!$C$8*(1+Assumptions!$C$11)^4+Assumptions!$C$16*$J622+Assumptions!$C$6*Assumptions!$C$9*(1+Assumptions!$C$12)^4</f>
        <v>740.8829392</v>
      </c>
      <c r="P622" s="139">
        <f>Assumptions!$C$6*Assumptions!$C$7*(1+$G622-0.05*(1-$K622))^5+Assumptions!$C$6*Assumptions!$C$8*(1+Assumptions!$C$11)^5+Assumptions!$C$16*$K622+Assumptions!$C$6*Assumptions!$C$9*(1+Assumptions!$C$12)^5</f>
        <v>762.7536803</v>
      </c>
      <c r="Q622" s="139">
        <f>($L622*(1-(Assumptions!$C$25+0.06*(1-1))-Assumptions!$C$27)-Assumptions!$C$28)-MAX(0,($L622*(1-(Assumptions!$C$25+0.06*(1-1))-Assumptions!$C$27)-Assumptions!$C$28)*Assumptions!$C$31)+Assumptions!$C$28-Assumptions!$C$29-$L622*Assumptions!$C$30</f>
        <v>95.06247016</v>
      </c>
      <c r="R622" s="139">
        <f>($M622*(1-(Assumptions!$C$25+0.06*(1-$H622))-Assumptions!$C$27)-Assumptions!$C$28)-MAX(0,($M622*(1-(Assumptions!$C$25+0.06*(1-$H622))-Assumptions!$C$27)-Assumptions!$C$28)*Assumptions!$C$31)+Assumptions!$C$28-Assumptions!$C$29-$M622*Assumptions!$C$30</f>
        <v>40.8080949</v>
      </c>
      <c r="S622" s="139">
        <f>($N622*(1-(Assumptions!$C$25+0.06*(1-$I622))-Assumptions!$C$27)-Assumptions!$C$28)-MAX(0,($N622*(1-(Assumptions!$C$25+0.06*(1-$I622))-Assumptions!$C$27)-Assumptions!$C$28)*Assumptions!$C$31)+Assumptions!$C$28-Assumptions!$C$29-$N622*Assumptions!$C$30</f>
        <v>112.4038606</v>
      </c>
      <c r="T622" s="139">
        <f>($O622*(1-(Assumptions!$C$25+0.06*(1-$J622))-Assumptions!$C$27)-Assumptions!$C$28)-MAX(0,($O622*(1-(Assumptions!$C$25+0.06*(1-$J622))-Assumptions!$C$27)-Assumptions!$C$28)*Assumptions!$C$31)+Assumptions!$C$28-Assumptions!$C$29-$O622*Assumptions!$C$30</f>
        <v>50.40307602</v>
      </c>
      <c r="U622" s="139">
        <f>($P622*(1-(Assumptions!$C$25+0.06*(1-$K622))-Assumptions!$C$27)-Assumptions!$C$28)-MAX(0,($P622*(1-(Assumptions!$C$25+0.06*(1-$K622))-Assumptions!$C$27)-Assumptions!$C$28)*Assumptions!$C$31)+Assumptions!$C$28-Assumptions!$C$29-$P622*Assumptions!$C$30</f>
        <v>55.43334648</v>
      </c>
      <c r="V622" s="143">
        <f>(($Q622/(1+$D622)^1+$R622/(1+$D622)^2+$S622/(1+$D622)^3+$T622/(1+$D622)^4+$U622/(1+$D622)^5+$U622*(1+$E622)/($D622-$E622)/(1+$D622)^5)-Assumptions!$C$37)/Assumptions!$C$40/Assumptions!$C$38</f>
        <v>0.1382315887</v>
      </c>
    </row>
    <row r="623" ht="12.0" customHeight="1">
      <c r="B623" s="139">
        <v>571.0</v>
      </c>
      <c r="C623" s="140">
        <f t="shared" si="6"/>
        <v>0.3587369403</v>
      </c>
      <c r="D623" s="141">
        <f t="shared" si="7"/>
        <v>0.09602777506</v>
      </c>
      <c r="E623" s="141">
        <f t="shared" si="8"/>
        <v>0.01837792884</v>
      </c>
      <c r="F623" s="140">
        <f t="shared" si="9"/>
        <v>0.2953032532</v>
      </c>
      <c r="G623" s="141">
        <f t="shared" si="10"/>
        <v>0.05305527826</v>
      </c>
      <c r="H623" s="142">
        <f t="shared" si="11"/>
        <v>0</v>
      </c>
      <c r="I623" s="142">
        <f t="shared" si="12"/>
        <v>0</v>
      </c>
      <c r="J623" s="142">
        <f t="shared" si="13"/>
        <v>1</v>
      </c>
      <c r="K623" s="142">
        <f t="shared" si="14"/>
        <v>0</v>
      </c>
      <c r="L623" s="139">
        <f>Assumptions!$C$6*Assumptions!$C$7*(1+$G623-0.05*(1-1))^1+Assumptions!$C$6*Assumptions!$C$8*(1+Assumptions!$C$11)^1+Assumptions!$C$16*1+Assumptions!$C$6*Assumptions!$C$9*(1+Assumptions!$C$12)^1</f>
        <v>744.3264067</v>
      </c>
      <c r="M623" s="139">
        <f>Assumptions!$C$6*Assumptions!$C$7*(1+$G623-0.05*(1-$H623))^2+Assumptions!$C$6*Assumptions!$C$8*(1+Assumptions!$C$11)^2+Assumptions!$C$16*$H623+Assumptions!$C$6*Assumptions!$C$9*(1+Assumptions!$C$12)^2</f>
        <v>675.1253154</v>
      </c>
      <c r="N623" s="139">
        <f>Assumptions!$C$6*Assumptions!$C$7*(1+$G623-0.05*(1-$I623))^3+Assumptions!$C$6*Assumptions!$C$8*(1+Assumptions!$C$11)^3+Assumptions!$C$16*$I623+Assumptions!$C$6*Assumptions!$C$9*(1+Assumptions!$C$12)^3</f>
        <v>682.889323</v>
      </c>
      <c r="O623" s="139">
        <f>Assumptions!$C$6*Assumptions!$C$7*(1+$G623-0.05*(1-$J623))^4+Assumptions!$C$6*Assumptions!$C$8*(1+Assumptions!$C$11)^4+Assumptions!$C$16*$J623+Assumptions!$C$6*Assumptions!$C$9*(1+Assumptions!$C$12)^4</f>
        <v>823.9808265</v>
      </c>
      <c r="P623" s="139">
        <f>Assumptions!$C$6*Assumptions!$C$7*(1+$G623-0.05*(1-$K623))^5+Assumptions!$C$6*Assumptions!$C$8*(1+Assumptions!$C$11)^5+Assumptions!$C$16*$K623+Assumptions!$C$6*Assumptions!$C$9*(1+Assumptions!$C$12)^5</f>
        <v>698.8332819</v>
      </c>
      <c r="Q623" s="139">
        <f>($L623*(1-(Assumptions!$C$25+0.06*(1-1))-Assumptions!$C$27)-Assumptions!$C$28)-MAX(0,($L623*(1-(Assumptions!$C$25+0.06*(1-1))-Assumptions!$C$27)-Assumptions!$C$28)*Assumptions!$C$31)+Assumptions!$C$28-Assumptions!$C$29-$L623*Assumptions!$C$30</f>
        <v>92.53017743</v>
      </c>
      <c r="R623" s="139">
        <f>($M623*(1-(Assumptions!$C$25+0.06*(1-$H623))-Assumptions!$C$27)-Assumptions!$C$28)-MAX(0,($M623*(1-(Assumptions!$C$25+0.06*(1-$H623))-Assumptions!$C$27)-Assumptions!$C$28)*Assumptions!$C$31)+Assumptions!$C$28-Assumptions!$C$29-$M623*Assumptions!$C$30</f>
        <v>35.27882254</v>
      </c>
      <c r="S623" s="139">
        <f>($N623*(1-(Assumptions!$C$25+0.06*(1-$I623))-Assumptions!$C$27)-Assumptions!$C$28)-MAX(0,($N623*(1-(Assumptions!$C$25+0.06*(1-$I623))-Assumptions!$C$27)-Assumptions!$C$28)*Assumptions!$C$31)+Assumptions!$C$28-Assumptions!$C$29-$N623*Assumptions!$C$30</f>
        <v>37.06454429</v>
      </c>
      <c r="T623" s="139">
        <f>($O623*(1-(Assumptions!$C$25+0.06*(1-$J623))-Assumptions!$C$27)-Assumptions!$C$28)-MAX(0,($O623*(1-(Assumptions!$C$25+0.06*(1-$J623))-Assumptions!$C$27)-Assumptions!$C$28)*Assumptions!$C$31)+Assumptions!$C$28-Assumptions!$C$29-$O623*Assumptions!$C$30</f>
        <v>109.6558777</v>
      </c>
      <c r="U623" s="139">
        <f>($P623*(1-(Assumptions!$C$25+0.06*(1-$K623))-Assumptions!$C$27)-Assumptions!$C$28)-MAX(0,($P623*(1-(Assumptions!$C$25+0.06*(1-$K623))-Assumptions!$C$27)-Assumptions!$C$28)*Assumptions!$C$31)+Assumptions!$C$28-Assumptions!$C$29-$P623*Assumptions!$C$30</f>
        <v>40.73165484</v>
      </c>
      <c r="V623" s="143">
        <f>(($Q623/(1+$D623)^1+$R623/(1+$D623)^2+$S623/(1+$D623)^3+$T623/(1+$D623)^4+$U623/(1+$D623)^5+$U623*(1+$E623)/($D623-$E623)/(1+$D623)^5)-Assumptions!$C$37)/Assumptions!$C$40/Assumptions!$C$38</f>
        <v>-0.8605371496</v>
      </c>
    </row>
    <row r="624" ht="12.0" customHeight="1">
      <c r="B624" s="139">
        <v>572.0</v>
      </c>
      <c r="C624" s="140">
        <f t="shared" si="6"/>
        <v>0.5785306309</v>
      </c>
      <c r="D624" s="141">
        <f t="shared" si="7"/>
        <v>0.09962325405</v>
      </c>
      <c r="E624" s="141">
        <f t="shared" si="8"/>
        <v>0.0298916901</v>
      </c>
      <c r="F624" s="140">
        <f t="shared" si="9"/>
        <v>0.578424149</v>
      </c>
      <c r="G624" s="141">
        <f t="shared" si="10"/>
        <v>0.06245301229</v>
      </c>
      <c r="H624" s="142">
        <f t="shared" si="11"/>
        <v>1</v>
      </c>
      <c r="I624" s="142">
        <f t="shared" si="12"/>
        <v>0</v>
      </c>
      <c r="J624" s="142">
        <f t="shared" si="13"/>
        <v>1</v>
      </c>
      <c r="K624" s="142">
        <f t="shared" si="14"/>
        <v>0</v>
      </c>
      <c r="L624" s="139">
        <f>Assumptions!$C$6*Assumptions!$C$7*(1+$G624-0.05*(1-1))^1+Assumptions!$C$6*Assumptions!$C$8*(1+Assumptions!$C$11)^1+Assumptions!$C$16*1+Assumptions!$C$6*Assumptions!$C$9*(1+Assumptions!$C$12)^1</f>
        <v>747.4896839</v>
      </c>
      <c r="M624" s="139">
        <f>Assumptions!$C$6*Assumptions!$C$7*(1+$G624-0.05*(1-$H624))^2+Assumptions!$C$6*Assumptions!$C$8*(1+Assumptions!$C$11)^2+Assumptions!$C$16*$H624+Assumptions!$C$6*Assumptions!$C$9*(1+Assumptions!$C$12)^2</f>
        <v>776.4215954</v>
      </c>
      <c r="N624" s="139">
        <f>Assumptions!$C$6*Assumptions!$C$7*(1+$G624-0.05*(1-$I624))^3+Assumptions!$C$6*Assumptions!$C$8*(1+Assumptions!$C$11)^3+Assumptions!$C$16*$I624+Assumptions!$C$6*Assumptions!$C$9*(1+Assumptions!$C$12)^3</f>
        <v>692.5269663</v>
      </c>
      <c r="O624" s="139">
        <f>Assumptions!$C$6*Assumptions!$C$7*(1+$G624-0.05*(1-$J624))^4+Assumptions!$C$6*Assumptions!$C$8*(1+Assumptions!$C$11)^4+Assumptions!$C$16*$J624+Assumptions!$C$6*Assumptions!$C$9*(1+Assumptions!$C$12)^4</f>
        <v>838.955592</v>
      </c>
      <c r="P624" s="139">
        <f>Assumptions!$C$6*Assumptions!$C$7*(1+$G624-0.05*(1-$K624))^5+Assumptions!$C$6*Assumptions!$C$8*(1+Assumptions!$C$11)^5+Assumptions!$C$16*$K624+Assumptions!$C$6*Assumptions!$C$9*(1+Assumptions!$C$12)^5</f>
        <v>715.1466833</v>
      </c>
      <c r="Q624" s="139">
        <f>($L624*(1-(Assumptions!$C$25+0.06*(1-1))-Assumptions!$C$27)-Assumptions!$C$28)-MAX(0,($L624*(1-(Assumptions!$C$25+0.06*(1-1))-Assumptions!$C$27)-Assumptions!$C$28)*Assumptions!$C$31)+Assumptions!$C$28-Assumptions!$C$29-$L624*Assumptions!$C$30</f>
        <v>93.21028205</v>
      </c>
      <c r="R624" s="139">
        <f>($M624*(1-(Assumptions!$C$25+0.06*(1-$H624))-Assumptions!$C$27)-Assumptions!$C$28)-MAX(0,($M624*(1-(Assumptions!$C$25+0.06*(1-$H624))-Assumptions!$C$27)-Assumptions!$C$28)*Assumptions!$C$31)+Assumptions!$C$28-Assumptions!$C$29-$M624*Assumptions!$C$30</f>
        <v>99.430643</v>
      </c>
      <c r="S624" s="139">
        <f>($N624*(1-(Assumptions!$C$25+0.06*(1-$I624))-Assumptions!$C$27)-Assumptions!$C$28)-MAX(0,($N624*(1-(Assumptions!$C$25+0.06*(1-$I624))-Assumptions!$C$27)-Assumptions!$C$28)*Assumptions!$C$31)+Assumptions!$C$28-Assumptions!$C$29-$N624*Assumptions!$C$30</f>
        <v>39.28120225</v>
      </c>
      <c r="T624" s="139">
        <f>($O624*(1-(Assumptions!$C$25+0.06*(1-$J624))-Assumptions!$C$27)-Assumptions!$C$28)-MAX(0,($O624*(1-(Assumptions!$C$25+0.06*(1-$J624))-Assumptions!$C$27)-Assumptions!$C$28)*Assumptions!$C$31)+Assumptions!$C$28-Assumptions!$C$29-$O624*Assumptions!$C$30</f>
        <v>112.8754523</v>
      </c>
      <c r="U624" s="139">
        <f>($P624*(1-(Assumptions!$C$25+0.06*(1-$K624))-Assumptions!$C$27)-Assumptions!$C$28)-MAX(0,($P624*(1-(Assumptions!$C$25+0.06*(1-$K624))-Assumptions!$C$27)-Assumptions!$C$28)*Assumptions!$C$31)+Assumptions!$C$28-Assumptions!$C$29-$P624*Assumptions!$C$30</f>
        <v>44.48373716</v>
      </c>
      <c r="V624" s="143">
        <f>(($Q624/(1+$D624)^1+$R624/(1+$D624)^2+$S624/(1+$D624)^3+$T624/(1+$D624)^4+$U624/(1+$D624)^5+$U624*(1+$E624)/($D624-$E624)/(1+$D624)^5)-Assumptions!$C$37)/Assumptions!$C$40/Assumptions!$C$38</f>
        <v>0.1432116994</v>
      </c>
    </row>
    <row r="625" ht="12.0" customHeight="1">
      <c r="B625" s="139">
        <v>573.0</v>
      </c>
      <c r="C625" s="140">
        <f t="shared" si="6"/>
        <v>0.09103045126</v>
      </c>
      <c r="D625" s="141">
        <f t="shared" si="7"/>
        <v>0.09055511683</v>
      </c>
      <c r="E625" s="141">
        <f t="shared" si="8"/>
        <v>0.02123942907</v>
      </c>
      <c r="F625" s="140">
        <f t="shared" si="9"/>
        <v>0.3641342459</v>
      </c>
      <c r="G625" s="141">
        <f t="shared" si="10"/>
        <v>0.05560159453</v>
      </c>
      <c r="H625" s="142">
        <f t="shared" si="11"/>
        <v>1</v>
      </c>
      <c r="I625" s="142">
        <f t="shared" si="12"/>
        <v>1</v>
      </c>
      <c r="J625" s="142">
        <f t="shared" si="13"/>
        <v>0</v>
      </c>
      <c r="K625" s="142">
        <f t="shared" si="14"/>
        <v>1</v>
      </c>
      <c r="L625" s="139">
        <f>Assumptions!$C$6*Assumptions!$C$7*(1+$G625-0.05*(1-1))^1+Assumptions!$C$6*Assumptions!$C$8*(1+Assumptions!$C$11)^1+Assumptions!$C$16*1+Assumptions!$C$6*Assumptions!$C$9*(1+Assumptions!$C$12)^1</f>
        <v>745.1834967</v>
      </c>
      <c r="M625" s="139">
        <f>Assumptions!$C$6*Assumptions!$C$7*(1+$G625-0.05*(1-$H625))^2+Assumptions!$C$6*Assumptions!$C$8*(1+Assumptions!$C$11)^2+Assumptions!$C$16*$H625+Assumptions!$C$6*Assumptions!$C$9*(1+Assumptions!$C$12)^2</f>
        <v>771.5369649</v>
      </c>
      <c r="N625" s="139">
        <f>Assumptions!$C$6*Assumptions!$C$7*(1+$G625-0.05*(1-$I625))^3+Assumptions!$C$6*Assumptions!$C$8*(1+Assumptions!$C$11)^3+Assumptions!$C$16*$I625+Assumptions!$C$6*Assumptions!$C$9*(1+Assumptions!$C$12)^3</f>
        <v>799.1208514</v>
      </c>
      <c r="O625" s="139">
        <f>Assumptions!$C$6*Assumptions!$C$7*(1+$G625-0.05*(1-$J625))^4+Assumptions!$C$6*Assumptions!$C$8*(1+Assumptions!$C$11)^4+Assumptions!$C$16*$J625+Assumptions!$C$6*Assumptions!$C$9*(1+Assumptions!$C$12)^4</f>
        <v>694.2641551</v>
      </c>
      <c r="P625" s="139">
        <f>Assumptions!$C$6*Assumptions!$C$7*(1+$G625-0.05*(1-$K625))^5+Assumptions!$C$6*Assumptions!$C$8*(1+Assumptions!$C$11)^5+Assumptions!$C$16*$K625+Assumptions!$C$6*Assumptions!$C$9*(1+Assumptions!$C$12)^5</f>
        <v>858.2381908</v>
      </c>
      <c r="Q625" s="139">
        <f>($L625*(1-(Assumptions!$C$25+0.06*(1-1))-Assumptions!$C$27)-Assumptions!$C$28)-MAX(0,($L625*(1-(Assumptions!$C$25+0.06*(1-1))-Assumptions!$C$27)-Assumptions!$C$28)*Assumptions!$C$31)+Assumptions!$C$28-Assumptions!$C$29-$L625*Assumptions!$C$30</f>
        <v>92.71445179</v>
      </c>
      <c r="R625" s="139">
        <f>($M625*(1-(Assumptions!$C$25+0.06*(1-$H625))-Assumptions!$C$27)-Assumptions!$C$28)-MAX(0,($M625*(1-(Assumptions!$C$25+0.06*(1-$H625))-Assumptions!$C$27)-Assumptions!$C$28)*Assumptions!$C$31)+Assumptions!$C$28-Assumptions!$C$29-$M625*Assumptions!$C$30</f>
        <v>98.38044745</v>
      </c>
      <c r="S625" s="139">
        <f>($N625*(1-(Assumptions!$C$25+0.06*(1-$I625))-Assumptions!$C$27)-Assumptions!$C$28)-MAX(0,($N625*(1-(Assumptions!$C$25+0.06*(1-$I625))-Assumptions!$C$27)-Assumptions!$C$28)*Assumptions!$C$31)+Assumptions!$C$28-Assumptions!$C$29-$N625*Assumptions!$C$30</f>
        <v>104.3109831</v>
      </c>
      <c r="T625" s="139">
        <f>($O625*(1-(Assumptions!$C$25+0.06*(1-$J625))-Assumptions!$C$27)-Assumptions!$C$28)-MAX(0,($O625*(1-(Assumptions!$C$25+0.06*(1-$J625))-Assumptions!$C$27)-Assumptions!$C$28)*Assumptions!$C$31)+Assumptions!$C$28-Assumptions!$C$29-$O625*Assumptions!$C$30</f>
        <v>39.68075568</v>
      </c>
      <c r="U625" s="139">
        <f>($P625*(1-(Assumptions!$C$25+0.06*(1-$K625))-Assumptions!$C$27)-Assumptions!$C$28)-MAX(0,($P625*(1-(Assumptions!$C$25+0.06*(1-$K625))-Assumptions!$C$27)-Assumptions!$C$28)*Assumptions!$C$31)+Assumptions!$C$28-Assumptions!$C$29-$P625*Assumptions!$C$30</f>
        <v>117.021211</v>
      </c>
      <c r="V625" s="143">
        <f>(($Q625/(1+$D625)^1+$R625/(1+$D625)^2+$S625/(1+$D625)^3+$T625/(1+$D625)^4+$U625/(1+$D625)^5+$U625*(1+$E625)/($D625-$E625)/(1+$D625)^5)-Assumptions!$C$37)/Assumptions!$C$40/Assumptions!$C$38</f>
        <v>6.072028392</v>
      </c>
    </row>
    <row r="626" ht="12.0" customHeight="1">
      <c r="B626" s="139">
        <v>574.0</v>
      </c>
      <c r="C626" s="140">
        <f t="shared" si="6"/>
        <v>0.09676228817</v>
      </c>
      <c r="D626" s="141">
        <f t="shared" si="7"/>
        <v>0.09072733932</v>
      </c>
      <c r="E626" s="141">
        <f t="shared" si="8"/>
        <v>0.015378261</v>
      </c>
      <c r="F626" s="140">
        <f t="shared" si="9"/>
        <v>0.5816671834</v>
      </c>
      <c r="G626" s="141">
        <f t="shared" si="10"/>
        <v>0.06255917148</v>
      </c>
      <c r="H626" s="142">
        <f t="shared" si="11"/>
        <v>0</v>
      </c>
      <c r="I626" s="142">
        <f t="shared" si="12"/>
        <v>1</v>
      </c>
      <c r="J626" s="142">
        <f t="shared" si="13"/>
        <v>1</v>
      </c>
      <c r="K626" s="142">
        <f t="shared" si="14"/>
        <v>1</v>
      </c>
      <c r="L626" s="139">
        <f>Assumptions!$C$6*Assumptions!$C$7*(1+$G626-0.05*(1-1))^1+Assumptions!$C$6*Assumptions!$C$8*(1+Assumptions!$C$11)^1+Assumptions!$C$16*1+Assumptions!$C$6*Assumptions!$C$9*(1+Assumptions!$C$12)^1</f>
        <v>747.5254171</v>
      </c>
      <c r="M626" s="139">
        <f>Assumptions!$C$6*Assumptions!$C$7*(1+$G626-0.05*(1-$H626))^2+Assumptions!$C$6*Assumptions!$C$8*(1+Assumptions!$C$11)^2+Assumptions!$C$16*$H626+Assumptions!$C$6*Assumptions!$C$9*(1+Assumptions!$C$12)^2</f>
        <v>681.5732871</v>
      </c>
      <c r="N626" s="139">
        <f>Assumptions!$C$6*Assumptions!$C$7*(1+$G626-0.05*(1-$I626))^3+Assumptions!$C$6*Assumptions!$C$8*(1+Assumptions!$C$11)^3+Assumptions!$C$16*$I626+Assumptions!$C$6*Assumptions!$C$9*(1+Assumptions!$C$12)^3</f>
        <v>807.0013336</v>
      </c>
      <c r="O626" s="139">
        <f>Assumptions!$C$6*Assumptions!$C$7*(1+$G626-0.05*(1-$J626))^4+Assumptions!$C$6*Assumptions!$C$8*(1+Assumptions!$C$11)^4+Assumptions!$C$16*$J626+Assumptions!$C$6*Assumptions!$C$9*(1+Assumptions!$C$12)^4</f>
        <v>839.1270375</v>
      </c>
      <c r="P626" s="139">
        <f>Assumptions!$C$6*Assumptions!$C$7*(1+$G626-0.05*(1-$K626))^5+Assumptions!$C$6*Assumptions!$C$8*(1+Assumptions!$C$11)^5+Assumptions!$C$16*$K626+Assumptions!$C$6*Assumptions!$C$9*(1+Assumptions!$C$12)^5</f>
        <v>872.9703771</v>
      </c>
      <c r="Q626" s="139">
        <f>($L626*(1-(Assumptions!$C$25+0.06*(1-1))-Assumptions!$C$27)-Assumptions!$C$28)-MAX(0,($L626*(1-(Assumptions!$C$25+0.06*(1-1))-Assumptions!$C$27)-Assumptions!$C$28)*Assumptions!$C$31)+Assumptions!$C$28-Assumptions!$C$29-$L626*Assumptions!$C$30</f>
        <v>93.21796468</v>
      </c>
      <c r="R626" s="139">
        <f>($M626*(1-(Assumptions!$C$25+0.06*(1-$H626))-Assumptions!$C$27)-Assumptions!$C$28)-MAX(0,($M626*(1-(Assumptions!$C$25+0.06*(1-$H626))-Assumptions!$C$27)-Assumptions!$C$28)*Assumptions!$C$31)+Assumptions!$C$28-Assumptions!$C$29-$M626*Assumptions!$C$30</f>
        <v>36.76185603</v>
      </c>
      <c r="S626" s="139">
        <f>($N626*(1-(Assumptions!$C$25+0.06*(1-$I626))-Assumptions!$C$27)-Assumptions!$C$28)-MAX(0,($N626*(1-(Assumptions!$C$25+0.06*(1-$I626))-Assumptions!$C$27)-Assumptions!$C$28)*Assumptions!$C$31)+Assumptions!$C$28-Assumptions!$C$29-$N626*Assumptions!$C$30</f>
        <v>106.0052867</v>
      </c>
      <c r="T626" s="139">
        <f>($O626*(1-(Assumptions!$C$25+0.06*(1-$J626))-Assumptions!$C$27)-Assumptions!$C$28)-MAX(0,($O626*(1-(Assumptions!$C$25+0.06*(1-$J626))-Assumptions!$C$27)-Assumptions!$C$28)*Assumptions!$C$31)+Assumptions!$C$28-Assumptions!$C$29-$O626*Assumptions!$C$30</f>
        <v>112.9123131</v>
      </c>
      <c r="U626" s="139">
        <f>($P626*(1-(Assumptions!$C$25+0.06*(1-$K626))-Assumptions!$C$27)-Assumptions!$C$28)-MAX(0,($P626*(1-(Assumptions!$C$25+0.06*(1-$K626))-Assumptions!$C$27)-Assumptions!$C$28)*Assumptions!$C$31)+Assumptions!$C$28-Assumptions!$C$29-$P626*Assumptions!$C$30</f>
        <v>120.1886311</v>
      </c>
      <c r="V626" s="143">
        <f>(($Q626/(1+$D626)^1+$R626/(1+$D626)^2+$S626/(1+$D626)^3+$T626/(1+$D626)^4+$U626/(1+$D626)^5+$U626*(1+$E626)/($D626-$E626)/(1+$D626)^5)-Assumptions!$C$37)/Assumptions!$C$40/Assumptions!$C$38</f>
        <v>5.565199741</v>
      </c>
    </row>
    <row r="627" ht="12.0" customHeight="1">
      <c r="B627" s="139">
        <v>575.0</v>
      </c>
      <c r="C627" s="140">
        <f t="shared" si="6"/>
        <v>0.465485081</v>
      </c>
      <c r="D627" s="141">
        <f t="shared" si="7"/>
        <v>0.09768345099</v>
      </c>
      <c r="E627" s="141">
        <f t="shared" si="8"/>
        <v>0.01780985069</v>
      </c>
      <c r="F627" s="140">
        <f t="shared" si="9"/>
        <v>0.05168722763</v>
      </c>
      <c r="G627" s="141">
        <f t="shared" si="10"/>
        <v>0.03964556944</v>
      </c>
      <c r="H627" s="142">
        <f t="shared" si="11"/>
        <v>1</v>
      </c>
      <c r="I627" s="142">
        <f t="shared" si="12"/>
        <v>1</v>
      </c>
      <c r="J627" s="142">
        <f t="shared" si="13"/>
        <v>0</v>
      </c>
      <c r="K627" s="142">
        <f t="shared" si="14"/>
        <v>0</v>
      </c>
      <c r="L627" s="139">
        <f>Assumptions!$C$6*Assumptions!$C$7*(1+$G627-0.05*(1-1))^1+Assumptions!$C$6*Assumptions!$C$8*(1+Assumptions!$C$11)^1+Assumptions!$C$16*1+Assumptions!$C$6*Assumptions!$C$9*(1+Assumptions!$C$12)^1</f>
        <v>739.8126987</v>
      </c>
      <c r="M627" s="139">
        <f>Assumptions!$C$6*Assumptions!$C$7*(1+$G627-0.05*(1-$H627))^2+Assumptions!$C$6*Assumptions!$C$8*(1+Assumptions!$C$11)^2+Assumptions!$C$16*$H627+Assumptions!$C$6*Assumptions!$C$9*(1+Assumptions!$C$12)^2</f>
        <v>760.2838155</v>
      </c>
      <c r="N627" s="139">
        <f>Assumptions!$C$6*Assumptions!$C$7*(1+$G627-0.05*(1-$I627))^3+Assumptions!$C$6*Assumptions!$C$8*(1+Assumptions!$C$11)^3+Assumptions!$C$16*$I627+Assumptions!$C$6*Assumptions!$C$9*(1+Assumptions!$C$12)^3</f>
        <v>781.4369126</v>
      </c>
      <c r="O627" s="139">
        <f>Assumptions!$C$6*Assumptions!$C$7*(1+$G627-0.05*(1-$J627))^4+Assumptions!$C$6*Assumptions!$C$8*(1+Assumptions!$C$11)^4+Assumptions!$C$16*$J627+Assumptions!$C$6*Assumptions!$C$9*(1+Assumptions!$C$12)^4</f>
        <v>672.9323943</v>
      </c>
      <c r="P627" s="139">
        <f>Assumptions!$C$6*Assumptions!$C$7*(1+$G627-0.05*(1-$K627))^5+Assumptions!$C$6*Assumptions!$C$8*(1+Assumptions!$C$11)^5+Assumptions!$C$16*$K627+Assumptions!$C$6*Assumptions!$C$9*(1+Assumptions!$C$12)^5</f>
        <v>676.5903908</v>
      </c>
      <c r="Q627" s="139">
        <f>($L627*(1-(Assumptions!$C$25+0.06*(1-1))-Assumptions!$C$27)-Assumptions!$C$28)-MAX(0,($L627*(1-(Assumptions!$C$25+0.06*(1-1))-Assumptions!$C$27)-Assumptions!$C$28)*Assumptions!$C$31)+Assumptions!$C$28-Assumptions!$C$29-$L627*Assumptions!$C$30</f>
        <v>91.55973021</v>
      </c>
      <c r="R627" s="139">
        <f>($M627*(1-(Assumptions!$C$25+0.06*(1-$H627))-Assumptions!$C$27)-Assumptions!$C$28)-MAX(0,($M627*(1-(Assumptions!$C$25+0.06*(1-$H627))-Assumptions!$C$27)-Assumptions!$C$28)*Assumptions!$C$31)+Assumptions!$C$28-Assumptions!$C$29-$M627*Assumptions!$C$30</f>
        <v>95.96102034</v>
      </c>
      <c r="S627" s="139">
        <f>($N627*(1-(Assumptions!$C$25+0.06*(1-$I627))-Assumptions!$C$27)-Assumptions!$C$28)-MAX(0,($N627*(1-(Assumptions!$C$25+0.06*(1-$I627))-Assumptions!$C$27)-Assumptions!$C$28)*Assumptions!$C$31)+Assumptions!$C$28-Assumptions!$C$29-$N627*Assumptions!$C$30</f>
        <v>100.5089362</v>
      </c>
      <c r="T627" s="139">
        <f>($O627*(1-(Assumptions!$C$25+0.06*(1-$J627))-Assumptions!$C$27)-Assumptions!$C$28)-MAX(0,($O627*(1-(Assumptions!$C$25+0.06*(1-$J627))-Assumptions!$C$27)-Assumptions!$C$28)*Assumptions!$C$31)+Assumptions!$C$28-Assumptions!$C$29-$O627*Assumptions!$C$30</f>
        <v>34.77445068</v>
      </c>
      <c r="U627" s="139">
        <f>($P627*(1-(Assumptions!$C$25+0.06*(1-$K627))-Assumptions!$C$27)-Assumptions!$C$28)-MAX(0,($P627*(1-(Assumptions!$C$25+0.06*(1-$K627))-Assumptions!$C$27)-Assumptions!$C$28)*Assumptions!$C$31)+Assumptions!$C$28-Assumptions!$C$29-$P627*Assumptions!$C$30</f>
        <v>35.61578988</v>
      </c>
      <c r="V627" s="143">
        <f>(($Q627/(1+$D627)^1+$R627/(1+$D627)^2+$S627/(1+$D627)^3+$T627/(1+$D627)^4+$U627/(1+$D627)^5+$U627*(1+$E627)/($D627-$E627)/(1+$D627)^5)-Assumptions!$C$37)/Assumptions!$C$40/Assumptions!$C$38</f>
        <v>-0.9486881791</v>
      </c>
    </row>
    <row r="628" ht="12.0" customHeight="1">
      <c r="B628" s="139">
        <v>576.0</v>
      </c>
      <c r="C628" s="140">
        <f t="shared" si="6"/>
        <v>0.1824251602</v>
      </c>
      <c r="D628" s="141">
        <f t="shared" si="7"/>
        <v>0.09286397668</v>
      </c>
      <c r="E628" s="141">
        <f t="shared" si="8"/>
        <v>0.0158748037</v>
      </c>
      <c r="F628" s="140">
        <f t="shared" si="9"/>
        <v>0.5533398266</v>
      </c>
      <c r="G628" s="141">
        <f t="shared" si="10"/>
        <v>0.06164531234</v>
      </c>
      <c r="H628" s="142">
        <f t="shared" si="11"/>
        <v>1</v>
      </c>
      <c r="I628" s="142">
        <f t="shared" si="12"/>
        <v>1</v>
      </c>
      <c r="J628" s="142">
        <f t="shared" si="13"/>
        <v>1</v>
      </c>
      <c r="K628" s="142">
        <f t="shared" si="14"/>
        <v>0</v>
      </c>
      <c r="L628" s="139">
        <f>Assumptions!$C$6*Assumptions!$C$7*(1+$G628-0.05*(1-1))^1+Assumptions!$C$6*Assumptions!$C$8*(1+Assumptions!$C$11)^1+Assumptions!$C$16*1+Assumptions!$C$6*Assumptions!$C$9*(1+Assumptions!$C$12)^1</f>
        <v>747.2178121</v>
      </c>
      <c r="M628" s="139">
        <f>Assumptions!$C$6*Assumptions!$C$7*(1+$G628-0.05*(1-$H628))^2+Assumptions!$C$6*Assumptions!$C$8*(1+Assumptions!$C$11)^2+Assumptions!$C$16*$H628+Assumptions!$C$6*Assumptions!$C$9*(1+Assumptions!$C$12)^2</f>
        <v>775.8441129</v>
      </c>
      <c r="N628" s="139">
        <f>Assumptions!$C$6*Assumptions!$C$7*(1+$G628-0.05*(1-$I628))^3+Assumptions!$C$6*Assumptions!$C$8*(1+Assumptions!$C$11)^3+Assumptions!$C$16*$I628+Assumptions!$C$6*Assumptions!$C$9*(1+Assumptions!$C$12)^3</f>
        <v>805.9603418</v>
      </c>
      <c r="O628" s="139">
        <f>Assumptions!$C$6*Assumptions!$C$7*(1+$G628-0.05*(1-$J628))^4+Assumptions!$C$6*Assumptions!$C$8*(1+Assumptions!$C$11)^4+Assumptions!$C$16*$J628+Assumptions!$C$6*Assumptions!$C$9*(1+Assumptions!$C$12)^4</f>
        <v>837.652851</v>
      </c>
      <c r="P628" s="139">
        <f>Assumptions!$C$6*Assumptions!$C$7*(1+$G628-0.05*(1-$K628))^5+Assumptions!$C$6*Assumptions!$C$8*(1+Assumptions!$C$11)^5+Assumptions!$C$16*$K628+Assumptions!$C$6*Assumptions!$C$9*(1+Assumptions!$C$12)^5</f>
        <v>713.7206136</v>
      </c>
      <c r="Q628" s="139">
        <f>($L628*(1-(Assumptions!$C$25+0.06*(1-1))-Assumptions!$C$27)-Assumptions!$C$28)-MAX(0,($L628*(1-(Assumptions!$C$25+0.06*(1-1))-Assumptions!$C$27)-Assumptions!$C$28)*Assumptions!$C$31)+Assumptions!$C$28-Assumptions!$C$29-$L628*Assumptions!$C$30</f>
        <v>93.15182961</v>
      </c>
      <c r="R628" s="139">
        <f>($M628*(1-(Assumptions!$C$25+0.06*(1-$H628))-Assumptions!$C$27)-Assumptions!$C$28)-MAX(0,($M628*(1-(Assumptions!$C$25+0.06*(1-$H628))-Assumptions!$C$27)-Assumptions!$C$28)*Assumptions!$C$31)+Assumptions!$C$28-Assumptions!$C$29-$M628*Assumptions!$C$30</f>
        <v>99.30648428</v>
      </c>
      <c r="S628" s="139">
        <f>($N628*(1-(Assumptions!$C$25+0.06*(1-$I628))-Assumptions!$C$27)-Assumptions!$C$28)-MAX(0,($N628*(1-(Assumptions!$C$25+0.06*(1-$I628))-Assumptions!$C$27)-Assumptions!$C$28)*Assumptions!$C$31)+Assumptions!$C$28-Assumptions!$C$29-$N628*Assumptions!$C$30</f>
        <v>105.7814735</v>
      </c>
      <c r="T628" s="139">
        <f>($O628*(1-(Assumptions!$C$25+0.06*(1-$J628))-Assumptions!$C$27)-Assumptions!$C$28)-MAX(0,($O628*(1-(Assumptions!$C$25+0.06*(1-$J628))-Assumptions!$C$27)-Assumptions!$C$28)*Assumptions!$C$31)+Assumptions!$C$28-Assumptions!$C$29-$O628*Assumptions!$C$30</f>
        <v>112.595363</v>
      </c>
      <c r="U628" s="139">
        <f>($P628*(1-(Assumptions!$C$25+0.06*(1-$K628))-Assumptions!$C$27)-Assumptions!$C$28)-MAX(0,($P628*(1-(Assumptions!$C$25+0.06*(1-$K628))-Assumptions!$C$27)-Assumptions!$C$28)*Assumptions!$C$31)+Assumptions!$C$28-Assumptions!$C$29-$P628*Assumptions!$C$30</f>
        <v>44.15574113</v>
      </c>
      <c r="V628" s="143">
        <f>(($Q628/(1+$D628)^1+$R628/(1+$D628)^2+$S628/(1+$D628)^3+$T628/(1+$D628)^4+$U628/(1+$D628)^5+$U628*(1+$E628)/($D628-$E628)/(1+$D628)^5)-Assumptions!$C$37)/Assumptions!$C$40/Assumptions!$C$38</f>
        <v>0.3021695151</v>
      </c>
    </row>
    <row r="629" ht="12.0" customHeight="1">
      <c r="B629" s="139">
        <v>577.0</v>
      </c>
      <c r="C629" s="140">
        <f t="shared" si="6"/>
        <v>0.6734265851</v>
      </c>
      <c r="D629" s="141">
        <f t="shared" si="7"/>
        <v>0.1014645766</v>
      </c>
      <c r="E629" s="141">
        <f t="shared" si="8"/>
        <v>0.01200228007</v>
      </c>
      <c r="F629" s="140">
        <f t="shared" si="9"/>
        <v>0.5229453503</v>
      </c>
      <c r="G629" s="141">
        <f t="shared" si="10"/>
        <v>0.06069644442</v>
      </c>
      <c r="H629" s="142">
        <f t="shared" si="11"/>
        <v>0</v>
      </c>
      <c r="I629" s="142">
        <f t="shared" si="12"/>
        <v>0</v>
      </c>
      <c r="J629" s="142">
        <f t="shared" si="13"/>
        <v>0</v>
      </c>
      <c r="K629" s="142">
        <f t="shared" si="14"/>
        <v>1</v>
      </c>
      <c r="L629" s="139">
        <f>Assumptions!$C$6*Assumptions!$C$7*(1+$G629-0.05*(1-1))^1+Assumptions!$C$6*Assumptions!$C$8*(1+Assumptions!$C$11)^1+Assumptions!$C$16*1+Assumptions!$C$6*Assumptions!$C$9*(1+Assumptions!$C$12)^1</f>
        <v>746.8984232</v>
      </c>
      <c r="M629" s="139">
        <f>Assumptions!$C$6*Assumptions!$C$7*(1+$G629-0.05*(1-$H629))^2+Assumptions!$C$6*Assumptions!$C$8*(1+Assumptions!$C$11)^2+Assumptions!$C$16*$H629+Assumptions!$C$6*Assumptions!$C$9*(1+Assumptions!$C$12)^2</f>
        <v>680.3047181</v>
      </c>
      <c r="N629" s="139">
        <f>Assumptions!$C$6*Assumptions!$C$7*(1+$G629-0.05*(1-$I629))^3+Assumptions!$C$6*Assumptions!$C$8*(1+Assumptions!$C$11)^3+Assumptions!$C$16*$I629+Assumptions!$C$6*Assumptions!$C$9*(1+Assumptions!$C$12)^3</f>
        <v>690.7118839</v>
      </c>
      <c r="O629" s="139">
        <f>Assumptions!$C$6*Assumptions!$C$7*(1+$G629-0.05*(1-$J629))^4+Assumptions!$C$6*Assumptions!$C$8*(1+Assumptions!$C$11)^4+Assumptions!$C$16*$J629+Assumptions!$C$6*Assumptions!$C$9*(1+Assumptions!$C$12)^4</f>
        <v>701.2929758</v>
      </c>
      <c r="P629" s="139">
        <f>Assumptions!$C$6*Assumptions!$C$7*(1+$G629-0.05*(1-$K629))^5+Assumptions!$C$6*Assumptions!$C$8*(1+Assumptions!$C$11)^5+Assumptions!$C$16*$K629+Assumptions!$C$6*Assumptions!$C$9*(1+Assumptions!$C$12)^5</f>
        <v>868.9881763</v>
      </c>
      <c r="Q629" s="139">
        <f>($L629*(1-(Assumptions!$C$25+0.06*(1-1))-Assumptions!$C$27)-Assumptions!$C$28)-MAX(0,($L629*(1-(Assumptions!$C$25+0.06*(1-1))-Assumptions!$C$27)-Assumptions!$C$28)*Assumptions!$C$31)+Assumptions!$C$28-Assumptions!$C$29-$L629*Assumptions!$C$30</f>
        <v>93.08316099</v>
      </c>
      <c r="R629" s="139">
        <f>($M629*(1-(Assumptions!$C$25+0.06*(1-$H629))-Assumptions!$C$27)-Assumptions!$C$28)-MAX(0,($M629*(1-(Assumptions!$C$25+0.06*(1-$H629))-Assumptions!$C$27)-Assumptions!$C$28)*Assumptions!$C$31)+Assumptions!$C$28-Assumptions!$C$29-$M629*Assumptions!$C$30</f>
        <v>36.47008517</v>
      </c>
      <c r="S629" s="139">
        <f>($N629*(1-(Assumptions!$C$25+0.06*(1-$I629))-Assumptions!$C$27)-Assumptions!$C$28)-MAX(0,($N629*(1-(Assumptions!$C$25+0.06*(1-$I629))-Assumptions!$C$27)-Assumptions!$C$28)*Assumptions!$C$31)+Assumptions!$C$28-Assumptions!$C$29-$N629*Assumptions!$C$30</f>
        <v>38.8637333</v>
      </c>
      <c r="T629" s="139">
        <f>($O629*(1-(Assumptions!$C$25+0.06*(1-$J629))-Assumptions!$C$27)-Assumptions!$C$28)-MAX(0,($O629*(1-(Assumptions!$C$25+0.06*(1-$J629))-Assumptions!$C$27)-Assumptions!$C$28)*Assumptions!$C$31)+Assumptions!$C$28-Assumptions!$C$29-$O629*Assumptions!$C$30</f>
        <v>41.29738444</v>
      </c>
      <c r="U629" s="139">
        <f>($P629*(1-(Assumptions!$C$25+0.06*(1-$K629))-Assumptions!$C$27)-Assumptions!$C$28)-MAX(0,($P629*(1-(Assumptions!$C$25+0.06*(1-$K629))-Assumptions!$C$27)-Assumptions!$C$28)*Assumptions!$C$31)+Assumptions!$C$28-Assumptions!$C$29-$P629*Assumptions!$C$30</f>
        <v>119.3324579</v>
      </c>
      <c r="V629" s="143">
        <f>(($Q629/(1+$D629)^1+$R629/(1+$D629)^2+$S629/(1+$D629)^3+$T629/(1+$D629)^4+$U629/(1+$D629)^5+$U629*(1+$E629)/($D629-$E629)/(1+$D629)^5)-Assumptions!$C$37)/Assumptions!$C$40/Assumptions!$C$38</f>
        <v>3.014158674</v>
      </c>
    </row>
    <row r="630" ht="12.0" customHeight="1">
      <c r="B630" s="139">
        <v>578.0</v>
      </c>
      <c r="C630" s="140">
        <f t="shared" si="6"/>
        <v>0.5560700324</v>
      </c>
      <c r="D630" s="141">
        <f t="shared" si="7"/>
        <v>0.09921884948</v>
      </c>
      <c r="E630" s="141">
        <f t="shared" si="8"/>
        <v>0.0243046033</v>
      </c>
      <c r="F630" s="140">
        <f t="shared" si="9"/>
        <v>0.6347338303</v>
      </c>
      <c r="G630" s="141">
        <f t="shared" si="10"/>
        <v>0.06435864463</v>
      </c>
      <c r="H630" s="142">
        <f t="shared" si="11"/>
        <v>1</v>
      </c>
      <c r="I630" s="142">
        <f t="shared" si="12"/>
        <v>1</v>
      </c>
      <c r="J630" s="142">
        <f t="shared" si="13"/>
        <v>1</v>
      </c>
      <c r="K630" s="142">
        <f t="shared" si="14"/>
        <v>1</v>
      </c>
      <c r="L630" s="139">
        <f>Assumptions!$C$6*Assumptions!$C$7*(1+$G630-0.05*(1-1))^1+Assumptions!$C$6*Assumptions!$C$8*(1+Assumptions!$C$11)^1+Assumptions!$C$16*1+Assumptions!$C$6*Assumptions!$C$9*(1+Assumptions!$C$12)^1</f>
        <v>748.1311198</v>
      </c>
      <c r="M630" s="139">
        <f>Assumptions!$C$6*Assumptions!$C$7*(1+$G630-0.05*(1-$H630))^2+Assumptions!$C$6*Assumptions!$C$8*(1+Assumptions!$C$11)^2+Assumptions!$C$16*$H630+Assumptions!$C$6*Assumptions!$C$9*(1+Assumptions!$C$12)^2</f>
        <v>777.7858086</v>
      </c>
      <c r="N630" s="139">
        <f>Assumptions!$C$6*Assumptions!$C$7*(1+$G630-0.05*(1-$I630))^3+Assumptions!$C$6*Assumptions!$C$8*(1+Assumptions!$C$11)^3+Assumptions!$C$16*$I630+Assumptions!$C$6*Assumptions!$C$9*(1+Assumptions!$C$12)^3</f>
        <v>809.056383</v>
      </c>
      <c r="O630" s="139">
        <f>Assumptions!$C$6*Assumptions!$C$7*(1+$G630-0.05*(1-$J630))^4+Assumptions!$C$6*Assumptions!$C$8*(1+Assumptions!$C$11)^4+Assumptions!$C$16*$J630+Assumptions!$C$6*Assumptions!$C$9*(1+Assumptions!$C$12)^4</f>
        <v>842.0409863</v>
      </c>
      <c r="P630" s="139">
        <f>Assumptions!$C$6*Assumptions!$C$7*(1+$G630-0.05*(1-$K630))^5+Assumptions!$C$6*Assumptions!$C$8*(1+Assumptions!$C$11)^5+Assumptions!$C$16*$K630+Assumptions!$C$6*Assumptions!$C$9*(1+Assumptions!$C$12)^5</f>
        <v>876.8439609</v>
      </c>
      <c r="Q630" s="139">
        <f>($L630*(1-(Assumptions!$C$25+0.06*(1-1))-Assumptions!$C$27)-Assumptions!$C$28)-MAX(0,($L630*(1-(Assumptions!$C$25+0.06*(1-1))-Assumptions!$C$27)-Assumptions!$C$28)*Assumptions!$C$31)+Assumptions!$C$28-Assumptions!$C$29-$L630*Assumptions!$C$30</f>
        <v>93.34819075</v>
      </c>
      <c r="R630" s="139">
        <f>($M630*(1-(Assumptions!$C$25+0.06*(1-$H630))-Assumptions!$C$27)-Assumptions!$C$28)-MAX(0,($M630*(1-(Assumptions!$C$25+0.06*(1-$H630))-Assumptions!$C$27)-Assumptions!$C$28)*Assumptions!$C$31)+Assumptions!$C$28-Assumptions!$C$29-$M630*Assumptions!$C$30</f>
        <v>99.72394885</v>
      </c>
      <c r="S630" s="139">
        <f>($N630*(1-(Assumptions!$C$25+0.06*(1-$I630))-Assumptions!$C$27)-Assumptions!$C$28)-MAX(0,($N630*(1-(Assumptions!$C$25+0.06*(1-$I630))-Assumptions!$C$27)-Assumptions!$C$28)*Assumptions!$C$31)+Assumptions!$C$28-Assumptions!$C$29-$N630*Assumptions!$C$30</f>
        <v>106.4471224</v>
      </c>
      <c r="T630" s="139">
        <f>($O630*(1-(Assumptions!$C$25+0.06*(1-$J630))-Assumptions!$C$27)-Assumptions!$C$28)-MAX(0,($O630*(1-(Assumptions!$C$25+0.06*(1-$J630))-Assumptions!$C$27)-Assumptions!$C$28)*Assumptions!$C$31)+Assumptions!$C$28-Assumptions!$C$29-$O630*Assumptions!$C$30</f>
        <v>113.5388121</v>
      </c>
      <c r="U630" s="139">
        <f>($P630*(1-(Assumptions!$C$25+0.06*(1-$K630))-Assumptions!$C$27)-Assumptions!$C$28)-MAX(0,($P630*(1-(Assumptions!$C$25+0.06*(1-$K630))-Assumptions!$C$27)-Assumptions!$C$28)*Assumptions!$C$31)+Assumptions!$C$28-Assumptions!$C$29-$P630*Assumptions!$C$30</f>
        <v>121.0214516</v>
      </c>
      <c r="V630" s="143">
        <f>(($Q630/(1+$D630)^1+$R630/(1+$D630)^2+$S630/(1+$D630)^3+$T630/(1+$D630)^4+$U630/(1+$D630)^5+$U630*(1+$E630)/($D630-$E630)/(1+$D630)^5)-Assumptions!$C$37)/Assumptions!$C$40/Assumptions!$C$38</f>
        <v>5.776464865</v>
      </c>
    </row>
    <row r="631" ht="12.0" customHeight="1">
      <c r="B631" s="139">
        <v>579.0</v>
      </c>
      <c r="C631" s="140">
        <f t="shared" si="6"/>
        <v>0.3956163416</v>
      </c>
      <c r="D631" s="141">
        <f t="shared" si="7"/>
        <v>0.0965864389</v>
      </c>
      <c r="E631" s="141">
        <f t="shared" si="8"/>
        <v>0.02691619362</v>
      </c>
      <c r="F631" s="140">
        <f t="shared" si="9"/>
        <v>0.7557909599</v>
      </c>
      <c r="G631" s="141">
        <f t="shared" si="10"/>
        <v>0.06903392569</v>
      </c>
      <c r="H631" s="142">
        <f t="shared" si="11"/>
        <v>1</v>
      </c>
      <c r="I631" s="142">
        <f t="shared" si="12"/>
        <v>1</v>
      </c>
      <c r="J631" s="142">
        <f t="shared" si="13"/>
        <v>0</v>
      </c>
      <c r="K631" s="142">
        <f t="shared" si="14"/>
        <v>1</v>
      </c>
      <c r="L631" s="139">
        <f>Assumptions!$C$6*Assumptions!$C$7*(1+$G631-0.05*(1-1))^1+Assumptions!$C$6*Assumptions!$C$8*(1+Assumptions!$C$11)^1+Assumptions!$C$16*1+Assumptions!$C$6*Assumptions!$C$9*(1+Assumptions!$C$12)^1</f>
        <v>749.7048194</v>
      </c>
      <c r="M631" s="139">
        <f>Assumptions!$C$6*Assumptions!$C$7*(1+$G631-0.05*(1-$H631))^2+Assumptions!$C$6*Assumptions!$C$8*(1+Assumptions!$C$11)^2+Assumptions!$C$16*$H631+Assumptions!$C$6*Assumptions!$C$9*(1+Assumptions!$C$12)^2</f>
        <v>781.1431276</v>
      </c>
      <c r="N631" s="139">
        <f>Assumptions!$C$6*Assumptions!$C$7*(1+$G631-0.05*(1-$I631))^3+Assumptions!$C$6*Assumptions!$C$8*(1+Assumptions!$C$11)^3+Assumptions!$C$16*$I631+Assumptions!$C$6*Assumptions!$C$9*(1+Assumptions!$C$12)^3</f>
        <v>814.4282513</v>
      </c>
      <c r="O631" s="139">
        <f>Assumptions!$C$6*Assumptions!$C$7*(1+$G631-0.05*(1-$J631))^4+Assumptions!$C$6*Assumptions!$C$8*(1+Assumptions!$C$11)^4+Assumptions!$C$16*$J631+Assumptions!$C$6*Assumptions!$C$9*(1+Assumptions!$C$12)^4</f>
        <v>713.0268483</v>
      </c>
      <c r="P631" s="139">
        <f>Assumptions!$C$6*Assumptions!$C$7*(1+$G631-0.05*(1-$K631))^5+Assumptions!$C$6*Assumptions!$C$8*(1+Assumptions!$C$11)^5+Assumptions!$C$16*$K631+Assumptions!$C$6*Assumptions!$C$9*(1+Assumptions!$C$12)^5</f>
        <v>887.031262</v>
      </c>
      <c r="Q631" s="139">
        <f>($L631*(1-(Assumptions!$C$25+0.06*(1-1))-Assumptions!$C$27)-Assumptions!$C$28)-MAX(0,($L631*(1-(Assumptions!$C$25+0.06*(1-1))-Assumptions!$C$27)-Assumptions!$C$28)*Assumptions!$C$31)+Assumptions!$C$28-Assumptions!$C$29-$L631*Assumptions!$C$30</f>
        <v>93.68653617</v>
      </c>
      <c r="R631" s="139">
        <f>($M631*(1-(Assumptions!$C$25+0.06*(1-$H631))-Assumptions!$C$27)-Assumptions!$C$28)-MAX(0,($M631*(1-(Assumptions!$C$25+0.06*(1-$H631))-Assumptions!$C$27)-Assumptions!$C$28)*Assumptions!$C$31)+Assumptions!$C$28-Assumptions!$C$29-$M631*Assumptions!$C$30</f>
        <v>100.4457724</v>
      </c>
      <c r="S631" s="139">
        <f>($N631*(1-(Assumptions!$C$25+0.06*(1-$I631))-Assumptions!$C$27)-Assumptions!$C$28)-MAX(0,($N631*(1-(Assumptions!$C$25+0.06*(1-$I631))-Assumptions!$C$27)-Assumptions!$C$28)*Assumptions!$C$31)+Assumptions!$C$28-Assumptions!$C$29-$N631*Assumptions!$C$30</f>
        <v>107.602074</v>
      </c>
      <c r="T631" s="139">
        <f>($O631*(1-(Assumptions!$C$25+0.06*(1-$J631))-Assumptions!$C$27)-Assumptions!$C$28)-MAX(0,($O631*(1-(Assumptions!$C$25+0.06*(1-$J631))-Assumptions!$C$27)-Assumptions!$C$28)*Assumptions!$C$31)+Assumptions!$C$28-Assumptions!$C$29-$O631*Assumptions!$C$30</f>
        <v>43.99617512</v>
      </c>
      <c r="U631" s="139">
        <f>($P631*(1-(Assumptions!$C$25+0.06*(1-$K631))-Assumptions!$C$27)-Assumptions!$C$28)-MAX(0,($P631*(1-(Assumptions!$C$25+0.06*(1-$K631))-Assumptions!$C$27)-Assumptions!$C$28)*Assumptions!$C$31)+Assumptions!$C$28-Assumptions!$C$29-$P631*Assumptions!$C$30</f>
        <v>123.2117213</v>
      </c>
      <c r="V631" s="143">
        <f>(($Q631/(1+$D631)^1+$R631/(1+$D631)^2+$S631/(1+$D631)^3+$T631/(1+$D631)^4+$U631/(1+$D631)^5+$U631*(1+$E631)/($D631-$E631)/(1+$D631)^5)-Assumptions!$C$37)/Assumptions!$C$40/Assumptions!$C$38</f>
        <v>6.339243101</v>
      </c>
    </row>
    <row r="632" ht="12.0" customHeight="1">
      <c r="B632" s="139">
        <v>580.0</v>
      </c>
      <c r="C632" s="140">
        <f t="shared" si="6"/>
        <v>0.8937640992</v>
      </c>
      <c r="D632" s="141">
        <f t="shared" si="7"/>
        <v>0.1072800039</v>
      </c>
      <c r="E632" s="141">
        <f t="shared" si="8"/>
        <v>0.02485888466</v>
      </c>
      <c r="F632" s="140">
        <f t="shared" si="9"/>
        <v>0.1878344551</v>
      </c>
      <c r="G632" s="141">
        <f t="shared" si="10"/>
        <v>0.04838755066</v>
      </c>
      <c r="H632" s="142">
        <f t="shared" si="11"/>
        <v>1</v>
      </c>
      <c r="I632" s="142">
        <f t="shared" si="12"/>
        <v>1</v>
      </c>
      <c r="J632" s="142">
        <f t="shared" si="13"/>
        <v>1</v>
      </c>
      <c r="K632" s="142">
        <f t="shared" si="14"/>
        <v>1</v>
      </c>
      <c r="L632" s="139">
        <f>Assumptions!$C$6*Assumptions!$C$7*(1+$G632-0.05*(1-1))^1+Assumptions!$C$6*Assumptions!$C$8*(1+Assumptions!$C$11)^1+Assumptions!$C$16*1+Assumptions!$C$6*Assumptions!$C$9*(1+Assumptions!$C$12)^1</f>
        <v>742.7552496</v>
      </c>
      <c r="M632" s="139">
        <f>Assumptions!$C$6*Assumptions!$C$7*(1+$G632-0.05*(1-$H632))^2+Assumptions!$C$6*Assumptions!$C$8*(1+Assumptions!$C$11)^2+Assumptions!$C$16*$H632+Assumptions!$C$6*Assumptions!$C$9*(1+Assumptions!$C$12)^2</f>
        <v>766.4279592</v>
      </c>
      <c r="N632" s="139">
        <f>Assumptions!$C$6*Assumptions!$C$7*(1+$G632-0.05*(1-$I632))^3+Assumptions!$C$6*Assumptions!$C$8*(1+Assumptions!$C$11)^3+Assumptions!$C$16*$I632+Assumptions!$C$6*Assumptions!$C$9*(1+Assumptions!$C$12)^3</f>
        <v>791.0588504</v>
      </c>
      <c r="O632" s="139">
        <f>Assumptions!$C$6*Assumptions!$C$7*(1+$G632-0.05*(1-$J632))^4+Assumptions!$C$6*Assumptions!$C$8*(1+Assumptions!$C$11)^4+Assumptions!$C$16*$J632+Assumptions!$C$6*Assumptions!$C$9*(1+Assumptions!$C$12)^4</f>
        <v>816.6905416</v>
      </c>
      <c r="P632" s="139">
        <f>Assumptions!$C$6*Assumptions!$C$7*(1+$G632-0.05*(1-$K632))^5+Assumptions!$C$6*Assumptions!$C$8*(1+Assumptions!$C$11)^5+Assumptions!$C$16*$K632+Assumptions!$C$6*Assumptions!$C$9*(1+Assumptions!$C$12)^5</f>
        <v>843.3676384</v>
      </c>
      <c r="Q632" s="139">
        <f>($L632*(1-(Assumptions!$C$25+0.06*(1-1))-Assumptions!$C$27)-Assumptions!$C$28)-MAX(0,($L632*(1-(Assumptions!$C$25+0.06*(1-1))-Assumptions!$C$27)-Assumptions!$C$28)*Assumptions!$C$31)+Assumptions!$C$28-Assumptions!$C$29-$L632*Assumptions!$C$30</f>
        <v>92.19237865</v>
      </c>
      <c r="R632" s="139">
        <f>($M632*(1-(Assumptions!$C$25+0.06*(1-$H632))-Assumptions!$C$27)-Assumptions!$C$28)-MAX(0,($M632*(1-(Assumptions!$C$25+0.06*(1-$H632))-Assumptions!$C$27)-Assumptions!$C$28)*Assumptions!$C$31)+Assumptions!$C$28-Assumptions!$C$29-$M632*Assumptions!$C$30</f>
        <v>97.28201123</v>
      </c>
      <c r="S632" s="139">
        <f>($N632*(1-(Assumptions!$C$25+0.06*(1-$I632))-Assumptions!$C$27)-Assumptions!$C$28)-MAX(0,($N632*(1-(Assumptions!$C$25+0.06*(1-$I632))-Assumptions!$C$27)-Assumptions!$C$28)*Assumptions!$C$31)+Assumptions!$C$28-Assumptions!$C$29-$N632*Assumptions!$C$30</f>
        <v>102.5776528</v>
      </c>
      <c r="T632" s="139">
        <f>($O632*(1-(Assumptions!$C$25+0.06*(1-$J632))-Assumptions!$C$27)-Assumptions!$C$28)-MAX(0,($O632*(1-(Assumptions!$C$25+0.06*(1-$J632))-Assumptions!$C$27)-Assumptions!$C$28)*Assumptions!$C$31)+Assumptions!$C$28-Assumptions!$C$29-$O632*Assumptions!$C$30</f>
        <v>108.0884664</v>
      </c>
      <c r="U632" s="139">
        <f>($P632*(1-(Assumptions!$C$25+0.06*(1-$K632))-Assumptions!$C$27)-Assumptions!$C$28)-MAX(0,($P632*(1-(Assumptions!$C$25+0.06*(1-$K632))-Assumptions!$C$27)-Assumptions!$C$28)*Assumptions!$C$31)+Assumptions!$C$28-Assumptions!$C$29-$P632*Assumptions!$C$30</f>
        <v>113.8240423</v>
      </c>
      <c r="V632" s="143">
        <f>(($Q632/(1+$D632)^1+$R632/(1+$D632)^2+$S632/(1+$D632)^3+$T632/(1+$D632)^4+$U632/(1+$D632)^5+$U632*(1+$E632)/($D632-$E632)/(1+$D632)^5)-Assumptions!$C$37)/Assumptions!$C$40/Assumptions!$C$38</f>
        <v>4.191113223</v>
      </c>
    </row>
    <row r="633" ht="12.0" customHeight="1">
      <c r="B633" s="139">
        <v>581.0</v>
      </c>
      <c r="C633" s="140">
        <f t="shared" si="6"/>
        <v>0.7243447905</v>
      </c>
      <c r="D633" s="141">
        <f t="shared" si="7"/>
        <v>0.1025644633</v>
      </c>
      <c r="E633" s="141">
        <f t="shared" si="8"/>
        <v>0.025013552</v>
      </c>
      <c r="F633" s="140">
        <f t="shared" si="9"/>
        <v>0.4460042788</v>
      </c>
      <c r="G633" s="141">
        <f t="shared" si="10"/>
        <v>0.0583338614</v>
      </c>
      <c r="H633" s="142">
        <f t="shared" si="11"/>
        <v>1</v>
      </c>
      <c r="I633" s="142">
        <f t="shared" si="12"/>
        <v>0</v>
      </c>
      <c r="J633" s="142">
        <f t="shared" si="13"/>
        <v>1</v>
      </c>
      <c r="K633" s="142">
        <f t="shared" si="14"/>
        <v>0</v>
      </c>
      <c r="L633" s="139">
        <f>Assumptions!$C$6*Assumptions!$C$7*(1+$G633-0.05*(1-1))^1+Assumptions!$C$6*Assumptions!$C$8*(1+Assumptions!$C$11)^1+Assumptions!$C$16*1+Assumptions!$C$6*Assumptions!$C$9*(1+Assumptions!$C$12)^1</f>
        <v>746.1031777</v>
      </c>
      <c r="M633" s="139">
        <f>Assumptions!$C$6*Assumptions!$C$7*(1+$G633-0.05*(1-$H633))^2+Assumptions!$C$6*Assumptions!$C$8*(1+Assumptions!$C$11)^2+Assumptions!$C$16*$H633+Assumptions!$C$6*Assumptions!$C$9*(1+Assumptions!$C$12)^2</f>
        <v>773.4811112</v>
      </c>
      <c r="N633" s="139">
        <f>Assumptions!$C$6*Assumptions!$C$7*(1+$G633-0.05*(1-$I633))^3+Assumptions!$C$6*Assumptions!$C$8*(1+Assumptions!$C$11)^3+Assumptions!$C$16*$I633+Assumptions!$C$6*Assumptions!$C$9*(1+Assumptions!$C$12)^3</f>
        <v>688.2805292</v>
      </c>
      <c r="O633" s="139">
        <f>Assumptions!$C$6*Assumptions!$C$7*(1+$G633-0.05*(1-$J633))^4+Assumptions!$C$6*Assumptions!$C$8*(1+Assumptions!$C$11)^4+Assumptions!$C$16*$J633+Assumptions!$C$6*Assumptions!$C$9*(1+Assumptions!$C$12)^4</f>
        <v>832.342805</v>
      </c>
      <c r="P633" s="139">
        <f>Assumptions!$C$6*Assumptions!$C$7*(1+$G633-0.05*(1-$K633))^5+Assumptions!$C$6*Assumptions!$C$8*(1+Assumptions!$C$11)^5+Assumptions!$C$16*$K633+Assumptions!$C$6*Assumptions!$C$9*(1+Assumptions!$C$12)^5</f>
        <v>707.9213565</v>
      </c>
      <c r="Q633" s="139">
        <f>($L633*(1-(Assumptions!$C$25+0.06*(1-1))-Assumptions!$C$27)-Assumptions!$C$28)-MAX(0,($L633*(1-(Assumptions!$C$25+0.06*(1-1))-Assumptions!$C$27)-Assumptions!$C$28)*Assumptions!$C$31)+Assumptions!$C$28-Assumptions!$C$29-$L633*Assumptions!$C$30</f>
        <v>92.91218322</v>
      </c>
      <c r="R633" s="139">
        <f>($M633*(1-(Assumptions!$C$25+0.06*(1-$H633))-Assumptions!$C$27)-Assumptions!$C$28)-MAX(0,($M633*(1-(Assumptions!$C$25+0.06*(1-$H633))-Assumptions!$C$27)-Assumptions!$C$28)*Assumptions!$C$31)+Assumptions!$C$28-Assumptions!$C$29-$M633*Assumptions!$C$30</f>
        <v>98.79843891</v>
      </c>
      <c r="S633" s="139">
        <f>($N633*(1-(Assumptions!$C$25+0.06*(1-$I633))-Assumptions!$C$27)-Assumptions!$C$28)-MAX(0,($N633*(1-(Assumptions!$C$25+0.06*(1-$I633))-Assumptions!$C$27)-Assumptions!$C$28)*Assumptions!$C$31)+Assumptions!$C$28-Assumptions!$C$29-$N633*Assumptions!$C$30</f>
        <v>38.30452171</v>
      </c>
      <c r="T633" s="139">
        <f>($O633*(1-(Assumptions!$C$25+0.06*(1-$J633))-Assumptions!$C$27)-Assumptions!$C$28)-MAX(0,($O633*(1-(Assumptions!$C$25+0.06*(1-$J633))-Assumptions!$C$27)-Assumptions!$C$28)*Assumptions!$C$31)+Assumptions!$C$28-Assumptions!$C$29-$O633*Assumptions!$C$30</f>
        <v>111.4537031</v>
      </c>
      <c r="U633" s="139">
        <f>($P633*(1-(Assumptions!$C$25+0.06*(1-$K633))-Assumptions!$C$27)-Assumptions!$C$28)-MAX(0,($P633*(1-(Assumptions!$C$25+0.06*(1-$K633))-Assumptions!$C$27)-Assumptions!$C$28)*Assumptions!$C$31)+Assumptions!$C$28-Assumptions!$C$29-$P633*Assumptions!$C$30</f>
        <v>42.821912</v>
      </c>
      <c r="V633" s="143">
        <f>(($Q633/(1+$D633)^1+$R633/(1+$D633)^2+$S633/(1+$D633)^3+$T633/(1+$D633)^4+$U633/(1+$D633)^5+$U633*(1+$E633)/($D633-$E633)/(1+$D633)^5)-Assumptions!$C$37)/Assumptions!$C$40/Assumptions!$C$38</f>
        <v>-0.3785948776</v>
      </c>
    </row>
    <row r="634" ht="12.0" customHeight="1">
      <c r="B634" s="139">
        <v>582.0</v>
      </c>
      <c r="C634" s="140">
        <f t="shared" si="6"/>
        <v>0.8684483206</v>
      </c>
      <c r="D634" s="141">
        <f t="shared" si="7"/>
        <v>0.1064092787</v>
      </c>
      <c r="E634" s="141">
        <f t="shared" si="8"/>
        <v>0.01303240918</v>
      </c>
      <c r="F634" s="140">
        <f t="shared" si="9"/>
        <v>0.02858345764</v>
      </c>
      <c r="G634" s="141">
        <f t="shared" si="10"/>
        <v>0.03717288113</v>
      </c>
      <c r="H634" s="142">
        <f t="shared" si="11"/>
        <v>1</v>
      </c>
      <c r="I634" s="142">
        <f t="shared" si="12"/>
        <v>1</v>
      </c>
      <c r="J634" s="142">
        <f t="shared" si="13"/>
        <v>0</v>
      </c>
      <c r="K634" s="142">
        <f t="shared" si="14"/>
        <v>0</v>
      </c>
      <c r="L634" s="139">
        <f>Assumptions!$C$6*Assumptions!$C$7*(1+$G634-0.05*(1-1))^1+Assumptions!$C$6*Assumptions!$C$8*(1+Assumptions!$C$11)^1+Assumptions!$C$16*1+Assumptions!$C$6*Assumptions!$C$9*(1+Assumptions!$C$12)^1</f>
        <v>738.9803918</v>
      </c>
      <c r="M634" s="139">
        <f>Assumptions!$C$6*Assumptions!$C$7*(1+$G634-0.05*(1-$H634))^2+Assumptions!$C$6*Assumptions!$C$8*(1+Assumptions!$C$11)^2+Assumptions!$C$16*$H634+Assumptions!$C$6*Assumptions!$C$9*(1+Assumptions!$C$12)^2</f>
        <v>758.5552652</v>
      </c>
      <c r="N634" s="139">
        <f>Assumptions!$C$6*Assumptions!$C$7*(1+$G634-0.05*(1-$I634))^3+Assumptions!$C$6*Assumptions!$C$8*(1+Assumptions!$C$11)^3+Assumptions!$C$16*$I634+Assumptions!$C$6*Assumptions!$C$9*(1+Assumptions!$C$12)^3</f>
        <v>778.7444974</v>
      </c>
      <c r="O634" s="139">
        <f>Assumptions!$C$6*Assumptions!$C$7*(1+$G634-0.05*(1-$J634))^4+Assumptions!$C$6*Assumptions!$C$8*(1+Assumptions!$C$11)^4+Assumptions!$C$16*$J634+Assumptions!$C$6*Assumptions!$C$9*(1+Assumptions!$C$12)^4</f>
        <v>669.7175901</v>
      </c>
      <c r="P634" s="139">
        <f>Assumptions!$C$6*Assumptions!$C$7*(1+$G634-0.05*(1-$K634))^5+Assumptions!$C$6*Assumptions!$C$8*(1+Assumptions!$C$11)^5+Assumptions!$C$16*$K634+Assumptions!$C$6*Assumptions!$C$9*(1+Assumptions!$C$12)^5</f>
        <v>672.6184569</v>
      </c>
      <c r="Q634" s="139">
        <f>($L634*(1-(Assumptions!$C$25+0.06*(1-1))-Assumptions!$C$27)-Assumptions!$C$28)-MAX(0,($L634*(1-(Assumptions!$C$25+0.06*(1-1))-Assumptions!$C$27)-Assumptions!$C$28)*Assumptions!$C$31)+Assumptions!$C$28-Assumptions!$C$29-$L634*Assumptions!$C$30</f>
        <v>91.38078423</v>
      </c>
      <c r="R634" s="139">
        <f>($M634*(1-(Assumptions!$C$25+0.06*(1-$H634))-Assumptions!$C$27)-Assumptions!$C$28)-MAX(0,($M634*(1-(Assumptions!$C$25+0.06*(1-$H634))-Assumptions!$C$27)-Assumptions!$C$28)*Assumptions!$C$31)+Assumptions!$C$28-Assumptions!$C$29-$M634*Assumptions!$C$30</f>
        <v>95.58938202</v>
      </c>
      <c r="S634" s="139">
        <f>($N634*(1-(Assumptions!$C$25+0.06*(1-$I634))-Assumptions!$C$27)-Assumptions!$C$28)-MAX(0,($N634*(1-(Assumptions!$C$25+0.06*(1-$I634))-Assumptions!$C$27)-Assumptions!$C$28)*Assumptions!$C$31)+Assumptions!$C$28-Assumptions!$C$29-$N634*Assumptions!$C$30</f>
        <v>99.93006695</v>
      </c>
      <c r="T634" s="139">
        <f>($O634*(1-(Assumptions!$C$25+0.06*(1-$J634))-Assumptions!$C$27)-Assumptions!$C$28)-MAX(0,($O634*(1-(Assumptions!$C$25+0.06*(1-$J634))-Assumptions!$C$27)-Assumptions!$C$28)*Assumptions!$C$31)+Assumptions!$C$28-Assumptions!$C$29-$O634*Assumptions!$C$30</f>
        <v>34.03504572</v>
      </c>
      <c r="U634" s="139">
        <f>($P634*(1-(Assumptions!$C$25+0.06*(1-$K634))-Assumptions!$C$27)-Assumptions!$C$28)-MAX(0,($P634*(1-(Assumptions!$C$25+0.06*(1-$K634))-Assumptions!$C$27)-Assumptions!$C$28)*Assumptions!$C$31)+Assumptions!$C$28-Assumptions!$C$29-$P634*Assumptions!$C$30</f>
        <v>34.70224509</v>
      </c>
      <c r="V634" s="143">
        <f>(($Q634/(1+$D634)^1+$R634/(1+$D634)^2+$S634/(1+$D634)^3+$T634/(1+$D634)^4+$U634/(1+$D634)^5+$U634*(1+$E634)/($D634-$E634)/(1+$D634)^5)-Assumptions!$C$37)/Assumptions!$C$40/Assumptions!$C$38</f>
        <v>-1.455633601</v>
      </c>
    </row>
    <row r="635" ht="12.0" customHeight="1">
      <c r="B635" s="139">
        <v>583.0</v>
      </c>
      <c r="C635" s="140">
        <f t="shared" si="6"/>
        <v>0.9023642504</v>
      </c>
      <c r="D635" s="141">
        <f t="shared" si="7"/>
        <v>0.1075990774</v>
      </c>
      <c r="E635" s="141">
        <f t="shared" si="8"/>
        <v>0.01090802161</v>
      </c>
      <c r="F635" s="140">
        <f t="shared" si="9"/>
        <v>0.9246673271</v>
      </c>
      <c r="G635" s="141">
        <f t="shared" si="10"/>
        <v>0.07835530974</v>
      </c>
      <c r="H635" s="142">
        <f t="shared" si="11"/>
        <v>1</v>
      </c>
      <c r="I635" s="142">
        <f t="shared" si="12"/>
        <v>1</v>
      </c>
      <c r="J635" s="142">
        <f t="shared" si="13"/>
        <v>1</v>
      </c>
      <c r="K635" s="142">
        <f t="shared" si="14"/>
        <v>0</v>
      </c>
      <c r="L635" s="139">
        <f>Assumptions!$C$6*Assumptions!$C$7*(1+$G635-0.05*(1-1))^1+Assumptions!$C$6*Assumptions!$C$8*(1+Assumptions!$C$11)^1+Assumptions!$C$16*1+Assumptions!$C$6*Assumptions!$C$9*(1+Assumptions!$C$12)^1</f>
        <v>752.8423973</v>
      </c>
      <c r="M635" s="139">
        <f>Assumptions!$C$6*Assumptions!$C$7*(1+$G635-0.05*(1-$H635))^2+Assumptions!$C$6*Assumptions!$C$8*(1+Assumptions!$C$11)^2+Assumptions!$C$16*$H635+Assumptions!$C$6*Assumptions!$C$9*(1+Assumptions!$C$12)^2</f>
        <v>787.8807286</v>
      </c>
      <c r="N635" s="139">
        <f>Assumptions!$C$6*Assumptions!$C$7*(1+$G635-0.05*(1-$I635))^3+Assumptions!$C$6*Assumptions!$C$8*(1+Assumptions!$C$11)^3+Assumptions!$C$16*$I635+Assumptions!$C$6*Assumptions!$C$9*(1+Assumptions!$C$12)^3</f>
        <v>825.2795082</v>
      </c>
      <c r="O635" s="139">
        <f>Assumptions!$C$6*Assumptions!$C$7*(1+$G635-0.05*(1-$J635))^4+Assumptions!$C$6*Assumptions!$C$8*(1+Assumptions!$C$11)^4+Assumptions!$C$16*$J635+Assumptions!$C$6*Assumptions!$C$9*(1+Assumptions!$C$12)^4</f>
        <v>865.21599</v>
      </c>
      <c r="P635" s="139">
        <f>Assumptions!$C$6*Assumptions!$C$7*(1+$G635-0.05*(1-$K635))^5+Assumptions!$C$6*Assumptions!$C$8*(1+Assumptions!$C$11)^5+Assumptions!$C$16*$K635+Assumptions!$C$6*Assumptions!$C$9*(1+Assumptions!$C$12)^5</f>
        <v>744.1658948</v>
      </c>
      <c r="Q635" s="139">
        <f>($L635*(1-(Assumptions!$C$25+0.06*(1-1))-Assumptions!$C$27)-Assumptions!$C$28)-MAX(0,($L635*(1-(Assumptions!$C$25+0.06*(1-1))-Assumptions!$C$27)-Assumptions!$C$28)*Assumptions!$C$31)+Assumptions!$C$28-Assumptions!$C$29-$L635*Assumptions!$C$30</f>
        <v>94.36111541</v>
      </c>
      <c r="R635" s="139">
        <f>($M635*(1-(Assumptions!$C$25+0.06*(1-$H635))-Assumptions!$C$27)-Assumptions!$C$28)-MAX(0,($M635*(1-(Assumptions!$C$25+0.06*(1-$H635))-Assumptions!$C$27)-Assumptions!$C$28)*Assumptions!$C$31)+Assumptions!$C$28-Assumptions!$C$29-$M635*Assumptions!$C$30</f>
        <v>101.8943566</v>
      </c>
      <c r="S635" s="139">
        <f>($N635*(1-(Assumptions!$C$25+0.06*(1-$I635))-Assumptions!$C$27)-Assumptions!$C$28)-MAX(0,($N635*(1-(Assumptions!$C$25+0.06*(1-$I635))-Assumptions!$C$27)-Assumptions!$C$28)*Assumptions!$C$31)+Assumptions!$C$28-Assumptions!$C$29-$N635*Assumptions!$C$30</f>
        <v>109.9350943</v>
      </c>
      <c r="T635" s="139">
        <f>($O635*(1-(Assumptions!$C$25+0.06*(1-$J635))-Assumptions!$C$27)-Assumptions!$C$28)-MAX(0,($O635*(1-(Assumptions!$C$25+0.06*(1-$J635))-Assumptions!$C$27)-Assumptions!$C$28)*Assumptions!$C$31)+Assumptions!$C$28-Assumptions!$C$29-$O635*Assumptions!$C$30</f>
        <v>118.5214379</v>
      </c>
      <c r="U635" s="139">
        <f>($P635*(1-(Assumptions!$C$25+0.06*(1-$K635))-Assumptions!$C$27)-Assumptions!$C$28)-MAX(0,($P635*(1-(Assumptions!$C$25+0.06*(1-$K635))-Assumptions!$C$27)-Assumptions!$C$28)*Assumptions!$C$31)+Assumptions!$C$28-Assumptions!$C$29-$P635*Assumptions!$C$30</f>
        <v>51.15815581</v>
      </c>
      <c r="V635" s="143">
        <f>(($Q635/(1+$D635)^1+$R635/(1+$D635)^2+$S635/(1+$D635)^3+$T635/(1+$D635)^4+$U635/(1+$D635)^5+$U635*(1+$E635)/($D635-$E635)/(1+$D635)^5)-Assumptions!$C$37)/Assumptions!$C$40/Assumptions!$C$38</f>
        <v>-0.09542424103</v>
      </c>
    </row>
    <row r="636" ht="12.0" customHeight="1">
      <c r="B636" s="139">
        <v>584.0</v>
      </c>
      <c r="C636" s="140">
        <f t="shared" si="6"/>
        <v>0.1616009025</v>
      </c>
      <c r="D636" s="141">
        <f t="shared" si="7"/>
        <v>0.09240153403</v>
      </c>
      <c r="E636" s="141">
        <f t="shared" si="8"/>
        <v>0.02151258008</v>
      </c>
      <c r="F636" s="140">
        <f t="shared" si="9"/>
        <v>0.8143108615</v>
      </c>
      <c r="G636" s="141">
        <f t="shared" si="10"/>
        <v>0.0717177559</v>
      </c>
      <c r="H636" s="142">
        <f t="shared" si="11"/>
        <v>1</v>
      </c>
      <c r="I636" s="142">
        <f t="shared" si="12"/>
        <v>0</v>
      </c>
      <c r="J636" s="142">
        <f t="shared" si="13"/>
        <v>1</v>
      </c>
      <c r="K636" s="142">
        <f t="shared" si="14"/>
        <v>0</v>
      </c>
      <c r="L636" s="139">
        <f>Assumptions!$C$6*Assumptions!$C$7*(1+$G636-0.05*(1-1))^1+Assumptions!$C$6*Assumptions!$C$8*(1+Assumptions!$C$11)^1+Assumptions!$C$16*1+Assumptions!$C$6*Assumptions!$C$9*(1+Assumptions!$C$12)^1</f>
        <v>750.6081966</v>
      </c>
      <c r="M636" s="139">
        <f>Assumptions!$C$6*Assumptions!$C$7*(1+$G636-0.05*(1-$H636))^2+Assumptions!$C$6*Assumptions!$C$8*(1+Assumptions!$C$11)^2+Assumptions!$C$16*$H636+Assumptions!$C$6*Assumptions!$C$9*(1+Assumptions!$C$12)^2</f>
        <v>783.077034</v>
      </c>
      <c r="N636" s="139">
        <f>Assumptions!$C$6*Assumptions!$C$7*(1+$G636-0.05*(1-$I636))^3+Assumptions!$C$6*Assumptions!$C$8*(1+Assumptions!$C$11)^3+Assumptions!$C$16*$I636+Assumptions!$C$6*Assumptions!$C$9*(1+Assumptions!$C$12)^3</f>
        <v>702.2049882</v>
      </c>
      <c r="O636" s="139">
        <f>Assumptions!$C$6*Assumptions!$C$7*(1+$G636-0.05*(1-$J636))^4+Assumptions!$C$6*Assumptions!$C$8*(1+Assumptions!$C$11)^4+Assumptions!$C$16*$J636+Assumptions!$C$6*Assumptions!$C$9*(1+Assumptions!$C$12)^4</f>
        <v>854.1125905</v>
      </c>
      <c r="P636" s="139">
        <f>Assumptions!$C$6*Assumptions!$C$7*(1+$G636-0.05*(1-$K636))^5+Assumptions!$C$6*Assumptions!$C$8*(1+Assumptions!$C$11)^5+Assumptions!$C$16*$K636+Assumptions!$C$6*Assumptions!$C$9*(1+Assumptions!$C$12)^5</f>
        <v>731.833181</v>
      </c>
      <c r="Q636" s="139">
        <f>($L636*(1-(Assumptions!$C$25+0.06*(1-1))-Assumptions!$C$27)-Assumptions!$C$28)-MAX(0,($L636*(1-(Assumptions!$C$25+0.06*(1-1))-Assumptions!$C$27)-Assumptions!$C$28)*Assumptions!$C$31)+Assumptions!$C$28-Assumptions!$C$29-$L636*Assumptions!$C$30</f>
        <v>93.88076228</v>
      </c>
      <c r="R636" s="139">
        <f>($M636*(1-(Assumptions!$C$25+0.06*(1-$H636))-Assumptions!$C$27)-Assumptions!$C$28)-MAX(0,($M636*(1-(Assumptions!$C$25+0.06*(1-$H636))-Assumptions!$C$27)-Assumptions!$C$28)*Assumptions!$C$31)+Assumptions!$C$28-Assumptions!$C$29-$M636*Assumptions!$C$30</f>
        <v>100.8615623</v>
      </c>
      <c r="S636" s="139">
        <f>($N636*(1-(Assumptions!$C$25+0.06*(1-$I636))-Assumptions!$C$27)-Assumptions!$C$28)-MAX(0,($N636*(1-(Assumptions!$C$25+0.06*(1-$I636))-Assumptions!$C$27)-Assumptions!$C$28)*Assumptions!$C$31)+Assumptions!$C$28-Assumptions!$C$29-$N636*Assumptions!$C$30</f>
        <v>41.5071473</v>
      </c>
      <c r="T636" s="139">
        <f>($O636*(1-(Assumptions!$C$25+0.06*(1-$J636))-Assumptions!$C$27)-Assumptions!$C$28)-MAX(0,($O636*(1-(Assumptions!$C$25+0.06*(1-$J636))-Assumptions!$C$27)-Assumptions!$C$28)*Assumptions!$C$31)+Assumptions!$C$28-Assumptions!$C$29-$O636*Assumptions!$C$30</f>
        <v>116.134207</v>
      </c>
      <c r="U636" s="139">
        <f>($P636*(1-(Assumptions!$C$25+0.06*(1-$K636))-Assumptions!$C$27)-Assumptions!$C$28)-MAX(0,($P636*(1-(Assumptions!$C$25+0.06*(1-$K636))-Assumptions!$C$27)-Assumptions!$C$28)*Assumptions!$C$31)+Assumptions!$C$28-Assumptions!$C$29-$P636*Assumptions!$C$30</f>
        <v>48.32163162</v>
      </c>
      <c r="V636" s="143">
        <f>(($Q636/(1+$D636)^1+$R636/(1+$D636)^2+$S636/(1+$D636)^3+$T636/(1+$D636)^4+$U636/(1+$D636)^5+$U636*(1+$E636)/($D636-$E636)/(1+$D636)^5)-Assumptions!$C$37)/Assumptions!$C$40/Assumptions!$C$38</f>
        <v>0.5526689119</v>
      </c>
    </row>
    <row r="637" ht="12.0" customHeight="1">
      <c r="B637" s="139">
        <v>585.0</v>
      </c>
      <c r="C637" s="140">
        <f t="shared" si="6"/>
        <v>0.7712048625</v>
      </c>
      <c r="D637" s="141">
        <f t="shared" si="7"/>
        <v>0.1036706544</v>
      </c>
      <c r="E637" s="141">
        <f t="shared" si="8"/>
        <v>0.01064023449</v>
      </c>
      <c r="F637" s="140">
        <f t="shared" si="9"/>
        <v>0.7790097582</v>
      </c>
      <c r="G637" s="141">
        <f t="shared" si="10"/>
        <v>0.07005551617</v>
      </c>
      <c r="H637" s="142">
        <f t="shared" si="11"/>
        <v>0</v>
      </c>
      <c r="I637" s="142">
        <f t="shared" si="12"/>
        <v>1</v>
      </c>
      <c r="J637" s="142">
        <f t="shared" si="13"/>
        <v>1</v>
      </c>
      <c r="K637" s="142">
        <f t="shared" si="14"/>
        <v>0</v>
      </c>
      <c r="L637" s="139">
        <f>Assumptions!$C$6*Assumptions!$C$7*(1+$G637-0.05*(1-1))^1+Assumptions!$C$6*Assumptions!$C$8*(1+Assumptions!$C$11)^1+Assumptions!$C$16*1+Assumptions!$C$6*Assumptions!$C$9*(1+Assumptions!$C$12)^1</f>
        <v>750.0486867</v>
      </c>
      <c r="M637" s="139">
        <f>Assumptions!$C$6*Assumptions!$C$7*(1+$G637-0.05*(1-$H637))^2+Assumptions!$C$6*Assumptions!$C$8*(1+Assumptions!$C$11)^2+Assumptions!$C$16*$H637+Assumptions!$C$6*Assumptions!$C$9*(1+Assumptions!$C$12)^2</f>
        <v>686.702122</v>
      </c>
      <c r="N637" s="139">
        <f>Assumptions!$C$6*Assumptions!$C$7*(1+$G637-0.05*(1-$I637))^3+Assumptions!$C$6*Assumptions!$C$8*(1+Assumptions!$C$11)^3+Assumptions!$C$16*$I637+Assumptions!$C$6*Assumptions!$C$9*(1+Assumptions!$C$12)^3</f>
        <v>815.6083277</v>
      </c>
      <c r="O637" s="139">
        <f>Assumptions!$C$6*Assumptions!$C$7*(1+$G637-0.05*(1-$J637))^4+Assumptions!$C$6*Assumptions!$C$8*(1+Assumptions!$C$11)^4+Assumptions!$C$16*$J637+Assumptions!$C$6*Assumptions!$C$9*(1+Assumptions!$C$12)^4</f>
        <v>851.3640729</v>
      </c>
      <c r="P637" s="139">
        <f>Assumptions!$C$6*Assumptions!$C$7*(1+$G637-0.05*(1-$K637))^5+Assumptions!$C$6*Assumptions!$C$8*(1+Assumptions!$C$11)^5+Assumptions!$C$16*$K637+Assumptions!$C$6*Assumptions!$C$9*(1+Assumptions!$C$12)^5</f>
        <v>728.7944768</v>
      </c>
      <c r="Q637" s="139">
        <f>($L637*(1-(Assumptions!$C$25+0.06*(1-1))-Assumptions!$C$27)-Assumptions!$C$28)-MAX(0,($L637*(1-(Assumptions!$C$25+0.06*(1-1))-Assumptions!$C$27)-Assumptions!$C$28)*Assumptions!$C$31)+Assumptions!$C$28-Assumptions!$C$29-$L637*Assumptions!$C$30</f>
        <v>93.76046765</v>
      </c>
      <c r="R637" s="139">
        <f>($M637*(1-(Assumptions!$C$25+0.06*(1-$H637))-Assumptions!$C$27)-Assumptions!$C$28)-MAX(0,($M637*(1-(Assumptions!$C$25+0.06*(1-$H637))-Assumptions!$C$27)-Assumptions!$C$28)*Assumptions!$C$31)+Assumptions!$C$28-Assumptions!$C$29-$M637*Assumptions!$C$30</f>
        <v>37.94148806</v>
      </c>
      <c r="S637" s="139">
        <f>($N637*(1-(Assumptions!$C$25+0.06*(1-$I637))-Assumptions!$C$27)-Assumptions!$C$28)-MAX(0,($N637*(1-(Assumptions!$C$25+0.06*(1-$I637))-Assumptions!$C$27)-Assumptions!$C$28)*Assumptions!$C$31)+Assumptions!$C$28-Assumptions!$C$29-$N637*Assumptions!$C$30</f>
        <v>107.8557905</v>
      </c>
      <c r="T637" s="139">
        <f>($O637*(1-(Assumptions!$C$25+0.06*(1-$J637))-Assumptions!$C$27)-Assumptions!$C$28)-MAX(0,($O637*(1-(Assumptions!$C$25+0.06*(1-$J637))-Assumptions!$C$27)-Assumptions!$C$28)*Assumptions!$C$31)+Assumptions!$C$28-Assumptions!$C$29-$O637*Assumptions!$C$30</f>
        <v>115.5432757</v>
      </c>
      <c r="U637" s="139">
        <f>($P637*(1-(Assumptions!$C$25+0.06*(1-$K637))-Assumptions!$C$27)-Assumptions!$C$28)-MAX(0,($P637*(1-(Assumptions!$C$25+0.06*(1-$K637))-Assumptions!$C$27)-Assumptions!$C$28)*Assumptions!$C$31)+Assumptions!$C$28-Assumptions!$C$29-$P637*Assumptions!$C$30</f>
        <v>47.62272966</v>
      </c>
      <c r="V637" s="143">
        <f>(($Q637/(1+$D637)^1+$R637/(1+$D637)^2+$S637/(1+$D637)^3+$T637/(1+$D637)^4+$U637/(1+$D637)^5+$U637*(1+$E637)/($D637-$E637)/(1+$D637)^5)-Assumptions!$C$37)/Assumptions!$C$40/Assumptions!$C$38</f>
        <v>-0.5656924438</v>
      </c>
    </row>
    <row r="638" ht="12.0" customHeight="1">
      <c r="B638" s="139">
        <v>586.0</v>
      </c>
      <c r="C638" s="140">
        <f t="shared" si="6"/>
        <v>0.575049783</v>
      </c>
      <c r="D638" s="141">
        <f t="shared" si="7"/>
        <v>0.09955988757</v>
      </c>
      <c r="E638" s="141">
        <f t="shared" si="8"/>
        <v>0.01323871062</v>
      </c>
      <c r="F638" s="140">
        <f t="shared" si="9"/>
        <v>0.6975087741</v>
      </c>
      <c r="G638" s="141">
        <f t="shared" si="10"/>
        <v>0.06666581463</v>
      </c>
      <c r="H638" s="142">
        <f t="shared" si="11"/>
        <v>0</v>
      </c>
      <c r="I638" s="142">
        <f t="shared" si="12"/>
        <v>0</v>
      </c>
      <c r="J638" s="142">
        <f t="shared" si="13"/>
        <v>0</v>
      </c>
      <c r="K638" s="142">
        <f t="shared" si="14"/>
        <v>1</v>
      </c>
      <c r="L638" s="139">
        <f>Assumptions!$C$6*Assumptions!$C$7*(1+$G638-0.05*(1-1))^1+Assumptions!$C$6*Assumptions!$C$8*(1+Assumptions!$C$11)^1+Assumptions!$C$16*1+Assumptions!$C$6*Assumptions!$C$9*(1+Assumptions!$C$12)^1</f>
        <v>748.9077132</v>
      </c>
      <c r="M638" s="139">
        <f>Assumptions!$C$6*Assumptions!$C$7*(1+$G638-0.05*(1-$H638))^2+Assumptions!$C$6*Assumptions!$C$8*(1+Assumptions!$C$11)^2+Assumptions!$C$16*$H638+Assumptions!$C$6*Assumptions!$C$9*(1+Assumptions!$C$12)^2</f>
        <v>684.3782769</v>
      </c>
      <c r="N638" s="139">
        <f>Assumptions!$C$6*Assumptions!$C$7*(1+$G638-0.05*(1-$I638))^3+Assumptions!$C$6*Assumptions!$C$8*(1+Assumptions!$C$11)^3+Assumptions!$C$16*$I638+Assumptions!$C$6*Assumptions!$C$9*(1+Assumptions!$C$12)^3</f>
        <v>696.9058362</v>
      </c>
      <c r="O638" s="139">
        <f>Assumptions!$C$6*Assumptions!$C$7*(1+$G638-0.05*(1-$J638))^4+Assumptions!$C$6*Assumptions!$C$8*(1+Assumptions!$C$11)^4+Assumptions!$C$16*$J638+Assumptions!$C$6*Assumptions!$C$9*(1+Assumptions!$C$12)^4</f>
        <v>709.6646144</v>
      </c>
      <c r="P638" s="139">
        <f>Assumptions!$C$6*Assumptions!$C$7*(1+$G638-0.05*(1-$K638))^5+Assumptions!$C$6*Assumptions!$C$8*(1+Assumptions!$C$11)^5+Assumptions!$C$16*$K638+Assumptions!$C$6*Assumptions!$C$9*(1+Assumptions!$C$12)^5</f>
        <v>881.8488965</v>
      </c>
      <c r="Q638" s="139">
        <f>($L638*(1-(Assumptions!$C$25+0.06*(1-1))-Assumptions!$C$27)-Assumptions!$C$28)-MAX(0,($L638*(1-(Assumptions!$C$25+0.06*(1-1))-Assumptions!$C$27)-Assumptions!$C$28)*Assumptions!$C$31)+Assumptions!$C$28-Assumptions!$C$29-$L638*Assumptions!$C$30</f>
        <v>93.51515834</v>
      </c>
      <c r="R638" s="139">
        <f>($M638*(1-(Assumptions!$C$25+0.06*(1-$H638))-Assumptions!$C$27)-Assumptions!$C$28)-MAX(0,($M638*(1-(Assumptions!$C$25+0.06*(1-$H638))-Assumptions!$C$27)-Assumptions!$C$28)*Assumptions!$C$31)+Assumptions!$C$28-Assumptions!$C$29-$M638*Assumptions!$C$30</f>
        <v>37.40700368</v>
      </c>
      <c r="S638" s="139">
        <f>($N638*(1-(Assumptions!$C$25+0.06*(1-$I638))-Assumptions!$C$27)-Assumptions!$C$28)-MAX(0,($N638*(1-(Assumptions!$C$25+0.06*(1-$I638))-Assumptions!$C$27)-Assumptions!$C$28)*Assumptions!$C$31)+Assumptions!$C$28-Assumptions!$C$29-$N638*Assumptions!$C$30</f>
        <v>40.28834233</v>
      </c>
      <c r="T638" s="139">
        <f>($O638*(1-(Assumptions!$C$25+0.06*(1-$J638))-Assumptions!$C$27)-Assumptions!$C$28)-MAX(0,($O638*(1-(Assumptions!$C$25+0.06*(1-$J638))-Assumptions!$C$27)-Assumptions!$C$28)*Assumptions!$C$31)+Assumptions!$C$28-Assumptions!$C$29-$O638*Assumptions!$C$30</f>
        <v>43.2228613</v>
      </c>
      <c r="U638" s="139">
        <f>($P638*(1-(Assumptions!$C$25+0.06*(1-$K638))-Assumptions!$C$27)-Assumptions!$C$28)-MAX(0,($P638*(1-(Assumptions!$C$25+0.06*(1-$K638))-Assumptions!$C$27)-Assumptions!$C$28)*Assumptions!$C$31)+Assumptions!$C$28-Assumptions!$C$29-$P638*Assumptions!$C$30</f>
        <v>122.0975127</v>
      </c>
      <c r="V638" s="143">
        <f>(($Q638/(1+$D638)^1+$R638/(1+$D638)^2+$S638/(1+$D638)^3+$T638/(1+$D638)^4+$U638/(1+$D638)^5+$U638*(1+$E638)/($D638-$E638)/(1+$D638)^5)-Assumptions!$C$37)/Assumptions!$C$40/Assumptions!$C$38</f>
        <v>3.525849372</v>
      </c>
    </row>
    <row r="639" ht="12.0" customHeight="1">
      <c r="B639" s="139">
        <v>587.0</v>
      </c>
      <c r="C639" s="140">
        <f t="shared" si="6"/>
        <v>0.4604599101</v>
      </c>
      <c r="D639" s="141">
        <f t="shared" si="7"/>
        <v>0.0976022418</v>
      </c>
      <c r="E639" s="141">
        <f t="shared" si="8"/>
        <v>0.02630475268</v>
      </c>
      <c r="F639" s="140">
        <f t="shared" si="9"/>
        <v>0.6185913579</v>
      </c>
      <c r="G639" s="141">
        <f t="shared" si="10"/>
        <v>0.06379817648</v>
      </c>
      <c r="H639" s="142">
        <f t="shared" si="11"/>
        <v>1</v>
      </c>
      <c r="I639" s="142">
        <f t="shared" si="12"/>
        <v>0</v>
      </c>
      <c r="J639" s="142">
        <f t="shared" si="13"/>
        <v>1</v>
      </c>
      <c r="K639" s="142">
        <f t="shared" si="14"/>
        <v>1</v>
      </c>
      <c r="L639" s="139">
        <f>Assumptions!$C$6*Assumptions!$C$7*(1+$G639-0.05*(1-1))^1+Assumptions!$C$6*Assumptions!$C$8*(1+Assumptions!$C$11)^1+Assumptions!$C$16*1+Assumptions!$C$6*Assumptions!$C$9*(1+Assumptions!$C$12)^1</f>
        <v>747.9424662</v>
      </c>
      <c r="M639" s="139">
        <f>Assumptions!$C$6*Assumptions!$C$7*(1+$G639-0.05*(1-$H639))^2+Assumptions!$C$6*Assumptions!$C$8*(1+Assumptions!$C$11)^2+Assumptions!$C$16*$H639+Assumptions!$C$6*Assumptions!$C$9*(1+Assumptions!$C$12)^2</f>
        <v>777.3843242</v>
      </c>
      <c r="N639" s="139">
        <f>Assumptions!$C$6*Assumptions!$C$7*(1+$G639-0.05*(1-$I639))^3+Assumptions!$C$6*Assumptions!$C$8*(1+Assumptions!$C$11)^3+Assumptions!$C$16*$I639+Assumptions!$C$6*Assumptions!$C$9*(1+Assumptions!$C$12)^3</f>
        <v>693.9212056</v>
      </c>
      <c r="O639" s="139">
        <f>Assumptions!$C$6*Assumptions!$C$7*(1+$G639-0.05*(1-$J639))^4+Assumptions!$C$6*Assumptions!$C$8*(1+Assumptions!$C$11)^4+Assumptions!$C$16*$J639+Assumptions!$C$6*Assumptions!$C$9*(1+Assumptions!$C$12)^4</f>
        <v>841.1318145</v>
      </c>
      <c r="P639" s="139">
        <f>Assumptions!$C$6*Assumptions!$C$7*(1+$G639-0.05*(1-$K639))^5+Assumptions!$C$6*Assumptions!$C$8*(1+Assumptions!$C$11)^5+Assumptions!$C$16*$K639+Assumptions!$C$6*Assumptions!$C$9*(1+Assumptions!$C$12)^5</f>
        <v>875.6346732</v>
      </c>
      <c r="Q639" s="139">
        <f>($L639*(1-(Assumptions!$C$25+0.06*(1-1))-Assumptions!$C$27)-Assumptions!$C$28)-MAX(0,($L639*(1-(Assumptions!$C$25+0.06*(1-1))-Assumptions!$C$27)-Assumptions!$C$28)*Assumptions!$C$31)+Assumptions!$C$28-Assumptions!$C$29-$L639*Assumptions!$C$30</f>
        <v>93.30763023</v>
      </c>
      <c r="R639" s="139">
        <f>($M639*(1-(Assumptions!$C$25+0.06*(1-$H639))-Assumptions!$C$27)-Assumptions!$C$28)-MAX(0,($M639*(1-(Assumptions!$C$25+0.06*(1-$H639))-Assumptions!$C$27)-Assumptions!$C$28)*Assumptions!$C$31)+Assumptions!$C$28-Assumptions!$C$29-$M639*Assumptions!$C$30</f>
        <v>99.6376297</v>
      </c>
      <c r="S639" s="139">
        <f>($N639*(1-(Assumptions!$C$25+0.06*(1-$I639))-Assumptions!$C$27)-Assumptions!$C$28)-MAX(0,($N639*(1-(Assumptions!$C$25+0.06*(1-$I639))-Assumptions!$C$27)-Assumptions!$C$28)*Assumptions!$C$31)+Assumptions!$C$28-Assumptions!$C$29-$N639*Assumptions!$C$30</f>
        <v>39.60187728</v>
      </c>
      <c r="T639" s="139">
        <f>($O639*(1-(Assumptions!$C$25+0.06*(1-$J639))-Assumptions!$C$27)-Assumptions!$C$28)-MAX(0,($O639*(1-(Assumptions!$C$25+0.06*(1-$J639))-Assumptions!$C$27)-Assumptions!$C$28)*Assumptions!$C$31)+Assumptions!$C$28-Assumptions!$C$29-$O639*Assumptions!$C$30</f>
        <v>113.3433401</v>
      </c>
      <c r="U639" s="139">
        <f>($P639*(1-(Assumptions!$C$25+0.06*(1-$K639))-Assumptions!$C$27)-Assumptions!$C$28)-MAX(0,($P639*(1-(Assumptions!$C$25+0.06*(1-$K639))-Assumptions!$C$27)-Assumptions!$C$28)*Assumptions!$C$31)+Assumptions!$C$28-Assumptions!$C$29-$P639*Assumptions!$C$30</f>
        <v>120.7614547</v>
      </c>
      <c r="V639" s="143">
        <f>(($Q639/(1+$D639)^1+$R639/(1+$D639)^2+$S639/(1+$D639)^3+$T639/(1+$D639)^4+$U639/(1+$D639)^5+$U639*(1+$E639)/($D639-$E639)/(1+$D639)^5)-Assumptions!$C$37)/Assumptions!$C$40/Assumptions!$C$38</f>
        <v>5.861301857</v>
      </c>
    </row>
    <row r="640" ht="12.0" customHeight="1">
      <c r="B640" s="139">
        <v>588.0</v>
      </c>
      <c r="C640" s="140">
        <f t="shared" si="6"/>
        <v>0.4194423614</v>
      </c>
      <c r="D640" s="141">
        <f t="shared" si="7"/>
        <v>0.09695303806</v>
      </c>
      <c r="E640" s="141">
        <f t="shared" si="8"/>
        <v>0.02863237922</v>
      </c>
      <c r="F640" s="140">
        <f t="shared" si="9"/>
        <v>0.3955084112</v>
      </c>
      <c r="G640" s="141">
        <f t="shared" si="10"/>
        <v>0.05668173795</v>
      </c>
      <c r="H640" s="142">
        <f t="shared" si="11"/>
        <v>1</v>
      </c>
      <c r="I640" s="142">
        <f t="shared" si="12"/>
        <v>0</v>
      </c>
      <c r="J640" s="142">
        <f t="shared" si="13"/>
        <v>1</v>
      </c>
      <c r="K640" s="142">
        <f t="shared" si="14"/>
        <v>0</v>
      </c>
      <c r="L640" s="139">
        <f>Assumptions!$C$6*Assumptions!$C$7*(1+$G640-0.05*(1-1))^1+Assumptions!$C$6*Assumptions!$C$8*(1+Assumptions!$C$11)^1+Assumptions!$C$16*1+Assumptions!$C$6*Assumptions!$C$9*(1+Assumptions!$C$12)^1</f>
        <v>745.547073</v>
      </c>
      <c r="M640" s="139">
        <f>Assumptions!$C$6*Assumptions!$C$7*(1+$G640-0.05*(1-$H640))^2+Assumptions!$C$6*Assumptions!$C$8*(1+Assumptions!$C$11)^2+Assumptions!$C$16*$H640+Assumptions!$C$6*Assumptions!$C$9*(1+Assumptions!$C$12)^2</f>
        <v>772.304941</v>
      </c>
      <c r="N640" s="139">
        <f>Assumptions!$C$6*Assumptions!$C$7*(1+$G640-0.05*(1-$I640))^3+Assumptions!$C$6*Assumptions!$C$8*(1+Assumptions!$C$11)^3+Assumptions!$C$16*$I640+Assumptions!$C$6*Assumptions!$C$9*(1+Assumptions!$C$12)^3</f>
        <v>686.5870697</v>
      </c>
      <c r="O640" s="139">
        <f>Assumptions!$C$6*Assumptions!$C$7*(1+$G640-0.05*(1-$J640))^4+Assumptions!$C$6*Assumptions!$C$8*(1+Assumptions!$C$11)^4+Assumptions!$C$16*$J640+Assumptions!$C$6*Assumptions!$C$9*(1+Assumptions!$C$12)^4</f>
        <v>829.7121275</v>
      </c>
      <c r="P640" s="139">
        <f>Assumptions!$C$6*Assumptions!$C$7*(1+$G640-0.05*(1-$K640))^5+Assumptions!$C$6*Assumptions!$C$8*(1+Assumptions!$C$11)^5+Assumptions!$C$16*$K640+Assumptions!$C$6*Assumptions!$C$9*(1+Assumptions!$C$12)^5</f>
        <v>705.0563814</v>
      </c>
      <c r="Q640" s="139">
        <f>($L640*(1-(Assumptions!$C$25+0.06*(1-1))-Assumptions!$C$27)-Assumptions!$C$28)-MAX(0,($L640*(1-(Assumptions!$C$25+0.06*(1-1))-Assumptions!$C$27)-Assumptions!$C$28)*Assumptions!$C$31)+Assumptions!$C$28-Assumptions!$C$29-$L640*Assumptions!$C$30</f>
        <v>92.79262069</v>
      </c>
      <c r="R640" s="139">
        <f>($M640*(1-(Assumptions!$C$25+0.06*(1-$H640))-Assumptions!$C$27)-Assumptions!$C$28)-MAX(0,($M640*(1-(Assumptions!$C$25+0.06*(1-$H640))-Assumptions!$C$27)-Assumptions!$C$28)*Assumptions!$C$31)+Assumptions!$C$28-Assumptions!$C$29-$M640*Assumptions!$C$30</f>
        <v>98.54556232</v>
      </c>
      <c r="S640" s="139">
        <f>($N640*(1-(Assumptions!$C$25+0.06*(1-$I640))-Assumptions!$C$27)-Assumptions!$C$28)-MAX(0,($N640*(1-(Assumptions!$C$25+0.06*(1-$I640))-Assumptions!$C$27)-Assumptions!$C$28)*Assumptions!$C$31)+Assumptions!$C$28-Assumptions!$C$29-$N640*Assumptions!$C$30</f>
        <v>37.91502604</v>
      </c>
      <c r="T640" s="139">
        <f>($O640*(1-(Assumptions!$C$25+0.06*(1-$J640))-Assumptions!$C$27)-Assumptions!$C$28)-MAX(0,($O640*(1-(Assumptions!$C$25+0.06*(1-$J640))-Assumptions!$C$27)-Assumptions!$C$28)*Assumptions!$C$31)+Assumptions!$C$28-Assumptions!$C$29-$O640*Assumptions!$C$30</f>
        <v>110.8881074</v>
      </c>
      <c r="U640" s="139">
        <f>($P640*(1-(Assumptions!$C$25+0.06*(1-$K640))-Assumptions!$C$27)-Assumptions!$C$28)-MAX(0,($P640*(1-(Assumptions!$C$25+0.06*(1-$K640))-Assumptions!$C$27)-Assumptions!$C$28)*Assumptions!$C$31)+Assumptions!$C$28-Assumptions!$C$29-$P640*Assumptions!$C$30</f>
        <v>42.16296771</v>
      </c>
      <c r="V640" s="143">
        <f>(($Q640/(1+$D640)^1+$R640/(1+$D640)^2+$S640/(1+$D640)^3+$T640/(1+$D640)^4+$U640/(1+$D640)^5+$U640*(1+$E640)/($D640-$E640)/(1+$D640)^5)-Assumptions!$C$37)/Assumptions!$C$40/Assumptions!$C$38</f>
        <v>0.04922308681</v>
      </c>
    </row>
    <row r="641" ht="12.0" customHeight="1">
      <c r="B641" s="139">
        <v>589.0</v>
      </c>
      <c r="C641" s="140">
        <f t="shared" si="6"/>
        <v>0.2123618358</v>
      </c>
      <c r="D641" s="141">
        <f t="shared" si="7"/>
        <v>0.09348473113</v>
      </c>
      <c r="E641" s="141">
        <f t="shared" si="8"/>
        <v>0.01350166045</v>
      </c>
      <c r="F641" s="140">
        <f t="shared" si="9"/>
        <v>0.06733058397</v>
      </c>
      <c r="G641" s="141">
        <f t="shared" si="10"/>
        <v>0.04100886239</v>
      </c>
      <c r="H641" s="142">
        <f t="shared" si="11"/>
        <v>1</v>
      </c>
      <c r="I641" s="142">
        <f t="shared" si="12"/>
        <v>1</v>
      </c>
      <c r="J641" s="142">
        <f t="shared" si="13"/>
        <v>0</v>
      </c>
      <c r="K641" s="142">
        <f t="shared" si="14"/>
        <v>0</v>
      </c>
      <c r="L641" s="139">
        <f>Assumptions!$C$6*Assumptions!$C$7*(1+$G641-0.05*(1-1))^1+Assumptions!$C$6*Assumptions!$C$8*(1+Assumptions!$C$11)^1+Assumptions!$C$16*1+Assumptions!$C$6*Assumptions!$C$9*(1+Assumptions!$C$12)^1</f>
        <v>740.2715831</v>
      </c>
      <c r="M641" s="139">
        <f>Assumptions!$C$6*Assumptions!$C$7*(1+$G641-0.05*(1-$H641))^2+Assumptions!$C$6*Assumptions!$C$8*(1+Assumptions!$C$11)^2+Assumptions!$C$16*$H641+Assumptions!$C$6*Assumptions!$C$9*(1+Assumptions!$C$12)^2</f>
        <v>761.2385954</v>
      </c>
      <c r="N641" s="139">
        <f>Assumptions!$C$6*Assumptions!$C$7*(1+$G641-0.05*(1-$I641))^3+Assumptions!$C$6*Assumptions!$C$8*(1+Assumptions!$C$11)^3+Assumptions!$C$16*$I641+Assumptions!$C$6*Assumptions!$C$9*(1+Assumptions!$C$12)^3</f>
        <v>782.926838</v>
      </c>
      <c r="O641" s="139">
        <f>Assumptions!$C$6*Assumptions!$C$7*(1+$G641-0.05*(1-$J641))^4+Assumptions!$C$6*Assumptions!$C$8*(1+Assumptions!$C$11)^4+Assumptions!$C$16*$J641+Assumptions!$C$6*Assumptions!$C$9*(1+Assumptions!$C$12)^4</f>
        <v>674.715182</v>
      </c>
      <c r="P641" s="139">
        <f>Assumptions!$C$6*Assumptions!$C$7*(1+$G641-0.05*(1-$K641))^5+Assumptions!$C$6*Assumptions!$C$8*(1+Assumptions!$C$11)^5+Assumptions!$C$16*$K641+Assumptions!$C$6*Assumptions!$C$9*(1+Assumptions!$C$12)^5</f>
        <v>678.7973209</v>
      </c>
      <c r="Q641" s="139">
        <f>($L641*(1-(Assumptions!$C$25+0.06*(1-1))-Assumptions!$C$27)-Assumptions!$C$28)-MAX(0,($L641*(1-(Assumptions!$C$25+0.06*(1-1))-Assumptions!$C$27)-Assumptions!$C$28)*Assumptions!$C$31)+Assumptions!$C$28-Assumptions!$C$29-$L641*Assumptions!$C$30</f>
        <v>91.65839036</v>
      </c>
      <c r="R641" s="139">
        <f>($M641*(1-(Assumptions!$C$25+0.06*(1-$H641))-Assumptions!$C$27)-Assumptions!$C$28)-MAX(0,($M641*(1-(Assumptions!$C$25+0.06*(1-$H641))-Assumptions!$C$27)-Assumptions!$C$28)*Assumptions!$C$31)+Assumptions!$C$28-Assumptions!$C$29-$M641*Assumptions!$C$30</f>
        <v>96.16629801</v>
      </c>
      <c r="S641" s="139">
        <f>($N641*(1-(Assumptions!$C$25+0.06*(1-$I641))-Assumptions!$C$27)-Assumptions!$C$28)-MAX(0,($N641*(1-(Assumptions!$C$25+0.06*(1-$I641))-Assumptions!$C$27)-Assumptions!$C$28)*Assumptions!$C$31)+Assumptions!$C$28-Assumptions!$C$29-$N641*Assumptions!$C$30</f>
        <v>100.8292702</v>
      </c>
      <c r="T641" s="139">
        <f>($O641*(1-(Assumptions!$C$25+0.06*(1-$J641))-Assumptions!$C$27)-Assumptions!$C$28)-MAX(0,($O641*(1-(Assumptions!$C$25+0.06*(1-$J641))-Assumptions!$C$27)-Assumptions!$C$28)*Assumptions!$C$31)+Assumptions!$C$28-Assumptions!$C$29-$O641*Assumptions!$C$30</f>
        <v>35.18449187</v>
      </c>
      <c r="U641" s="139">
        <f>($P641*(1-(Assumptions!$C$25+0.06*(1-$K641))-Assumptions!$C$27)-Assumptions!$C$28)-MAX(0,($P641*(1-(Assumptions!$C$25+0.06*(1-$K641))-Assumptions!$C$27)-Assumptions!$C$28)*Assumptions!$C$31)+Assumptions!$C$28-Assumptions!$C$29-$P641*Assumptions!$C$30</f>
        <v>36.1233838</v>
      </c>
      <c r="V641" s="143">
        <f>(($Q641/(1+$D641)^1+$R641/(1+$D641)^2+$S641/(1+$D641)^3+$T641/(1+$D641)^4+$U641/(1+$D641)^5+$U641*(1+$E641)/($D641-$E641)/(1+$D641)^5)-Assumptions!$C$37)/Assumptions!$C$40/Assumptions!$C$38</f>
        <v>-0.8571317264</v>
      </c>
    </row>
    <row r="642" ht="12.0" customHeight="1">
      <c r="B642" s="139">
        <v>590.0</v>
      </c>
      <c r="C642" s="140">
        <f t="shared" si="6"/>
        <v>0.04664985571</v>
      </c>
      <c r="D642" s="141">
        <f t="shared" si="7"/>
        <v>0.08897671989</v>
      </c>
      <c r="E642" s="141">
        <f t="shared" si="8"/>
        <v>0.01233178582</v>
      </c>
      <c r="F642" s="140">
        <f t="shared" si="9"/>
        <v>0.7336758754</v>
      </c>
      <c r="G642" s="141">
        <f t="shared" si="10"/>
        <v>0.06810517357</v>
      </c>
      <c r="H642" s="142">
        <f t="shared" si="11"/>
        <v>1</v>
      </c>
      <c r="I642" s="142">
        <f t="shared" si="12"/>
        <v>0</v>
      </c>
      <c r="J642" s="142">
        <f t="shared" si="13"/>
        <v>0</v>
      </c>
      <c r="K642" s="142">
        <f t="shared" si="14"/>
        <v>0</v>
      </c>
      <c r="L642" s="139">
        <f>Assumptions!$C$6*Assumptions!$C$7*(1+$G642-0.05*(1-1))^1+Assumptions!$C$6*Assumptions!$C$8*(1+Assumptions!$C$11)^1+Assumptions!$C$16*1+Assumptions!$C$6*Assumptions!$C$9*(1+Assumptions!$C$12)^1</f>
        <v>749.3922014</v>
      </c>
      <c r="M642" s="139">
        <f>Assumptions!$C$6*Assumptions!$C$7*(1+$G642-0.05*(1-$H642))^2+Assumptions!$C$6*Assumptions!$C$8*(1+Assumptions!$C$11)^2+Assumptions!$C$16*$H642+Assumptions!$C$6*Assumptions!$C$9*(1+Assumptions!$C$12)^2</f>
        <v>780.4750196</v>
      </c>
      <c r="N642" s="139">
        <f>Assumptions!$C$6*Assumptions!$C$7*(1+$G642-0.05*(1-$I642))^3+Assumptions!$C$6*Assumptions!$C$8*(1+Assumptions!$C$11)^3+Assumptions!$C$16*$I642+Assumptions!$C$6*Assumptions!$C$9*(1+Assumptions!$C$12)^3</f>
        <v>698.4102789</v>
      </c>
      <c r="O642" s="139">
        <f>Assumptions!$C$6*Assumptions!$C$7*(1+$G642-0.05*(1-$J642))^4+Assumptions!$C$6*Assumptions!$C$8*(1+Assumptions!$C$11)^4+Assumptions!$C$16*$J642+Assumptions!$C$6*Assumptions!$C$9*(1+Assumptions!$C$12)^4</f>
        <v>711.7054125</v>
      </c>
      <c r="P642" s="139">
        <f>Assumptions!$C$6*Assumptions!$C$7*(1+$G642-0.05*(1-$K642))^5+Assumptions!$C$6*Assumptions!$C$8*(1+Assumptions!$C$11)^5+Assumptions!$C$16*$K642+Assumptions!$C$6*Assumptions!$C$9*(1+Assumptions!$C$12)^5</f>
        <v>725.2542628</v>
      </c>
      <c r="Q642" s="139">
        <f>($L642*(1-(Assumptions!$C$25+0.06*(1-1))-Assumptions!$C$27)-Assumptions!$C$28)-MAX(0,($L642*(1-(Assumptions!$C$25+0.06*(1-1))-Assumptions!$C$27)-Assumptions!$C$28)*Assumptions!$C$31)+Assumptions!$C$28-Assumptions!$C$29-$L642*Assumptions!$C$30</f>
        <v>93.61932331</v>
      </c>
      <c r="R642" s="139">
        <f>($M642*(1-(Assumptions!$C$25+0.06*(1-$H642))-Assumptions!$C$27)-Assumptions!$C$28)-MAX(0,($M642*(1-(Assumptions!$C$25+0.06*(1-$H642))-Assumptions!$C$27)-Assumptions!$C$28)*Assumptions!$C$31)+Assumptions!$C$28-Assumptions!$C$29-$M642*Assumptions!$C$30</f>
        <v>100.3021292</v>
      </c>
      <c r="S642" s="139">
        <f>($N642*(1-(Assumptions!$C$25+0.06*(1-$I642))-Assumptions!$C$27)-Assumptions!$C$28)-MAX(0,($N642*(1-(Assumptions!$C$25+0.06*(1-$I642))-Assumptions!$C$27)-Assumptions!$C$28)*Assumptions!$C$31)+Assumptions!$C$28-Assumptions!$C$29-$N642*Assumptions!$C$30</f>
        <v>40.63436414</v>
      </c>
      <c r="T642" s="139">
        <f>($O642*(1-(Assumptions!$C$25+0.06*(1-$J642))-Assumptions!$C$27)-Assumptions!$C$28)-MAX(0,($O642*(1-(Assumptions!$C$25+0.06*(1-$J642))-Assumptions!$C$27)-Assumptions!$C$28)*Assumptions!$C$31)+Assumptions!$C$28-Assumptions!$C$29-$O642*Assumptions!$C$30</f>
        <v>43.69224488</v>
      </c>
      <c r="U642" s="139">
        <f>($P642*(1-(Assumptions!$C$25+0.06*(1-$K642))-Assumptions!$C$27)-Assumptions!$C$28)-MAX(0,($P642*(1-(Assumptions!$C$25+0.06*(1-$K642))-Assumptions!$C$27)-Assumptions!$C$28)*Assumptions!$C$31)+Assumptions!$C$28-Assumptions!$C$29-$P642*Assumptions!$C$30</f>
        <v>46.80848043</v>
      </c>
      <c r="V642" s="143">
        <f>(($Q642/(1+$D642)^1+$R642/(1+$D642)^2+$S642/(1+$D642)^3+$T642/(1+$D642)^4+$U642/(1+$D642)^5+$U642*(1+$E642)/($D642-$E642)/(1+$D642)^5)-Assumptions!$C$37)/Assumptions!$C$40/Assumptions!$C$38</f>
        <v>-0.189926534</v>
      </c>
    </row>
    <row r="643" ht="12.0" customHeight="1">
      <c r="B643" s="139">
        <v>591.0</v>
      </c>
      <c r="C643" s="140">
        <f t="shared" si="6"/>
        <v>0.1358770977</v>
      </c>
      <c r="D643" s="141">
        <f t="shared" si="7"/>
        <v>0.09178692391</v>
      </c>
      <c r="E643" s="141">
        <f t="shared" si="8"/>
        <v>0.02382699049</v>
      </c>
      <c r="F643" s="140">
        <f t="shared" si="9"/>
        <v>0.02673621331</v>
      </c>
      <c r="G643" s="141">
        <f t="shared" si="10"/>
        <v>0.03693723172</v>
      </c>
      <c r="H643" s="142">
        <f t="shared" si="11"/>
        <v>0</v>
      </c>
      <c r="I643" s="142">
        <f t="shared" si="12"/>
        <v>1</v>
      </c>
      <c r="J643" s="142">
        <f t="shared" si="13"/>
        <v>0</v>
      </c>
      <c r="K643" s="142">
        <f t="shared" si="14"/>
        <v>0</v>
      </c>
      <c r="L643" s="139">
        <f>Assumptions!$C$6*Assumptions!$C$7*(1+$G643-0.05*(1-1))^1+Assumptions!$C$6*Assumptions!$C$8*(1+Assumptions!$C$11)^1+Assumptions!$C$16*1+Assumptions!$C$6*Assumptions!$C$9*(1+Assumptions!$C$12)^1</f>
        <v>738.9010722</v>
      </c>
      <c r="M643" s="139">
        <f>Assumptions!$C$6*Assumptions!$C$7*(1+$G643-0.05*(1-$H643))^2+Assumptions!$C$6*Assumptions!$C$8*(1+Assumptions!$C$11)^2+Assumptions!$C$16*$H643+Assumptions!$C$6*Assumptions!$C$9*(1+Assumptions!$C$12)^2</f>
        <v>664.3289404</v>
      </c>
      <c r="N643" s="139">
        <f>Assumptions!$C$6*Assumptions!$C$7*(1+$G643-0.05*(1-$I643))^3+Assumptions!$C$6*Assumptions!$C$8*(1+Assumptions!$C$11)^3+Assumptions!$C$16*$I643+Assumptions!$C$6*Assumptions!$C$9*(1+Assumptions!$C$12)^3</f>
        <v>778.4885768</v>
      </c>
      <c r="O643" s="139">
        <f>Assumptions!$C$6*Assumptions!$C$7*(1+$G643-0.05*(1-$J643))^4+Assumptions!$C$6*Assumptions!$C$8*(1+Assumptions!$C$11)^4+Assumptions!$C$16*$J643+Assumptions!$C$6*Assumptions!$C$9*(1+Assumptions!$C$12)^4</f>
        <v>669.4124743</v>
      </c>
      <c r="P643" s="139">
        <f>Assumptions!$C$6*Assumptions!$C$7*(1+$G643-0.05*(1-$K643))^5+Assumptions!$C$6*Assumptions!$C$8*(1+Assumptions!$C$11)^5+Assumptions!$C$16*$K643+Assumptions!$C$6*Assumptions!$C$9*(1+Assumptions!$C$12)^5</f>
        <v>672.2419994</v>
      </c>
      <c r="Q643" s="139">
        <f>($L643*(1-(Assumptions!$C$25+0.06*(1-1))-Assumptions!$C$27)-Assumptions!$C$28)-MAX(0,($L643*(1-(Assumptions!$C$25+0.06*(1-1))-Assumptions!$C$27)-Assumptions!$C$28)*Assumptions!$C$31)+Assumptions!$C$28-Assumptions!$C$29-$L643*Assumptions!$C$30</f>
        <v>91.36373052</v>
      </c>
      <c r="R643" s="139">
        <f>($M643*(1-(Assumptions!$C$25+0.06*(1-$H643))-Assumptions!$C$27)-Assumptions!$C$28)-MAX(0,($M643*(1-(Assumptions!$C$25+0.06*(1-$H643))-Assumptions!$C$27)-Assumptions!$C$28)*Assumptions!$C$31)+Assumptions!$C$28-Assumptions!$C$29-$M643*Assumptions!$C$30</f>
        <v>32.7956563</v>
      </c>
      <c r="S643" s="139">
        <f>($N643*(1-(Assumptions!$C$25+0.06*(1-$I643))-Assumptions!$C$27)-Assumptions!$C$28)-MAX(0,($N643*(1-(Assumptions!$C$25+0.06*(1-$I643))-Assumptions!$C$27)-Assumptions!$C$28)*Assumptions!$C$31)+Assumptions!$C$28-Assumptions!$C$29-$N643*Assumptions!$C$30</f>
        <v>99.87504401</v>
      </c>
      <c r="T643" s="139">
        <f>($O643*(1-(Assumptions!$C$25+0.06*(1-$J643))-Assumptions!$C$27)-Assumptions!$C$28)-MAX(0,($O643*(1-(Assumptions!$C$25+0.06*(1-$J643))-Assumptions!$C$27)-Assumptions!$C$28)*Assumptions!$C$31)+Assumptions!$C$28-Assumptions!$C$29-$O643*Assumptions!$C$30</f>
        <v>33.9648691</v>
      </c>
      <c r="U643" s="139">
        <f>($P643*(1-(Assumptions!$C$25+0.06*(1-$K643))-Assumptions!$C$27)-Assumptions!$C$28)-MAX(0,($P643*(1-(Assumptions!$C$25+0.06*(1-$K643))-Assumptions!$C$27)-Assumptions!$C$28)*Assumptions!$C$31)+Assumptions!$C$28-Assumptions!$C$29-$P643*Assumptions!$C$30</f>
        <v>34.61565985</v>
      </c>
      <c r="V643" s="143">
        <f>(($Q643/(1+$D643)^1+$R643/(1+$D643)^2+$S643/(1+$D643)^3+$T643/(1+$D643)^4+$U643/(1+$D643)^5+$U643*(1+$E643)/($D643-$E643)/(1+$D643)^5)-Assumptions!$C$37)/Assumptions!$C$40/Assumptions!$C$38</f>
        <v>-0.9471923262</v>
      </c>
    </row>
    <row r="644" ht="12.0" customHeight="1">
      <c r="B644" s="139">
        <v>592.0</v>
      </c>
      <c r="C644" s="140">
        <f t="shared" si="6"/>
        <v>0.6432959481</v>
      </c>
      <c r="D644" s="141">
        <f t="shared" si="7"/>
        <v>0.1008539414</v>
      </c>
      <c r="E644" s="141">
        <f t="shared" si="8"/>
        <v>0.01029349556</v>
      </c>
      <c r="F644" s="140">
        <f t="shared" si="9"/>
        <v>0.03850208324</v>
      </c>
      <c r="G644" s="141">
        <f t="shared" si="10"/>
        <v>0.03832488738</v>
      </c>
      <c r="H644" s="142">
        <f t="shared" si="11"/>
        <v>1</v>
      </c>
      <c r="I644" s="142">
        <f t="shared" si="12"/>
        <v>0</v>
      </c>
      <c r="J644" s="142">
        <f t="shared" si="13"/>
        <v>1</v>
      </c>
      <c r="K644" s="142">
        <f t="shared" si="14"/>
        <v>1</v>
      </c>
      <c r="L644" s="139">
        <f>Assumptions!$C$6*Assumptions!$C$7*(1+$G644-0.05*(1-1))^1+Assumptions!$C$6*Assumptions!$C$8*(1+Assumptions!$C$11)^1+Assumptions!$C$16*1+Assumptions!$C$6*Assumptions!$C$9*(1+Assumptions!$C$12)^1</f>
        <v>739.3681571</v>
      </c>
      <c r="M644" s="139">
        <f>Assumptions!$C$6*Assumptions!$C$7*(1+$G644-0.05*(1-$H644))^2+Assumptions!$C$6*Assumptions!$C$8*(1+Assumptions!$C$11)^2+Assumptions!$C$16*$H644+Assumptions!$C$6*Assumptions!$C$9*(1+Assumptions!$C$12)^2</f>
        <v>759.3600712</v>
      </c>
      <c r="N644" s="139">
        <f>Assumptions!$C$6*Assumptions!$C$7*(1+$G644-0.05*(1-$I644))^3+Assumptions!$C$6*Assumptions!$C$8*(1+Assumptions!$C$11)^3+Assumptions!$C$16*$I644+Assumptions!$C$6*Assumptions!$C$9*(1+Assumptions!$C$12)^3</f>
        <v>668.1422469</v>
      </c>
      <c r="O644" s="139">
        <f>Assumptions!$C$6*Assumptions!$C$7*(1+$G644-0.05*(1-$J644))^4+Assumptions!$C$6*Assumptions!$C$8*(1+Assumptions!$C$11)^4+Assumptions!$C$16*$J644+Assumptions!$C$6*Assumptions!$C$9*(1+Assumptions!$C$12)^4</f>
        <v>801.3020883</v>
      </c>
      <c r="P644" s="139">
        <f>Assumptions!$C$6*Assumptions!$C$7*(1+$G644-0.05*(1-$K644))^5+Assumptions!$C$6*Assumptions!$C$8*(1+Assumptions!$C$11)^5+Assumptions!$C$16*$K644+Assumptions!$C$6*Assumptions!$C$9*(1+Assumptions!$C$12)^5</f>
        <v>823.2976237</v>
      </c>
      <c r="Q644" s="139">
        <f>($L644*(1-(Assumptions!$C$25+0.06*(1-1))-Assumptions!$C$27)-Assumptions!$C$28)-MAX(0,($L644*(1-(Assumptions!$C$25+0.06*(1-1))-Assumptions!$C$27)-Assumptions!$C$28)*Assumptions!$C$31)+Assumptions!$C$28-Assumptions!$C$29-$L644*Assumptions!$C$30</f>
        <v>91.46415377</v>
      </c>
      <c r="R644" s="139">
        <f>($M644*(1-(Assumptions!$C$25+0.06*(1-$H644))-Assumptions!$C$27)-Assumptions!$C$28)-MAX(0,($M644*(1-(Assumptions!$C$25+0.06*(1-$H644))-Assumptions!$C$27)-Assumptions!$C$28)*Assumptions!$C$31)+Assumptions!$C$28-Assumptions!$C$29-$M644*Assumptions!$C$30</f>
        <v>95.76241532</v>
      </c>
      <c r="S644" s="139">
        <f>($N644*(1-(Assumptions!$C$25+0.06*(1-$I644))-Assumptions!$C$27)-Assumptions!$C$28)-MAX(0,($N644*(1-(Assumptions!$C$25+0.06*(1-$I644))-Assumptions!$C$27)-Assumptions!$C$28)*Assumptions!$C$31)+Assumptions!$C$28-Assumptions!$C$29-$N644*Assumptions!$C$30</f>
        <v>33.67271678</v>
      </c>
      <c r="T644" s="139">
        <f>($O644*(1-(Assumptions!$C$25+0.06*(1-$J644))-Assumptions!$C$27)-Assumptions!$C$28)-MAX(0,($O644*(1-(Assumptions!$C$25+0.06*(1-$J644))-Assumptions!$C$27)-Assumptions!$C$28)*Assumptions!$C$31)+Assumptions!$C$28-Assumptions!$C$29-$O644*Assumptions!$C$30</f>
        <v>104.779949</v>
      </c>
      <c r="U644" s="139">
        <f>($P644*(1-(Assumptions!$C$25+0.06*(1-$K644))-Assumptions!$C$27)-Assumptions!$C$28)-MAX(0,($P644*(1-(Assumptions!$C$25+0.06*(1-$K644))-Assumptions!$C$27)-Assumptions!$C$28)*Assumptions!$C$31)+Assumptions!$C$28-Assumptions!$C$29-$P644*Assumptions!$C$30</f>
        <v>109.5089891</v>
      </c>
      <c r="V644" s="143">
        <f>(($Q644/(1+$D644)^1+$R644/(1+$D644)^2+$S644/(1+$D644)^3+$T644/(1+$D644)^4+$U644/(1+$D644)^5+$U644*(1+$E644)/($D644-$E644)/(1+$D644)^5)-Assumptions!$C$37)/Assumptions!$C$40/Assumptions!$C$38</f>
        <v>3.046307192</v>
      </c>
    </row>
    <row r="645" ht="12.0" customHeight="1">
      <c r="B645" s="139">
        <v>593.0</v>
      </c>
      <c r="C645" s="140">
        <f t="shared" si="6"/>
        <v>0.700725606</v>
      </c>
      <c r="D645" s="141">
        <f t="shared" si="7"/>
        <v>0.1020426494</v>
      </c>
      <c r="E645" s="141">
        <f t="shared" si="8"/>
        <v>0.01332354265</v>
      </c>
      <c r="F645" s="140">
        <f t="shared" si="9"/>
        <v>0.750880923</v>
      </c>
      <c r="G645" s="141">
        <f t="shared" si="10"/>
        <v>0.06882420394</v>
      </c>
      <c r="H645" s="142">
        <f t="shared" si="11"/>
        <v>0</v>
      </c>
      <c r="I645" s="142">
        <f t="shared" si="12"/>
        <v>1</v>
      </c>
      <c r="J645" s="142">
        <f t="shared" si="13"/>
        <v>0</v>
      </c>
      <c r="K645" s="142">
        <f t="shared" si="14"/>
        <v>0</v>
      </c>
      <c r="L645" s="139">
        <f>Assumptions!$C$6*Assumptions!$C$7*(1+$G645-0.05*(1-1))^1+Assumptions!$C$6*Assumptions!$C$8*(1+Assumptions!$C$11)^1+Assumptions!$C$16*1+Assumptions!$C$6*Assumptions!$C$9*(1+Assumptions!$C$12)^1</f>
        <v>749.634227</v>
      </c>
      <c r="M645" s="139">
        <f>Assumptions!$C$6*Assumptions!$C$7*(1+$G645-0.05*(1-$H645))^2+Assumptions!$C$6*Assumptions!$C$8*(1+Assumptions!$C$11)^2+Assumptions!$C$16*$H645+Assumptions!$C$6*Assumptions!$C$9*(1+Assumptions!$C$12)^2</f>
        <v>685.8570885</v>
      </c>
      <c r="N645" s="139">
        <f>Assumptions!$C$6*Assumptions!$C$7*(1+$G645-0.05*(1-$I645))^3+Assumptions!$C$6*Assumptions!$C$8*(1+Assumptions!$C$11)^3+Assumptions!$C$16*$I645+Assumptions!$C$6*Assumptions!$C$9*(1+Assumptions!$C$12)^3</f>
        <v>814.1862729</v>
      </c>
      <c r="O645" s="139">
        <f>Assumptions!$C$6*Assumptions!$C$7*(1+$G645-0.05*(1-$J645))^4+Assumptions!$C$6*Assumptions!$C$8*(1+Assumptions!$C$11)^4+Assumptions!$C$16*$J645+Assumptions!$C$6*Assumptions!$C$9*(1+Assumptions!$C$12)^4</f>
        <v>712.7281386</v>
      </c>
      <c r="P645" s="139">
        <f>Assumptions!$C$6*Assumptions!$C$7*(1+$G645-0.05*(1-$K645))^5+Assumptions!$C$6*Assumptions!$C$8*(1+Assumptions!$C$11)^5+Assumptions!$C$16*$K645+Assumptions!$C$6*Assumptions!$C$9*(1+Assumptions!$C$12)^5</f>
        <v>726.5562759</v>
      </c>
      <c r="Q645" s="139">
        <f>($L645*(1-(Assumptions!$C$25+0.06*(1-1))-Assumptions!$C$27)-Assumptions!$C$28)-MAX(0,($L645*(1-(Assumptions!$C$25+0.06*(1-1))-Assumptions!$C$27)-Assumptions!$C$28)*Assumptions!$C$31)+Assumptions!$C$28-Assumptions!$C$29-$L645*Assumptions!$C$30</f>
        <v>93.67135882</v>
      </c>
      <c r="R645" s="139">
        <f>($M645*(1-(Assumptions!$C$25+0.06*(1-$H645))-Assumptions!$C$27)-Assumptions!$C$28)-MAX(0,($M645*(1-(Assumptions!$C$25+0.06*(1-$H645))-Assumptions!$C$27)-Assumptions!$C$28)*Assumptions!$C$31)+Assumptions!$C$28-Assumptions!$C$29-$M645*Assumptions!$C$30</f>
        <v>37.74713036</v>
      </c>
      <c r="S645" s="139">
        <f>($N645*(1-(Assumptions!$C$25+0.06*(1-$I645))-Assumptions!$C$27)-Assumptions!$C$28)-MAX(0,($N645*(1-(Assumptions!$C$25+0.06*(1-$I645))-Assumptions!$C$27)-Assumptions!$C$28)*Assumptions!$C$31)+Assumptions!$C$28-Assumptions!$C$29-$N645*Assumptions!$C$30</f>
        <v>107.5500487</v>
      </c>
      <c r="T645" s="139">
        <f>($O645*(1-(Assumptions!$C$25+0.06*(1-$J645))-Assumptions!$C$27)-Assumptions!$C$28)-MAX(0,($O645*(1-(Assumptions!$C$25+0.06*(1-$J645))-Assumptions!$C$27)-Assumptions!$C$28)*Assumptions!$C$31)+Assumptions!$C$28-Assumptions!$C$29-$O645*Assumptions!$C$30</f>
        <v>43.92747187</v>
      </c>
      <c r="U645" s="139">
        <f>($P645*(1-(Assumptions!$C$25+0.06*(1-$K645))-Assumptions!$C$27)-Assumptions!$C$28)-MAX(0,($P645*(1-(Assumptions!$C$25+0.06*(1-$K645))-Assumptions!$C$27)-Assumptions!$C$28)*Assumptions!$C$31)+Assumptions!$C$28-Assumptions!$C$29-$P645*Assumptions!$C$30</f>
        <v>47.10794345</v>
      </c>
      <c r="V645" s="143">
        <f>(($Q645/(1+$D645)^1+$R645/(1+$D645)^2+$S645/(1+$D645)^3+$T645/(1+$D645)^4+$U645/(1+$D645)^5+$U645*(1+$E645)/($D645-$E645)/(1+$D645)^5)-Assumptions!$C$37)/Assumptions!$C$40/Assumptions!$C$38</f>
        <v>-0.823324337</v>
      </c>
    </row>
    <row r="646" ht="12.0" customHeight="1">
      <c r="B646" s="139">
        <v>594.0</v>
      </c>
      <c r="C646" s="140">
        <f t="shared" si="6"/>
        <v>0.5173186864</v>
      </c>
      <c r="D646" s="141">
        <f t="shared" si="7"/>
        <v>0.09854447762</v>
      </c>
      <c r="E646" s="141">
        <f t="shared" si="8"/>
        <v>0.02321719401</v>
      </c>
      <c r="F646" s="140">
        <f t="shared" si="9"/>
        <v>0.4170919681</v>
      </c>
      <c r="G646" s="141">
        <f t="shared" si="10"/>
        <v>0.05740010114</v>
      </c>
      <c r="H646" s="142">
        <f t="shared" si="11"/>
        <v>0</v>
      </c>
      <c r="I646" s="142">
        <f t="shared" si="12"/>
        <v>0</v>
      </c>
      <c r="J646" s="142">
        <f t="shared" si="13"/>
        <v>1</v>
      </c>
      <c r="K646" s="142">
        <f t="shared" si="14"/>
        <v>0</v>
      </c>
      <c r="L646" s="139">
        <f>Assumptions!$C$6*Assumptions!$C$7*(1+$G646-0.05*(1-1))^1+Assumptions!$C$6*Assumptions!$C$8*(1+Assumptions!$C$11)^1+Assumptions!$C$16*1+Assumptions!$C$6*Assumptions!$C$9*(1+Assumptions!$C$12)^1</f>
        <v>745.788874</v>
      </c>
      <c r="M646" s="139">
        <f>Assumptions!$C$6*Assumptions!$C$7*(1+$G646-0.05*(1-$H646))^2+Assumptions!$C$6*Assumptions!$C$8*(1+Assumptions!$C$11)^2+Assumptions!$C$16*$H646+Assumptions!$C$6*Assumptions!$C$9*(1+Assumptions!$C$12)^2</f>
        <v>678.0655408</v>
      </c>
      <c r="N646" s="139">
        <f>Assumptions!$C$6*Assumptions!$C$7*(1+$G646-0.05*(1-$I646))^3+Assumptions!$C$6*Assumptions!$C$8*(1+Assumptions!$C$11)^3+Assumptions!$C$16*$I646+Assumptions!$C$6*Assumptions!$C$9*(1+Assumptions!$C$12)^3</f>
        <v>687.3227239</v>
      </c>
      <c r="O646" s="139">
        <f>Assumptions!$C$6*Assumptions!$C$7*(1+$G646-0.05*(1-$J646))^4+Assumptions!$C$6*Assumptions!$C$8*(1+Assumptions!$C$11)^4+Assumptions!$C$16*$J646+Assumptions!$C$6*Assumptions!$C$9*(1+Assumptions!$C$12)^4</f>
        <v>830.8544629</v>
      </c>
      <c r="P646" s="139">
        <f>Assumptions!$C$6*Assumptions!$C$7*(1+$G646-0.05*(1-$K646))^5+Assumptions!$C$6*Assumptions!$C$8*(1+Assumptions!$C$11)^5+Assumptions!$C$16*$K646+Assumptions!$C$6*Assumptions!$C$9*(1+Assumptions!$C$12)^5</f>
        <v>706.2997983</v>
      </c>
      <c r="Q646" s="139">
        <f>($L646*(1-(Assumptions!$C$25+0.06*(1-1))-Assumptions!$C$27)-Assumptions!$C$28)-MAX(0,($L646*(1-(Assumptions!$C$25+0.06*(1-1))-Assumptions!$C$27)-Assumptions!$C$28)*Assumptions!$C$31)+Assumptions!$C$28-Assumptions!$C$29-$L646*Assumptions!$C$30</f>
        <v>92.84460792</v>
      </c>
      <c r="R646" s="139">
        <f>($M646*(1-(Assumptions!$C$25+0.06*(1-$H646))-Assumptions!$C$27)-Assumptions!$C$28)-MAX(0,($M646*(1-(Assumptions!$C$25+0.06*(1-$H646))-Assumptions!$C$27)-Assumptions!$C$28)*Assumptions!$C$31)+Assumptions!$C$28-Assumptions!$C$29-$M646*Assumptions!$C$30</f>
        <v>35.95507439</v>
      </c>
      <c r="S646" s="139">
        <f>($N646*(1-(Assumptions!$C$25+0.06*(1-$I646))-Assumptions!$C$27)-Assumptions!$C$28)-MAX(0,($N646*(1-(Assumptions!$C$25+0.06*(1-$I646))-Assumptions!$C$27)-Assumptions!$C$28)*Assumptions!$C$31)+Assumptions!$C$28-Assumptions!$C$29-$N646*Assumptions!$C$30</f>
        <v>38.0842265</v>
      </c>
      <c r="T646" s="139">
        <f>($O646*(1-(Assumptions!$C$25+0.06*(1-$J646))-Assumptions!$C$27)-Assumptions!$C$28)-MAX(0,($O646*(1-(Assumptions!$C$25+0.06*(1-$J646))-Assumptions!$C$27)-Assumptions!$C$28)*Assumptions!$C$31)+Assumptions!$C$28-Assumptions!$C$29-$O646*Assumptions!$C$30</f>
        <v>111.1337095</v>
      </c>
      <c r="U646" s="139">
        <f>($P646*(1-(Assumptions!$C$25+0.06*(1-$K646))-Assumptions!$C$27)-Assumptions!$C$28)-MAX(0,($P646*(1-(Assumptions!$C$25+0.06*(1-$K646))-Assumptions!$C$27)-Assumptions!$C$28)*Assumptions!$C$31)+Assumptions!$C$28-Assumptions!$C$29-$P646*Assumptions!$C$30</f>
        <v>42.4489536</v>
      </c>
      <c r="V646" s="143">
        <f>(($Q646/(1+$D646)^1+$R646/(1+$D646)^2+$S646/(1+$D646)^3+$T646/(1+$D646)^4+$U646/(1+$D646)^5+$U646*(1+$E646)/($D646-$E646)/(1+$D646)^5)-Assumptions!$C$37)/Assumptions!$C$40/Assumptions!$C$38</f>
        <v>-0.6665661851</v>
      </c>
    </row>
    <row r="647" ht="12.0" customHeight="1">
      <c r="B647" s="139">
        <v>595.0</v>
      </c>
      <c r="C647" s="140">
        <f t="shared" si="6"/>
        <v>0.5089076478</v>
      </c>
      <c r="D647" s="141">
        <f t="shared" si="7"/>
        <v>0.09840172269</v>
      </c>
      <c r="E647" s="141">
        <f t="shared" si="8"/>
        <v>0.01863160216</v>
      </c>
      <c r="F647" s="140">
        <f t="shared" si="9"/>
        <v>0.5188992787</v>
      </c>
      <c r="G647" s="141">
        <f t="shared" si="10"/>
        <v>0.06057243982</v>
      </c>
      <c r="H647" s="142">
        <f t="shared" si="11"/>
        <v>1</v>
      </c>
      <c r="I647" s="142">
        <f t="shared" si="12"/>
        <v>1</v>
      </c>
      <c r="J647" s="142">
        <f t="shared" si="13"/>
        <v>0</v>
      </c>
      <c r="K647" s="142">
        <f t="shared" si="14"/>
        <v>1</v>
      </c>
      <c r="L647" s="139">
        <f>Assumptions!$C$6*Assumptions!$C$7*(1+$G647-0.05*(1-1))^1+Assumptions!$C$6*Assumptions!$C$8*(1+Assumptions!$C$11)^1+Assumptions!$C$16*1+Assumptions!$C$6*Assumptions!$C$9*(1+Assumptions!$C$12)^1</f>
        <v>746.8566832</v>
      </c>
      <c r="M647" s="139">
        <f>Assumptions!$C$6*Assumptions!$C$7*(1+$G647-0.05*(1-$H647))^2+Assumptions!$C$6*Assumptions!$C$8*(1+Assumptions!$C$11)^2+Assumptions!$C$16*$H647+Assumptions!$C$6*Assumptions!$C$9*(1+Assumptions!$C$12)^2</f>
        <v>775.0777188</v>
      </c>
      <c r="N647" s="139">
        <f>Assumptions!$C$6*Assumptions!$C$7*(1+$G647-0.05*(1-$I647))^3+Assumptions!$C$6*Assumptions!$C$8*(1+Assumptions!$C$11)^3+Assumptions!$C$16*$I647+Assumptions!$C$6*Assumptions!$C$9*(1+Assumptions!$C$12)^3</f>
        <v>804.7405003</v>
      </c>
      <c r="O647" s="139">
        <f>Assumptions!$C$6*Assumptions!$C$7*(1+$G647-0.05*(1-$J647))^4+Assumptions!$C$6*Assumptions!$C$8*(1+Assumptions!$C$11)^4+Assumptions!$C$16*$J647+Assumptions!$C$6*Assumptions!$C$9*(1+Assumptions!$C$12)^4</f>
        <v>701.1206326</v>
      </c>
      <c r="P647" s="139">
        <f>Assumptions!$C$6*Assumptions!$C$7*(1+$G647-0.05*(1-$K647))^5+Assumptions!$C$6*Assumptions!$C$8*(1+Assumptions!$C$11)^5+Assumptions!$C$16*$K647+Assumptions!$C$6*Assumptions!$C$9*(1+Assumptions!$C$12)^5</f>
        <v>868.7240663</v>
      </c>
      <c r="Q647" s="139">
        <f>($L647*(1-(Assumptions!$C$25+0.06*(1-1))-Assumptions!$C$27)-Assumptions!$C$28)-MAX(0,($L647*(1-(Assumptions!$C$25+0.06*(1-1))-Assumptions!$C$27)-Assumptions!$C$28)*Assumptions!$C$31)+Assumptions!$C$28-Assumptions!$C$29-$L647*Assumptions!$C$30</f>
        <v>93.0741869</v>
      </c>
      <c r="R647" s="139">
        <f>($M647*(1-(Assumptions!$C$25+0.06*(1-$H647))-Assumptions!$C$27)-Assumptions!$C$28)-MAX(0,($M647*(1-(Assumptions!$C$25+0.06*(1-$H647))-Assumptions!$C$27)-Assumptions!$C$28)*Assumptions!$C$31)+Assumptions!$C$28-Assumptions!$C$29-$M647*Assumptions!$C$30</f>
        <v>99.14170954</v>
      </c>
      <c r="S647" s="139">
        <f>($N647*(1-(Assumptions!$C$25+0.06*(1-$I647))-Assumptions!$C$27)-Assumptions!$C$28)-MAX(0,($N647*(1-(Assumptions!$C$25+0.06*(1-$I647))-Assumptions!$C$27)-Assumptions!$C$28)*Assumptions!$C$31)+Assumptions!$C$28-Assumptions!$C$29-$N647*Assumptions!$C$30</f>
        <v>105.5192076</v>
      </c>
      <c r="T647" s="139">
        <f>($O647*(1-(Assumptions!$C$25+0.06*(1-$J647))-Assumptions!$C$27)-Assumptions!$C$28)-MAX(0,($O647*(1-(Assumptions!$C$25+0.06*(1-$J647))-Assumptions!$C$27)-Assumptions!$C$28)*Assumptions!$C$31)+Assumptions!$C$28-Assumptions!$C$29-$O647*Assumptions!$C$30</f>
        <v>41.2577455</v>
      </c>
      <c r="U647" s="139">
        <f>($P647*(1-(Assumptions!$C$25+0.06*(1-$K647))-Assumptions!$C$27)-Assumptions!$C$28)-MAX(0,($P647*(1-(Assumptions!$C$25+0.06*(1-$K647))-Assumptions!$C$27)-Assumptions!$C$28)*Assumptions!$C$31)+Assumptions!$C$28-Assumptions!$C$29-$P647*Assumptions!$C$30</f>
        <v>119.2756743</v>
      </c>
      <c r="V647" s="143">
        <f>(($Q647/(1+$D647)^1+$R647/(1+$D647)^2+$S647/(1+$D647)^3+$T647/(1+$D647)^4+$U647/(1+$D647)^5+$U647*(1+$E647)/($D647-$E647)/(1+$D647)^5)-Assumptions!$C$37)/Assumptions!$C$40/Assumptions!$C$38</f>
        <v>4.763590847</v>
      </c>
    </row>
    <row r="648" ht="12.0" customHeight="1">
      <c r="B648" s="139">
        <v>596.0</v>
      </c>
      <c r="C648" s="140">
        <f t="shared" si="6"/>
        <v>0.03529035193</v>
      </c>
      <c r="D648" s="141">
        <f t="shared" si="7"/>
        <v>0.08845881906</v>
      </c>
      <c r="E648" s="141">
        <f t="shared" si="8"/>
        <v>0.02207886478</v>
      </c>
      <c r="F648" s="140">
        <f t="shared" si="9"/>
        <v>0.5323458801</v>
      </c>
      <c r="G648" s="141">
        <f t="shared" si="10"/>
        <v>0.06098659938</v>
      </c>
      <c r="H648" s="142">
        <f t="shared" si="11"/>
        <v>1</v>
      </c>
      <c r="I648" s="142">
        <f t="shared" si="12"/>
        <v>1</v>
      </c>
      <c r="J648" s="142">
        <f t="shared" si="13"/>
        <v>1</v>
      </c>
      <c r="K648" s="142">
        <f t="shared" si="14"/>
        <v>1</v>
      </c>
      <c r="L648" s="139">
        <f>Assumptions!$C$6*Assumptions!$C$7*(1+$G648-0.05*(1-1))^1+Assumptions!$C$6*Assumptions!$C$8*(1+Assumptions!$C$11)^1+Assumptions!$C$16*1+Assumptions!$C$6*Assumptions!$C$9*(1+Assumptions!$C$12)^1</f>
        <v>746.9960893</v>
      </c>
      <c r="M648" s="139">
        <f>Assumptions!$C$6*Assumptions!$C$7*(1+$G648-0.05*(1-$H648))^2+Assumptions!$C$6*Assumptions!$C$8*(1+Assumptions!$C$11)^2+Assumptions!$C$16*$H648+Assumptions!$C$6*Assumptions!$C$9*(1+Assumptions!$C$12)^2</f>
        <v>775.3734771</v>
      </c>
      <c r="N648" s="139">
        <f>Assumptions!$C$6*Assumptions!$C$7*(1+$G648-0.05*(1-$I648))^3+Assumptions!$C$6*Assumptions!$C$8*(1+Assumptions!$C$11)^3+Assumptions!$C$16*$I648+Assumptions!$C$6*Assumptions!$C$9*(1+Assumptions!$C$12)^3</f>
        <v>805.2111018</v>
      </c>
      <c r="O648" s="139">
        <f>Assumptions!$C$6*Assumptions!$C$7*(1+$G648-0.05*(1-$J648))^4+Assumptions!$C$6*Assumptions!$C$8*(1+Assumptions!$C$11)^4+Assumptions!$C$16*$J648+Assumptions!$C$6*Assumptions!$C$9*(1+Assumptions!$C$12)^4</f>
        <v>836.5926104</v>
      </c>
      <c r="P648" s="139">
        <f>Assumptions!$C$6*Assumptions!$C$7*(1+$G648-0.05*(1-$K648))^5+Assumptions!$C$6*Assumptions!$C$8*(1+Assumptions!$C$11)^5+Assumptions!$C$16*$K648+Assumptions!$C$6*Assumptions!$C$9*(1+Assumptions!$C$12)^5</f>
        <v>869.6066428</v>
      </c>
      <c r="Q648" s="139">
        <f>($L648*(1-(Assumptions!$C$25+0.06*(1-1))-Assumptions!$C$27)-Assumptions!$C$28)-MAX(0,($L648*(1-(Assumptions!$C$25+0.06*(1-1))-Assumptions!$C$27)-Assumptions!$C$28)*Assumptions!$C$31)+Assumptions!$C$28-Assumptions!$C$29-$L648*Assumptions!$C$30</f>
        <v>93.10415921</v>
      </c>
      <c r="R648" s="139">
        <f>($M648*(1-(Assumptions!$C$25+0.06*(1-$H648))-Assumptions!$C$27)-Assumptions!$C$28)-MAX(0,($M648*(1-(Assumptions!$C$25+0.06*(1-$H648))-Assumptions!$C$27)-Assumptions!$C$28)*Assumptions!$C$31)+Assumptions!$C$28-Assumptions!$C$29-$M648*Assumptions!$C$30</f>
        <v>99.20529757</v>
      </c>
      <c r="S648" s="139">
        <f>($N648*(1-(Assumptions!$C$25+0.06*(1-$I648))-Assumptions!$C$27)-Assumptions!$C$28)-MAX(0,($N648*(1-(Assumptions!$C$25+0.06*(1-$I648))-Assumptions!$C$27)-Assumptions!$C$28)*Assumptions!$C$31)+Assumptions!$C$28-Assumptions!$C$29-$N648*Assumptions!$C$30</f>
        <v>105.6203869</v>
      </c>
      <c r="T648" s="139">
        <f>($O648*(1-(Assumptions!$C$25+0.06*(1-$J648))-Assumptions!$C$27)-Assumptions!$C$28)-MAX(0,($O648*(1-(Assumptions!$C$25+0.06*(1-$J648))-Assumptions!$C$27)-Assumptions!$C$28)*Assumptions!$C$31)+Assumptions!$C$28-Assumptions!$C$29-$O648*Assumptions!$C$30</f>
        <v>112.3674112</v>
      </c>
      <c r="U648" s="139">
        <f>($P648*(1-(Assumptions!$C$25+0.06*(1-$K648))-Assumptions!$C$27)-Assumptions!$C$28)-MAX(0,($P648*(1-(Assumptions!$C$25+0.06*(1-$K648))-Assumptions!$C$27)-Assumptions!$C$28)*Assumptions!$C$31)+Assumptions!$C$28-Assumptions!$C$29-$P648*Assumptions!$C$30</f>
        <v>119.4654282</v>
      </c>
      <c r="V648" s="143">
        <f>(($Q648/(1+$D648)^1+$R648/(1+$D648)^2+$S648/(1+$D648)^3+$T648/(1+$D648)^4+$U648/(1+$D648)^5+$U648*(1+$E648)/($D648-$E648)/(1+$D648)^5)-Assumptions!$C$37)/Assumptions!$C$40/Assumptions!$C$38</f>
        <v>7.193216633</v>
      </c>
    </row>
    <row r="649" ht="12.0" customHeight="1">
      <c r="B649" s="139">
        <v>597.0</v>
      </c>
      <c r="C649" s="140">
        <f t="shared" si="6"/>
        <v>0.1798472961</v>
      </c>
      <c r="D649" s="141">
        <f t="shared" si="7"/>
        <v>0.09280821576</v>
      </c>
      <c r="E649" s="141">
        <f t="shared" si="8"/>
        <v>0.02896464094</v>
      </c>
      <c r="F649" s="140">
        <f t="shared" si="9"/>
        <v>0.1714475064</v>
      </c>
      <c r="G649" s="141">
        <f t="shared" si="10"/>
        <v>0.04756717142</v>
      </c>
      <c r="H649" s="142">
        <f t="shared" si="11"/>
        <v>1</v>
      </c>
      <c r="I649" s="142">
        <f t="shared" si="12"/>
        <v>0</v>
      </c>
      <c r="J649" s="142">
        <f t="shared" si="13"/>
        <v>0</v>
      </c>
      <c r="K649" s="142">
        <f t="shared" si="14"/>
        <v>1</v>
      </c>
      <c r="L649" s="139">
        <f>Assumptions!$C$6*Assumptions!$C$7*(1+$G649-0.05*(1-1))^1+Assumptions!$C$6*Assumptions!$C$8*(1+Assumptions!$C$11)^1+Assumptions!$C$16*1+Assumptions!$C$6*Assumptions!$C$9*(1+Assumptions!$C$12)^1</f>
        <v>742.4791099</v>
      </c>
      <c r="M649" s="139">
        <f>Assumptions!$C$6*Assumptions!$C$7*(1+$G649-0.05*(1-$H649))^2+Assumptions!$C$6*Assumptions!$C$8*(1+Assumptions!$C$11)^2+Assumptions!$C$16*$H649+Assumptions!$C$6*Assumptions!$C$9*(1+Assumptions!$C$12)^2</f>
        <v>765.849183</v>
      </c>
      <c r="N649" s="139">
        <f>Assumptions!$C$6*Assumptions!$C$7*(1+$G649-0.05*(1-$I649))^3+Assumptions!$C$6*Assumptions!$C$8*(1+Assumptions!$C$11)^3+Assumptions!$C$16*$I649+Assumptions!$C$6*Assumptions!$C$9*(1+Assumptions!$C$12)^3</f>
        <v>677.3439687</v>
      </c>
      <c r="O649" s="139">
        <f>Assumptions!$C$6*Assumptions!$C$7*(1+$G649-0.05*(1-$J649))^4+Assumptions!$C$6*Assumptions!$C$8*(1+Assumptions!$C$11)^4+Assumptions!$C$16*$J649+Assumptions!$C$6*Assumptions!$C$9*(1+Assumptions!$C$12)^4</f>
        <v>683.3949341</v>
      </c>
      <c r="P649" s="139">
        <f>Assumptions!$C$6*Assumptions!$C$7*(1+$G649-0.05*(1-$K649))^5+Assumptions!$C$6*Assumptions!$C$8*(1+Assumptions!$C$11)^5+Assumptions!$C$16*$K649+Assumptions!$C$6*Assumptions!$C$9*(1+Assumptions!$C$12)^5</f>
        <v>841.7022846</v>
      </c>
      <c r="Q649" s="139">
        <f>($L649*(1-(Assumptions!$C$25+0.06*(1-1))-Assumptions!$C$27)-Assumptions!$C$28)-MAX(0,($L649*(1-(Assumptions!$C$25+0.06*(1-1))-Assumptions!$C$27)-Assumptions!$C$28)*Assumptions!$C$31)+Assumptions!$C$28-Assumptions!$C$29-$L649*Assumptions!$C$30</f>
        <v>92.13300863</v>
      </c>
      <c r="R649" s="139">
        <f>($M649*(1-(Assumptions!$C$25+0.06*(1-$H649))-Assumptions!$C$27)-Assumptions!$C$28)-MAX(0,($M649*(1-(Assumptions!$C$25+0.06*(1-$H649))-Assumptions!$C$27)-Assumptions!$C$28)*Assumptions!$C$31)+Assumptions!$C$28-Assumptions!$C$29-$M649*Assumptions!$C$30</f>
        <v>97.15757435</v>
      </c>
      <c r="S649" s="139">
        <f>($N649*(1-(Assumptions!$C$25+0.06*(1-$I649))-Assumptions!$C$27)-Assumptions!$C$28)-MAX(0,($N649*(1-(Assumptions!$C$25+0.06*(1-$I649))-Assumptions!$C$27)-Assumptions!$C$28)*Assumptions!$C$31)+Assumptions!$C$28-Assumptions!$C$29-$N649*Assumptions!$C$30</f>
        <v>35.7891128</v>
      </c>
      <c r="T649" s="139">
        <f>($O649*(1-(Assumptions!$C$25+0.06*(1-$J649))-Assumptions!$C$27)-Assumptions!$C$28)-MAX(0,($O649*(1-(Assumptions!$C$25+0.06*(1-$J649))-Assumptions!$C$27)-Assumptions!$C$28)*Assumptions!$C$31)+Assumptions!$C$28-Assumptions!$C$29-$O649*Assumptions!$C$30</f>
        <v>37.18083484</v>
      </c>
      <c r="U649" s="139">
        <f>($P649*(1-(Assumptions!$C$25+0.06*(1-$K649))-Assumptions!$C$27)-Assumptions!$C$28)-MAX(0,($P649*(1-(Assumptions!$C$25+0.06*(1-$K649))-Assumptions!$C$27)-Assumptions!$C$28)*Assumptions!$C$31)+Assumptions!$C$28-Assumptions!$C$29-$P649*Assumptions!$C$30</f>
        <v>113.4659912</v>
      </c>
      <c r="V649" s="143">
        <f>(($Q649/(1+$D649)^1+$R649/(1+$D649)^2+$S649/(1+$D649)^3+$T649/(1+$D649)^4+$U649/(1+$D649)^5+$U649*(1+$E649)/($D649-$E649)/(1+$D649)^5)-Assumptions!$C$37)/Assumptions!$C$40/Assumptions!$C$38</f>
        <v>6.037260661</v>
      </c>
    </row>
    <row r="650" ht="12.0" customHeight="1">
      <c r="B650" s="139">
        <v>598.0</v>
      </c>
      <c r="C650" s="140">
        <f t="shared" si="6"/>
        <v>0.9420456689</v>
      </c>
      <c r="D650" s="141">
        <f t="shared" si="7"/>
        <v>0.1092980372</v>
      </c>
      <c r="E650" s="141">
        <f t="shared" si="8"/>
        <v>0.02911342356</v>
      </c>
      <c r="F650" s="140">
        <f t="shared" si="9"/>
        <v>0.4304878249</v>
      </c>
      <c r="G650" s="141">
        <f t="shared" si="10"/>
        <v>0.05783663207</v>
      </c>
      <c r="H650" s="142">
        <f t="shared" si="11"/>
        <v>0</v>
      </c>
      <c r="I650" s="142">
        <f t="shared" si="12"/>
        <v>0</v>
      </c>
      <c r="J650" s="142">
        <f t="shared" si="13"/>
        <v>1</v>
      </c>
      <c r="K650" s="142">
        <f t="shared" si="14"/>
        <v>1</v>
      </c>
      <c r="L650" s="139">
        <f>Assumptions!$C$6*Assumptions!$C$7*(1+$G650-0.05*(1-1))^1+Assumptions!$C$6*Assumptions!$C$8*(1+Assumptions!$C$11)^1+Assumptions!$C$16*1+Assumptions!$C$6*Assumptions!$C$9*(1+Assumptions!$C$12)^1</f>
        <v>745.9358104</v>
      </c>
      <c r="M650" s="139">
        <f>Assumptions!$C$6*Assumptions!$C$7*(1+$G650-0.05*(1-$H650))^2+Assumptions!$C$6*Assumptions!$C$8*(1+Assumptions!$C$11)^2+Assumptions!$C$16*$H650+Assumptions!$C$6*Assumptions!$C$9*(1+Assumptions!$C$12)^2</f>
        <v>678.3616523</v>
      </c>
      <c r="N650" s="139">
        <f>Assumptions!$C$6*Assumptions!$C$7*(1+$G650-0.05*(1-$I650))^3+Assumptions!$C$6*Assumptions!$C$8*(1+Assumptions!$C$11)^3+Assumptions!$C$16*$I650+Assumptions!$C$6*Assumptions!$C$9*(1+Assumptions!$C$12)^3</f>
        <v>687.7702749</v>
      </c>
      <c r="O650" s="139">
        <f>Assumptions!$C$6*Assumptions!$C$7*(1+$G650-0.05*(1-$J650))^4+Assumptions!$C$6*Assumptions!$C$8*(1+Assumptions!$C$11)^4+Assumptions!$C$16*$J650+Assumptions!$C$6*Assumptions!$C$9*(1+Assumptions!$C$12)^4</f>
        <v>831.5497691</v>
      </c>
      <c r="P650" s="139">
        <f>Assumptions!$C$6*Assumptions!$C$7*(1+$G650-0.05*(1-$K650))^5+Assumptions!$C$6*Assumptions!$C$8*(1+Assumptions!$C$11)^5+Assumptions!$C$16*$K650+Assumptions!$C$6*Assumptions!$C$9*(1+Assumptions!$C$12)^5</f>
        <v>862.9285722</v>
      </c>
      <c r="Q650" s="139">
        <f>($L650*(1-(Assumptions!$C$25+0.06*(1-1))-Assumptions!$C$27)-Assumptions!$C$28)-MAX(0,($L650*(1-(Assumptions!$C$25+0.06*(1-1))-Assumptions!$C$27)-Assumptions!$C$28)*Assumptions!$C$31)+Assumptions!$C$28-Assumptions!$C$29-$L650*Assumptions!$C$30</f>
        <v>92.87619923</v>
      </c>
      <c r="R650" s="139">
        <f>($M650*(1-(Assumptions!$C$25+0.06*(1-$H650))-Assumptions!$C$27)-Assumptions!$C$28)-MAX(0,($M650*(1-(Assumptions!$C$25+0.06*(1-$H650))-Assumptions!$C$27)-Assumptions!$C$28)*Assumptions!$C$31)+Assumptions!$C$28-Assumptions!$C$29-$M650*Assumptions!$C$30</f>
        <v>36.02318002</v>
      </c>
      <c r="S650" s="139">
        <f>($N650*(1-(Assumptions!$C$25+0.06*(1-$I650))-Assumptions!$C$27)-Assumptions!$C$28)-MAX(0,($N650*(1-(Assumptions!$C$25+0.06*(1-$I650))-Assumptions!$C$27)-Assumptions!$C$28)*Assumptions!$C$31)+Assumptions!$C$28-Assumptions!$C$29-$N650*Assumptions!$C$30</f>
        <v>38.18716323</v>
      </c>
      <c r="T650" s="139">
        <f>($O650*(1-(Assumptions!$C$25+0.06*(1-$J650))-Assumptions!$C$27)-Assumptions!$C$28)-MAX(0,($O650*(1-(Assumptions!$C$25+0.06*(1-$J650))-Assumptions!$C$27)-Assumptions!$C$28)*Assumptions!$C$31)+Assumptions!$C$28-Assumptions!$C$29-$O650*Assumptions!$C$30</f>
        <v>111.2832004</v>
      </c>
      <c r="U650" s="139">
        <f>($P650*(1-(Assumptions!$C$25+0.06*(1-$K650))-Assumptions!$C$27)-Assumptions!$C$28)-MAX(0,($P650*(1-(Assumptions!$C$25+0.06*(1-$K650))-Assumptions!$C$27)-Assumptions!$C$28)*Assumptions!$C$31)+Assumptions!$C$28-Assumptions!$C$29-$P650*Assumptions!$C$30</f>
        <v>118.029643</v>
      </c>
      <c r="V650" s="143">
        <f>(($Q650/(1+$D650)^1+$R650/(1+$D650)^2+$S650/(1+$D650)^3+$T650/(1+$D650)^4+$U650/(1+$D650)^5+$U650*(1+$E650)/($D650-$E650)/(1+$D650)^5)-Assumptions!$C$37)/Assumptions!$C$40/Assumptions!$C$38</f>
        <v>3.86184922</v>
      </c>
    </row>
    <row r="651" ht="12.0" customHeight="1">
      <c r="B651" s="139">
        <v>599.0</v>
      </c>
      <c r="C651" s="140">
        <f t="shared" si="6"/>
        <v>0.4311155669</v>
      </c>
      <c r="D651" s="141">
        <f t="shared" si="7"/>
        <v>0.09713539346</v>
      </c>
      <c r="E651" s="141">
        <f t="shared" si="8"/>
        <v>0.02775781143</v>
      </c>
      <c r="F651" s="140">
        <f t="shared" si="9"/>
        <v>0.4946078448</v>
      </c>
      <c r="G651" s="141">
        <f t="shared" si="10"/>
        <v>0.05983779685</v>
      </c>
      <c r="H651" s="142">
        <f t="shared" si="11"/>
        <v>1</v>
      </c>
      <c r="I651" s="142">
        <f t="shared" si="12"/>
        <v>0</v>
      </c>
      <c r="J651" s="142">
        <f t="shared" si="13"/>
        <v>1</v>
      </c>
      <c r="K651" s="142">
        <f t="shared" si="14"/>
        <v>1</v>
      </c>
      <c r="L651" s="139">
        <f>Assumptions!$C$6*Assumptions!$C$7*(1+$G651-0.05*(1-1))^1+Assumptions!$C$6*Assumptions!$C$8*(1+Assumptions!$C$11)^1+Assumptions!$C$16*1+Assumptions!$C$6*Assumptions!$C$9*(1+Assumptions!$C$12)^1</f>
        <v>746.6094024</v>
      </c>
      <c r="M651" s="139">
        <f>Assumptions!$C$6*Assumptions!$C$7*(1+$G651-0.05*(1-$H651))^2+Assumptions!$C$6*Assumptions!$C$8*(1+Assumptions!$C$11)^2+Assumptions!$C$16*$H651+Assumptions!$C$6*Assumptions!$C$9*(1+Assumptions!$C$12)^2</f>
        <v>774.553382</v>
      </c>
      <c r="N651" s="139">
        <f>Assumptions!$C$6*Assumptions!$C$7*(1+$G651-0.05*(1-$I651))^3+Assumptions!$C$6*Assumptions!$C$8*(1+Assumptions!$C$11)^3+Assumptions!$C$16*$I651+Assumptions!$C$6*Assumptions!$C$9*(1+Assumptions!$C$12)^3</f>
        <v>689.8269257</v>
      </c>
      <c r="O651" s="139">
        <f>Assumptions!$C$6*Assumptions!$C$7*(1+$G651-0.05*(1-$J651))^4+Assumptions!$C$6*Assumptions!$C$8*(1+Assumptions!$C$11)^4+Assumptions!$C$16*$J651+Assumptions!$C$6*Assumptions!$C$9*(1+Assumptions!$C$12)^4</f>
        <v>834.7482586</v>
      </c>
      <c r="P651" s="139">
        <f>Assumptions!$C$6*Assumptions!$C$7*(1+$G651-0.05*(1-$K651))^5+Assumptions!$C$6*Assumptions!$C$8*(1+Assumptions!$C$11)^5+Assumptions!$C$16*$K651+Assumptions!$C$6*Assumptions!$C$9*(1+Assumptions!$C$12)^5</f>
        <v>867.1619257</v>
      </c>
      <c r="Q651" s="139">
        <f>($L651*(1-(Assumptions!$C$25+0.06*(1-1))-Assumptions!$C$27)-Assumptions!$C$28)-MAX(0,($L651*(1-(Assumptions!$C$25+0.06*(1-1))-Assumptions!$C$27)-Assumptions!$C$28)*Assumptions!$C$31)+Assumptions!$C$28-Assumptions!$C$29-$L651*Assumptions!$C$30</f>
        <v>93.02102152</v>
      </c>
      <c r="R651" s="139">
        <f>($M651*(1-(Assumptions!$C$25+0.06*(1-$H651))-Assumptions!$C$27)-Assumptions!$C$28)-MAX(0,($M651*(1-(Assumptions!$C$25+0.06*(1-$H651))-Assumptions!$C$27)-Assumptions!$C$28)*Assumptions!$C$31)+Assumptions!$C$28-Assumptions!$C$29-$M651*Assumptions!$C$30</f>
        <v>99.02897713</v>
      </c>
      <c r="S651" s="139">
        <f>($N651*(1-(Assumptions!$C$25+0.06*(1-$I651))-Assumptions!$C$27)-Assumptions!$C$28)-MAX(0,($N651*(1-(Assumptions!$C$25+0.06*(1-$I651))-Assumptions!$C$27)-Assumptions!$C$28)*Assumptions!$C$31)+Assumptions!$C$28-Assumptions!$C$29-$N651*Assumptions!$C$30</f>
        <v>38.6601929</v>
      </c>
      <c r="T651" s="139">
        <f>($O651*(1-(Assumptions!$C$25+0.06*(1-$J651))-Assumptions!$C$27)-Assumptions!$C$28)-MAX(0,($O651*(1-(Assumptions!$C$25+0.06*(1-$J651))-Assumptions!$C$27)-Assumptions!$C$28)*Assumptions!$C$31)+Assumptions!$C$28-Assumptions!$C$29-$O651*Assumptions!$C$30</f>
        <v>111.9708756</v>
      </c>
      <c r="U651" s="139">
        <f>($P651*(1-(Assumptions!$C$25+0.06*(1-$K651))-Assumptions!$C$27)-Assumptions!$C$28)-MAX(0,($P651*(1-(Assumptions!$C$25+0.06*(1-$K651))-Assumptions!$C$27)-Assumptions!$C$28)*Assumptions!$C$31)+Assumptions!$C$28-Assumptions!$C$29-$P651*Assumptions!$C$30</f>
        <v>118.939814</v>
      </c>
      <c r="V651" s="143">
        <f>(($Q651/(1+$D651)^1+$R651/(1+$D651)^2+$S651/(1+$D651)^3+$T651/(1+$D651)^4+$U651/(1+$D651)^5+$U651*(1+$E651)/($D651-$E651)/(1+$D651)^5)-Assumptions!$C$37)/Assumptions!$C$40/Assumptions!$C$38</f>
        <v>5.971075367</v>
      </c>
    </row>
    <row r="652" ht="12.0" customHeight="1">
      <c r="B652" s="139">
        <v>600.0</v>
      </c>
      <c r="C652" s="140">
        <f t="shared" si="6"/>
        <v>0.9935440612</v>
      </c>
      <c r="D652" s="141">
        <f t="shared" si="7"/>
        <v>0.1130969021</v>
      </c>
      <c r="E652" s="141">
        <f t="shared" si="8"/>
        <v>0.01867006804</v>
      </c>
      <c r="F652" s="140">
        <f t="shared" si="9"/>
        <v>0.9020670484</v>
      </c>
      <c r="G652" s="141">
        <f t="shared" si="10"/>
        <v>0.07672297801</v>
      </c>
      <c r="H652" s="142">
        <f t="shared" si="11"/>
        <v>1</v>
      </c>
      <c r="I652" s="142">
        <f t="shared" si="12"/>
        <v>1</v>
      </c>
      <c r="J652" s="142">
        <f t="shared" si="13"/>
        <v>1</v>
      </c>
      <c r="K652" s="142">
        <f t="shared" si="14"/>
        <v>1</v>
      </c>
      <c r="L652" s="139">
        <f>Assumptions!$C$6*Assumptions!$C$7*(1+$G652-0.05*(1-1))^1+Assumptions!$C$6*Assumptions!$C$8*(1+Assumptions!$C$11)^1+Assumptions!$C$16*1+Assumptions!$C$6*Assumptions!$C$9*(1+Assumptions!$C$12)^1</f>
        <v>752.2929544</v>
      </c>
      <c r="M652" s="139">
        <f>Assumptions!$C$6*Assumptions!$C$7*(1+$G652-0.05*(1-$H652))^2+Assumptions!$C$6*Assumptions!$C$8*(1+Assumptions!$C$11)^2+Assumptions!$C$16*$H652+Assumptions!$C$6*Assumptions!$C$9*(1+Assumptions!$C$12)^2</f>
        <v>786.6966362</v>
      </c>
      <c r="N652" s="139">
        <f>Assumptions!$C$6*Assumptions!$C$7*(1+$G652-0.05*(1-$I652))^3+Assumptions!$C$6*Assumptions!$C$8*(1+Assumptions!$C$11)^3+Assumptions!$C$16*$I652+Assumptions!$C$6*Assumptions!$C$9*(1+Assumptions!$C$12)^3</f>
        <v>823.365649</v>
      </c>
      <c r="O652" s="139">
        <f>Assumptions!$C$6*Assumptions!$C$7*(1+$G652-0.05*(1-$J652))^4+Assumptions!$C$6*Assumptions!$C$8*(1+Assumptions!$C$11)^4+Assumptions!$C$16*$J652+Assumptions!$C$6*Assumptions!$C$9*(1+Assumptions!$C$12)^4</f>
        <v>862.4663114</v>
      </c>
      <c r="P652" s="139">
        <f>Assumptions!$C$6*Assumptions!$C$7*(1+$G652-0.05*(1-$K652))^5+Assumptions!$C$6*Assumptions!$C$8*(1+Assumptions!$C$11)^5+Assumptions!$C$16*$K652+Assumptions!$C$6*Assumptions!$C$9*(1+Assumptions!$C$12)^5</f>
        <v>904.1775525</v>
      </c>
      <c r="Q652" s="139">
        <f>($L652*(1-(Assumptions!$C$25+0.06*(1-1))-Assumptions!$C$27)-Assumptions!$C$28)-MAX(0,($L652*(1-(Assumptions!$C$25+0.06*(1-1))-Assumptions!$C$27)-Assumptions!$C$28)*Assumptions!$C$31)+Assumptions!$C$28-Assumptions!$C$29-$L652*Assumptions!$C$30</f>
        <v>94.2429852</v>
      </c>
      <c r="R652" s="139">
        <f>($M652*(1-(Assumptions!$C$25+0.06*(1-$H652))-Assumptions!$C$27)-Assumptions!$C$28)-MAX(0,($M652*(1-(Assumptions!$C$25+0.06*(1-$H652))-Assumptions!$C$27)-Assumptions!$C$28)*Assumptions!$C$31)+Assumptions!$C$28-Assumptions!$C$29-$M652*Assumptions!$C$30</f>
        <v>101.6397768</v>
      </c>
      <c r="S652" s="139">
        <f>($N652*(1-(Assumptions!$C$25+0.06*(1-$I652))-Assumptions!$C$27)-Assumptions!$C$28)-MAX(0,($N652*(1-(Assumptions!$C$25+0.06*(1-$I652))-Assumptions!$C$27)-Assumptions!$C$28)*Assumptions!$C$31)+Assumptions!$C$28-Assumptions!$C$29-$N652*Assumptions!$C$30</f>
        <v>109.5236145</v>
      </c>
      <c r="T652" s="139">
        <f>($O652*(1-(Assumptions!$C$25+0.06*(1-$J652))-Assumptions!$C$27)-Assumptions!$C$28)-MAX(0,($O652*(1-(Assumptions!$C$25+0.06*(1-$J652))-Assumptions!$C$27)-Assumptions!$C$28)*Assumptions!$C$31)+Assumptions!$C$28-Assumptions!$C$29-$O652*Assumptions!$C$30</f>
        <v>117.9302569</v>
      </c>
      <c r="U652" s="139">
        <f>($P652*(1-(Assumptions!$C$25+0.06*(1-$K652))-Assumptions!$C$27)-Assumptions!$C$28)-MAX(0,($P652*(1-(Assumptions!$C$25+0.06*(1-$K652))-Assumptions!$C$27)-Assumptions!$C$28)*Assumptions!$C$31)+Assumptions!$C$28-Assumptions!$C$29-$P652*Assumptions!$C$30</f>
        <v>126.8981738</v>
      </c>
      <c r="V652" s="143">
        <f>(($Q652/(1+$D652)^1+$R652/(1+$D652)^2+$S652/(1+$D652)^3+$T652/(1+$D652)^4+$U652/(1+$D652)^5+$U652*(1+$E652)/($D652-$E652)/(1+$D652)^5)-Assumptions!$C$37)/Assumptions!$C$40/Assumptions!$C$38</f>
        <v>3.954151463</v>
      </c>
    </row>
    <row r="653" ht="12.0" customHeight="1">
      <c r="B653" s="139">
        <v>601.0</v>
      </c>
      <c r="C653" s="140">
        <f t="shared" si="6"/>
        <v>0.7714774542</v>
      </c>
      <c r="D653" s="141">
        <f t="shared" si="7"/>
        <v>0.1036774054</v>
      </c>
      <c r="E653" s="141">
        <f t="shared" si="8"/>
        <v>0.01197897092</v>
      </c>
      <c r="F653" s="140">
        <f t="shared" si="9"/>
        <v>0.1547556241</v>
      </c>
      <c r="G653" s="141">
        <f t="shared" si="10"/>
        <v>0.04669012053</v>
      </c>
      <c r="H653" s="142">
        <f t="shared" si="11"/>
        <v>1</v>
      </c>
      <c r="I653" s="142">
        <f t="shared" si="12"/>
        <v>1</v>
      </c>
      <c r="J653" s="142">
        <f t="shared" si="13"/>
        <v>0</v>
      </c>
      <c r="K653" s="142">
        <f t="shared" si="14"/>
        <v>0</v>
      </c>
      <c r="L653" s="139">
        <f>Assumptions!$C$6*Assumptions!$C$7*(1+$G653-0.05*(1-1))^1+Assumptions!$C$6*Assumptions!$C$8*(1+Assumptions!$C$11)^1+Assumptions!$C$16*1+Assumptions!$C$6*Assumptions!$C$9*(1+Assumptions!$C$12)^1</f>
        <v>742.1838946</v>
      </c>
      <c r="M653" s="139">
        <f>Assumptions!$C$6*Assumptions!$C$7*(1+$G653-0.05*(1-$H653))^2+Assumptions!$C$6*Assumptions!$C$8*(1+Assumptions!$C$11)^2+Assumptions!$C$16*$H653+Assumptions!$C$6*Assumptions!$C$9*(1+Assumptions!$C$12)^2</f>
        <v>765.2309262</v>
      </c>
      <c r="N653" s="139">
        <f>Assumptions!$C$6*Assumptions!$C$7*(1+$G653-0.05*(1-$I653))^3+Assumptions!$C$6*Assumptions!$C$8*(1+Assumptions!$C$11)^3+Assumptions!$C$16*$I653+Assumptions!$C$6*Assumptions!$C$9*(1+Assumptions!$C$12)^3</f>
        <v>789.1779421</v>
      </c>
      <c r="O653" s="139">
        <f>Assumptions!$C$6*Assumptions!$C$7*(1+$G653-0.05*(1-$J653))^4+Assumptions!$C$6*Assumptions!$C$8*(1+Assumptions!$C$11)^4+Assumptions!$C$16*$J653+Assumptions!$C$6*Assumptions!$C$9*(1+Assumptions!$C$12)^4</f>
        <v>682.2242154</v>
      </c>
      <c r="P653" s="139">
        <f>Assumptions!$C$6*Assumptions!$C$7*(1+$G653-0.05*(1-$K653))^5+Assumptions!$C$6*Assumptions!$C$8*(1+Assumptions!$C$11)^5+Assumptions!$C$16*$K653+Assumptions!$C$6*Assumptions!$C$9*(1+Assumptions!$C$12)^5</f>
        <v>688.1259583</v>
      </c>
      <c r="Q653" s="139">
        <f>($L653*(1-(Assumptions!$C$25+0.06*(1-1))-Assumptions!$C$27)-Assumptions!$C$28)-MAX(0,($L653*(1-(Assumptions!$C$25+0.06*(1-1))-Assumptions!$C$27)-Assumptions!$C$28)*Assumptions!$C$31)+Assumptions!$C$28-Assumptions!$C$29-$L653*Assumptions!$C$30</f>
        <v>92.06953733</v>
      </c>
      <c r="R653" s="139">
        <f>($M653*(1-(Assumptions!$C$25+0.06*(1-$H653))-Assumptions!$C$27)-Assumptions!$C$28)-MAX(0,($M653*(1-(Assumptions!$C$25+0.06*(1-$H653))-Assumptions!$C$27)-Assumptions!$C$28)*Assumptions!$C$31)+Assumptions!$C$28-Assumptions!$C$29-$M653*Assumptions!$C$30</f>
        <v>97.02464912</v>
      </c>
      <c r="S653" s="139">
        <f>($N653*(1-(Assumptions!$C$25+0.06*(1-$I653))-Assumptions!$C$27)-Assumptions!$C$28)-MAX(0,($N653*(1-(Assumptions!$C$25+0.06*(1-$I653))-Assumptions!$C$27)-Assumptions!$C$28)*Assumptions!$C$31)+Assumptions!$C$28-Assumptions!$C$29-$N653*Assumptions!$C$30</f>
        <v>102.1732575</v>
      </c>
      <c r="T653" s="139">
        <f>($O653*(1-(Assumptions!$C$25+0.06*(1-$J653))-Assumptions!$C$27)-Assumptions!$C$28)-MAX(0,($O653*(1-(Assumptions!$C$25+0.06*(1-$J653))-Assumptions!$C$27)-Assumptions!$C$28)*Assumptions!$C$31)+Assumptions!$C$28-Assumptions!$C$29-$O653*Assumptions!$C$30</f>
        <v>36.91156954</v>
      </c>
      <c r="U653" s="139">
        <f>($P653*(1-(Assumptions!$C$25+0.06*(1-$K653))-Assumptions!$C$27)-Assumptions!$C$28)-MAX(0,($P653*(1-(Assumptions!$C$25+0.06*(1-$K653))-Assumptions!$C$27)-Assumptions!$C$28)*Assumptions!$C$31)+Assumptions!$C$28-Assumptions!$C$29-$P653*Assumptions!$C$30</f>
        <v>38.26897041</v>
      </c>
      <c r="V653" s="143">
        <f>(($Q653/(1+$D653)^1+$R653/(1+$D653)^2+$S653/(1+$D653)^3+$T653/(1+$D653)^4+$U653/(1+$D653)^5+$U653*(1+$E653)/($D653-$E653)/(1+$D653)^5)-Assumptions!$C$37)/Assumptions!$C$40/Assumptions!$C$38</f>
        <v>-1.143167388</v>
      </c>
    </row>
    <row r="654" ht="12.0" customHeight="1">
      <c r="B654" s="139">
        <v>602.0</v>
      </c>
      <c r="C654" s="140">
        <f t="shared" si="6"/>
        <v>0.02697997044</v>
      </c>
      <c r="D654" s="141">
        <f t="shared" si="7"/>
        <v>0.08802427016</v>
      </c>
      <c r="E654" s="141">
        <f t="shared" si="8"/>
        <v>0.02058572485</v>
      </c>
      <c r="F654" s="140">
        <f t="shared" si="9"/>
        <v>0.7523092875</v>
      </c>
      <c r="G654" s="141">
        <f t="shared" si="10"/>
        <v>0.06888499864</v>
      </c>
      <c r="H654" s="142">
        <f t="shared" si="11"/>
        <v>1</v>
      </c>
      <c r="I654" s="142">
        <f t="shared" si="12"/>
        <v>0</v>
      </c>
      <c r="J654" s="142">
        <f t="shared" si="13"/>
        <v>1</v>
      </c>
      <c r="K654" s="142">
        <f t="shared" si="14"/>
        <v>1</v>
      </c>
      <c r="L654" s="139">
        <f>Assumptions!$C$6*Assumptions!$C$7*(1+$G654-0.05*(1-1))^1+Assumptions!$C$6*Assumptions!$C$8*(1+Assumptions!$C$11)^1+Assumptions!$C$16*1+Assumptions!$C$6*Assumptions!$C$9*(1+Assumptions!$C$12)^1</f>
        <v>749.6546905</v>
      </c>
      <c r="M654" s="139">
        <f>Assumptions!$C$6*Assumptions!$C$7*(1+$G654-0.05*(1-$H654))^2+Assumptions!$C$6*Assumptions!$C$8*(1+Assumptions!$C$11)^2+Assumptions!$C$16*$H654+Assumptions!$C$6*Assumptions!$C$9*(1+Assumptions!$C$12)^2</f>
        <v>781.0359562</v>
      </c>
      <c r="N654" s="139">
        <f>Assumptions!$C$6*Assumptions!$C$7*(1+$G654-0.05*(1-$I654))^3+Assumptions!$C$6*Assumptions!$C$8*(1+Assumptions!$C$11)^3+Assumptions!$C$16*$I654+Assumptions!$C$6*Assumptions!$C$9*(1+Assumptions!$C$12)^3</f>
        <v>699.2271442</v>
      </c>
      <c r="O654" s="139">
        <f>Assumptions!$C$6*Assumptions!$C$7*(1+$G654-0.05*(1-$J654))^4+Assumptions!$C$6*Assumptions!$C$8*(1+Assumptions!$C$11)^4+Assumptions!$C$16*$J654+Assumptions!$C$6*Assumptions!$C$9*(1+Assumptions!$C$12)^4</f>
        <v>849.4362893</v>
      </c>
      <c r="P654" s="139">
        <f>Assumptions!$C$6*Assumptions!$C$7*(1+$G654-0.05*(1-$K654))^5+Assumptions!$C$6*Assumptions!$C$8*(1+Assumptions!$C$11)^5+Assumptions!$C$16*$K654+Assumptions!$C$6*Assumptions!$C$9*(1+Assumptions!$C$12)^5</f>
        <v>886.7039947</v>
      </c>
      <c r="Q654" s="139">
        <f>($L654*(1-(Assumptions!$C$25+0.06*(1-1))-Assumptions!$C$27)-Assumptions!$C$28)-MAX(0,($L654*(1-(Assumptions!$C$25+0.06*(1-1))-Assumptions!$C$27)-Assumptions!$C$28)*Assumptions!$C$31)+Assumptions!$C$28-Assumptions!$C$29-$L654*Assumptions!$C$30</f>
        <v>93.67575847</v>
      </c>
      <c r="R654" s="139">
        <f>($M654*(1-(Assumptions!$C$25+0.06*(1-$H654))-Assumptions!$C$27)-Assumptions!$C$28)-MAX(0,($M654*(1-(Assumptions!$C$25+0.06*(1-$H654))-Assumptions!$C$27)-Assumptions!$C$28)*Assumptions!$C$31)+Assumptions!$C$28-Assumptions!$C$29-$M654*Assumptions!$C$30</f>
        <v>100.4227306</v>
      </c>
      <c r="S654" s="139">
        <f>($N654*(1-(Assumptions!$C$25+0.06*(1-$I654))-Assumptions!$C$27)-Assumptions!$C$28)-MAX(0,($N654*(1-(Assumptions!$C$25+0.06*(1-$I654))-Assumptions!$C$27)-Assumptions!$C$28)*Assumptions!$C$31)+Assumptions!$C$28-Assumptions!$C$29-$N654*Assumptions!$C$30</f>
        <v>40.82224316</v>
      </c>
      <c r="T654" s="139">
        <f>($O654*(1-(Assumptions!$C$25+0.06*(1-$J654))-Assumptions!$C$27)-Assumptions!$C$28)-MAX(0,($O654*(1-(Assumptions!$C$25+0.06*(1-$J654))-Assumptions!$C$27)-Assumptions!$C$28)*Assumptions!$C$31)+Assumptions!$C$28-Assumptions!$C$29-$O654*Assumptions!$C$30</f>
        <v>115.1288022</v>
      </c>
      <c r="U654" s="139">
        <f>($P654*(1-(Assumptions!$C$25+0.06*(1-$K654))-Assumptions!$C$27)-Assumptions!$C$28)-MAX(0,($P654*(1-(Assumptions!$C$25+0.06*(1-$K654))-Assumptions!$C$27)-Assumptions!$C$28)*Assumptions!$C$31)+Assumptions!$C$28-Assumptions!$C$29-$P654*Assumptions!$C$30</f>
        <v>123.1413589</v>
      </c>
      <c r="V654" s="143">
        <f>(($Q654/(1+$D654)^1+$R654/(1+$D654)^2+$S654/(1+$D654)^3+$T654/(1+$D654)^4+$U654/(1+$D654)^5+$U654*(1+$E654)/($D654-$E654)/(1+$D654)^5)-Assumptions!$C$37)/Assumptions!$C$40/Assumptions!$C$38</f>
        <v>6.992880041</v>
      </c>
    </row>
    <row r="655" ht="12.0" customHeight="1">
      <c r="B655" s="139">
        <v>603.0</v>
      </c>
      <c r="C655" s="140">
        <f t="shared" si="6"/>
        <v>0.8039440111</v>
      </c>
      <c r="D655" s="141">
        <f t="shared" si="7"/>
        <v>0.1045125118</v>
      </c>
      <c r="E655" s="141">
        <f t="shared" si="8"/>
        <v>0.02904761637</v>
      </c>
      <c r="F655" s="140">
        <f t="shared" si="9"/>
        <v>0.3931600741</v>
      </c>
      <c r="G655" s="141">
        <f t="shared" si="10"/>
        <v>0.05660240841</v>
      </c>
      <c r="H655" s="142">
        <f t="shared" si="11"/>
        <v>1</v>
      </c>
      <c r="I655" s="142">
        <f t="shared" si="12"/>
        <v>0</v>
      </c>
      <c r="J655" s="142">
        <f t="shared" si="13"/>
        <v>0</v>
      </c>
      <c r="K655" s="142">
        <f t="shared" si="14"/>
        <v>0</v>
      </c>
      <c r="L655" s="139">
        <f>Assumptions!$C$6*Assumptions!$C$7*(1+$G655-0.05*(1-1))^1+Assumptions!$C$6*Assumptions!$C$8*(1+Assumptions!$C$11)^1+Assumptions!$C$16*1+Assumptions!$C$6*Assumptions!$C$9*(1+Assumptions!$C$12)^1</f>
        <v>745.5203707</v>
      </c>
      <c r="M655" s="139">
        <f>Assumptions!$C$6*Assumptions!$C$7*(1+$G655-0.05*(1-$H655))^2+Assumptions!$C$6*Assumptions!$C$8*(1+Assumptions!$C$11)^2+Assumptions!$C$16*$H655+Assumptions!$C$6*Assumptions!$C$9*(1+Assumptions!$C$12)^2</f>
        <v>772.2485114</v>
      </c>
      <c r="N655" s="139">
        <f>Assumptions!$C$6*Assumptions!$C$7*(1+$G655-0.05*(1-$I655))^3+Assumptions!$C$6*Assumptions!$C$8*(1+Assumptions!$C$11)^3+Assumptions!$C$16*$I655+Assumptions!$C$6*Assumptions!$C$9*(1+Assumptions!$C$12)^3</f>
        <v>686.5058951</v>
      </c>
      <c r="O655" s="139">
        <f>Assumptions!$C$6*Assumptions!$C$7*(1+$G655-0.05*(1-$J655))^4+Assumptions!$C$6*Assumptions!$C$8*(1+Assumptions!$C$11)^4+Assumptions!$C$16*$J655+Assumptions!$C$6*Assumptions!$C$9*(1+Assumptions!$C$12)^4</f>
        <v>695.6364694</v>
      </c>
      <c r="P655" s="139">
        <f>Assumptions!$C$6*Assumptions!$C$7*(1+$G655-0.05*(1-$K655))^5+Assumptions!$C$6*Assumptions!$C$8*(1+Assumptions!$C$11)^5+Assumptions!$C$16*$K655+Assumptions!$C$6*Assumptions!$C$9*(1+Assumptions!$C$12)^5</f>
        <v>704.9192871</v>
      </c>
      <c r="Q655" s="139">
        <f>($L655*(1-(Assumptions!$C$25+0.06*(1-1))-Assumptions!$C$27)-Assumptions!$C$28)-MAX(0,($L655*(1-(Assumptions!$C$25+0.06*(1-1))-Assumptions!$C$27)-Assumptions!$C$28)*Assumptions!$C$31)+Assumptions!$C$28-Assumptions!$C$29-$L655*Assumptions!$C$30</f>
        <v>92.78687969</v>
      </c>
      <c r="R655" s="139">
        <f>($M655*(1-(Assumptions!$C$25+0.06*(1-$H655))-Assumptions!$C$27)-Assumptions!$C$28)-MAX(0,($M655*(1-(Assumptions!$C$25+0.06*(1-$H655))-Assumptions!$C$27)-Assumptions!$C$28)*Assumptions!$C$31)+Assumptions!$C$28-Assumptions!$C$29-$M655*Assumptions!$C$30</f>
        <v>98.53342995</v>
      </c>
      <c r="S655" s="139">
        <f>($N655*(1-(Assumptions!$C$25+0.06*(1-$I655))-Assumptions!$C$27)-Assumptions!$C$28)-MAX(0,($N655*(1-(Assumptions!$C$25+0.06*(1-$I655))-Assumptions!$C$27)-Assumptions!$C$28)*Assumptions!$C$31)+Assumptions!$C$28-Assumptions!$C$29-$N655*Assumptions!$C$30</f>
        <v>37.89635587</v>
      </c>
      <c r="T655" s="139">
        <f>($O655*(1-(Assumptions!$C$25+0.06*(1-$J655))-Assumptions!$C$27)-Assumptions!$C$28)-MAX(0,($O655*(1-(Assumptions!$C$25+0.06*(1-$J655))-Assumptions!$C$27)-Assumptions!$C$28)*Assumptions!$C$31)+Assumptions!$C$28-Assumptions!$C$29-$O655*Assumptions!$C$30</f>
        <v>39.99638796</v>
      </c>
      <c r="U655" s="139">
        <f>($P655*(1-(Assumptions!$C$25+0.06*(1-$K655))-Assumptions!$C$27)-Assumptions!$C$28)-MAX(0,($P655*(1-(Assumptions!$C$25+0.06*(1-$K655))-Assumptions!$C$27)-Assumptions!$C$28)*Assumptions!$C$31)+Assumptions!$C$28-Assumptions!$C$29-$P655*Assumptions!$C$30</f>
        <v>42.13143603</v>
      </c>
      <c r="V655" s="143">
        <f>(($Q655/(1+$D655)^1+$R655/(1+$D655)^2+$S655/(1+$D655)^3+$T655/(1+$D655)^4+$U655/(1+$D655)^5+$U655*(1+$E655)/($D655-$E655)/(1+$D655)^5)-Assumptions!$C$37)/Assumptions!$C$40/Assumptions!$C$38</f>
        <v>-0.7554088848</v>
      </c>
    </row>
    <row r="656" ht="12.0" customHeight="1">
      <c r="B656" s="139">
        <v>604.0</v>
      </c>
      <c r="C656" s="140">
        <f t="shared" si="6"/>
        <v>0.7877464583</v>
      </c>
      <c r="D656" s="141">
        <f t="shared" si="7"/>
        <v>0.1040878858</v>
      </c>
      <c r="E656" s="141">
        <f t="shared" si="8"/>
        <v>0.01050977714</v>
      </c>
      <c r="F656" s="140">
        <f t="shared" si="9"/>
        <v>0.8555063738</v>
      </c>
      <c r="G656" s="141">
        <f t="shared" si="10"/>
        <v>0.07387273963</v>
      </c>
      <c r="H656" s="142">
        <f t="shared" si="11"/>
        <v>0</v>
      </c>
      <c r="I656" s="142">
        <f t="shared" si="12"/>
        <v>0</v>
      </c>
      <c r="J656" s="142">
        <f t="shared" si="13"/>
        <v>1</v>
      </c>
      <c r="K656" s="142">
        <f t="shared" si="14"/>
        <v>1</v>
      </c>
      <c r="L656" s="139">
        <f>Assumptions!$C$6*Assumptions!$C$7*(1+$G656-0.05*(1-1))^1+Assumptions!$C$6*Assumptions!$C$8*(1+Assumptions!$C$11)^1+Assumptions!$C$16*1+Assumptions!$C$6*Assumptions!$C$9*(1+Assumptions!$C$12)^1</f>
        <v>751.3335642</v>
      </c>
      <c r="M656" s="139">
        <f>Assumptions!$C$6*Assumptions!$C$7*(1+$G656-0.05*(1-$H656))^2+Assumptions!$C$6*Assumptions!$C$8*(1+Assumptions!$C$11)^2+Assumptions!$C$16*$H656+Assumptions!$C$6*Assumptions!$C$9*(1+Assumptions!$C$12)^2</f>
        <v>689.3283192</v>
      </c>
      <c r="N656" s="139">
        <f>Assumptions!$C$6*Assumptions!$C$7*(1+$G656-0.05*(1-$I656))^3+Assumptions!$C$6*Assumptions!$C$8*(1+Assumptions!$C$11)^3+Assumptions!$C$16*$I656+Assumptions!$C$6*Assumptions!$C$9*(1+Assumptions!$C$12)^3</f>
        <v>704.481432</v>
      </c>
      <c r="O656" s="139">
        <f>Assumptions!$C$6*Assumptions!$C$7*(1+$G656-0.05*(1-$J656))^4+Assumptions!$C$6*Assumptions!$C$8*(1+Assumptions!$C$11)^4+Assumptions!$C$16*$J656+Assumptions!$C$6*Assumptions!$C$9*(1+Assumptions!$C$12)^4</f>
        <v>857.6949491</v>
      </c>
      <c r="P656" s="139">
        <f>Assumptions!$C$6*Assumptions!$C$7*(1+$G656-0.05*(1-$K656))^5+Assumptions!$C$6*Assumptions!$C$8*(1+Assumptions!$C$11)^5+Assumptions!$C$16*$K656+Assumptions!$C$6*Assumptions!$C$9*(1+Assumptions!$C$12)^5</f>
        <v>897.7642467</v>
      </c>
      <c r="Q656" s="139">
        <f>($L656*(1-(Assumptions!$C$25+0.06*(1-1))-Assumptions!$C$27)-Assumptions!$C$28)-MAX(0,($L656*(1-(Assumptions!$C$25+0.06*(1-1))-Assumptions!$C$27)-Assumptions!$C$28)*Assumptions!$C$31)+Assumptions!$C$28-Assumptions!$C$29-$L656*Assumptions!$C$30</f>
        <v>94.03671629</v>
      </c>
      <c r="R656" s="139">
        <f>($M656*(1-(Assumptions!$C$25+0.06*(1-$H656))-Assumptions!$C$27)-Assumptions!$C$28)-MAX(0,($M656*(1-(Assumptions!$C$25+0.06*(1-$H656))-Assumptions!$C$27)-Assumptions!$C$28)*Assumptions!$C$31)+Assumptions!$C$28-Assumptions!$C$29-$M656*Assumptions!$C$30</f>
        <v>38.54551343</v>
      </c>
      <c r="S656" s="139">
        <f>($N656*(1-(Assumptions!$C$25+0.06*(1-$I656))-Assumptions!$C$27)-Assumptions!$C$28)-MAX(0,($N656*(1-(Assumptions!$C$25+0.06*(1-$I656))-Assumptions!$C$27)-Assumptions!$C$28)*Assumptions!$C$31)+Assumptions!$C$28-Assumptions!$C$29-$N656*Assumptions!$C$30</f>
        <v>42.03072936</v>
      </c>
      <c r="T656" s="139">
        <f>($O656*(1-(Assumptions!$C$25+0.06*(1-$J656))-Assumptions!$C$27)-Assumptions!$C$28)-MAX(0,($O656*(1-(Assumptions!$C$25+0.06*(1-$J656))-Assumptions!$C$27)-Assumptions!$C$28)*Assumptions!$C$31)+Assumptions!$C$28-Assumptions!$C$29-$O656*Assumptions!$C$30</f>
        <v>116.9044141</v>
      </c>
      <c r="U656" s="139">
        <f>($P656*(1-(Assumptions!$C$25+0.06*(1-$K656))-Assumptions!$C$27)-Assumptions!$C$28)-MAX(0,($P656*(1-(Assumptions!$C$25+0.06*(1-$K656))-Assumptions!$C$27)-Assumptions!$C$28)*Assumptions!$C$31)+Assumptions!$C$28-Assumptions!$C$29-$P656*Assumptions!$C$30</f>
        <v>125.519313</v>
      </c>
      <c r="V656" s="143">
        <f>(($Q656/(1+$D656)^1+$R656/(1+$D656)^2+$S656/(1+$D656)^3+$T656/(1+$D656)^4+$U656/(1+$D656)^5+$U656*(1+$E656)/($D656-$E656)/(1+$D656)^5)-Assumptions!$C$37)/Assumptions!$C$40/Assumptions!$C$38</f>
        <v>3.415379497</v>
      </c>
    </row>
    <row r="657" ht="12.0" customHeight="1">
      <c r="B657" s="139">
        <v>605.0</v>
      </c>
      <c r="C657" s="140">
        <f t="shared" si="6"/>
        <v>0.386452917</v>
      </c>
      <c r="D657" s="141">
        <f t="shared" si="7"/>
        <v>0.09644737448</v>
      </c>
      <c r="E657" s="141">
        <f t="shared" si="8"/>
        <v>0.01578349778</v>
      </c>
      <c r="F657" s="140">
        <f t="shared" si="9"/>
        <v>0.02741136185</v>
      </c>
      <c r="G657" s="141">
        <f t="shared" si="10"/>
        <v>0.03702427586</v>
      </c>
      <c r="H657" s="142">
        <f t="shared" si="11"/>
        <v>0</v>
      </c>
      <c r="I657" s="142">
        <f t="shared" si="12"/>
        <v>0</v>
      </c>
      <c r="J657" s="142">
        <f t="shared" si="13"/>
        <v>0</v>
      </c>
      <c r="K657" s="142">
        <f t="shared" si="14"/>
        <v>0</v>
      </c>
      <c r="L657" s="139">
        <f>Assumptions!$C$6*Assumptions!$C$7*(1+$G657-0.05*(1-1))^1+Assumptions!$C$6*Assumptions!$C$8*(1+Assumptions!$C$11)^1+Assumptions!$C$16*1+Assumptions!$C$6*Assumptions!$C$9*(1+Assumptions!$C$12)^1</f>
        <v>738.9303713</v>
      </c>
      <c r="M657" s="139">
        <f>Assumptions!$C$6*Assumptions!$C$7*(1+$G657-0.05*(1-$H657))^2+Assumptions!$C$6*Assumptions!$C$8*(1+Assumptions!$C$11)^2+Assumptions!$C$16*$H657+Assumptions!$C$6*Assumptions!$C$9*(1+Assumptions!$C$12)^2</f>
        <v>664.3867757</v>
      </c>
      <c r="N657" s="139">
        <f>Assumptions!$C$6*Assumptions!$C$7*(1+$G657-0.05*(1-$I657))^3+Assumptions!$C$6*Assumptions!$C$8*(1+Assumptions!$C$11)^3+Assumptions!$C$16*$I657+Assumptions!$C$6*Assumptions!$C$9*(1+Assumptions!$C$12)^3</f>
        <v>666.861065</v>
      </c>
      <c r="O657" s="139">
        <f>Assumptions!$C$6*Assumptions!$C$7*(1+$G657-0.05*(1-$J657))^4+Assumptions!$C$6*Assumptions!$C$8*(1+Assumptions!$C$11)^4+Assumptions!$C$16*$J657+Assumptions!$C$6*Assumptions!$C$9*(1+Assumptions!$C$12)^4</f>
        <v>669.5251525</v>
      </c>
      <c r="P657" s="139">
        <f>Assumptions!$C$6*Assumptions!$C$7*(1+$G657-0.05*(1-$K657))^5+Assumptions!$C$6*Assumptions!$C$8*(1+Assumptions!$C$11)^5+Assumptions!$C$16*$K657+Assumptions!$C$6*Assumptions!$C$9*(1+Assumptions!$C$12)^5</f>
        <v>672.3810133</v>
      </c>
      <c r="Q657" s="139">
        <f>($L657*(1-(Assumptions!$C$25+0.06*(1-1))-Assumptions!$C$27)-Assumptions!$C$28)-MAX(0,($L657*(1-(Assumptions!$C$25+0.06*(1-1))-Assumptions!$C$27)-Assumptions!$C$28)*Assumptions!$C$31)+Assumptions!$C$28-Assumptions!$C$29-$L657*Assumptions!$C$30</f>
        <v>91.37002982</v>
      </c>
      <c r="R657" s="139">
        <f>($M657*(1-(Assumptions!$C$25+0.06*(1-$H657))-Assumptions!$C$27)-Assumptions!$C$28)-MAX(0,($M657*(1-(Assumptions!$C$25+0.06*(1-$H657))-Assumptions!$C$27)-Assumptions!$C$28)*Assumptions!$C$31)+Assumptions!$C$28-Assumptions!$C$29-$M657*Assumptions!$C$30</f>
        <v>32.8089584</v>
      </c>
      <c r="S657" s="139">
        <f>($N657*(1-(Assumptions!$C$25+0.06*(1-$I657))-Assumptions!$C$27)-Assumptions!$C$28)-MAX(0,($N657*(1-(Assumptions!$C$25+0.06*(1-$I657))-Assumptions!$C$27)-Assumptions!$C$28)*Assumptions!$C$31)+Assumptions!$C$28-Assumptions!$C$29-$N657*Assumptions!$C$30</f>
        <v>33.37804496</v>
      </c>
      <c r="T657" s="139">
        <f>($O657*(1-(Assumptions!$C$25+0.06*(1-$J657))-Assumptions!$C$27)-Assumptions!$C$28)-MAX(0,($O657*(1-(Assumptions!$C$25+0.06*(1-$J657))-Assumptions!$C$27)-Assumptions!$C$28)*Assumptions!$C$31)+Assumptions!$C$28-Assumptions!$C$29-$O657*Assumptions!$C$30</f>
        <v>33.99078507</v>
      </c>
      <c r="U657" s="139">
        <f>($P657*(1-(Assumptions!$C$25+0.06*(1-$K657))-Assumptions!$C$27)-Assumptions!$C$28)-MAX(0,($P657*(1-(Assumptions!$C$25+0.06*(1-$K657))-Assumptions!$C$27)-Assumptions!$C$28)*Assumptions!$C$31)+Assumptions!$C$28-Assumptions!$C$29-$P657*Assumptions!$C$30</f>
        <v>34.64763306</v>
      </c>
      <c r="V657" s="143">
        <f>(($Q657/(1+$D657)^1+$R657/(1+$D657)^2+$S657/(1+$D657)^3+$T657/(1+$D657)^4+$U657/(1+$D657)^5+$U657*(1+$E657)/($D657-$E657)/(1+$D657)^5)-Assumptions!$C$37)/Assumptions!$C$40/Assumptions!$C$38</f>
        <v>-1.834240886</v>
      </c>
    </row>
    <row r="658" ht="12.0" customHeight="1">
      <c r="B658" s="139">
        <v>606.0</v>
      </c>
      <c r="C658" s="140">
        <f t="shared" si="6"/>
        <v>0.9303645506</v>
      </c>
      <c r="D658" s="141">
        <f t="shared" si="7"/>
        <v>0.108749761</v>
      </c>
      <c r="E658" s="141">
        <f t="shared" si="8"/>
        <v>0.0212049962</v>
      </c>
      <c r="F658" s="140">
        <f t="shared" si="9"/>
        <v>0.4954267394</v>
      </c>
      <c r="G658" s="141">
        <f t="shared" si="10"/>
        <v>0.05986248702</v>
      </c>
      <c r="H658" s="142">
        <f t="shared" si="11"/>
        <v>1</v>
      </c>
      <c r="I658" s="142">
        <f t="shared" si="12"/>
        <v>0</v>
      </c>
      <c r="J658" s="142">
        <f t="shared" si="13"/>
        <v>0</v>
      </c>
      <c r="K658" s="142">
        <f t="shared" si="14"/>
        <v>0</v>
      </c>
      <c r="L658" s="139">
        <f>Assumptions!$C$6*Assumptions!$C$7*(1+$G658-0.05*(1-1))^1+Assumptions!$C$6*Assumptions!$C$8*(1+Assumptions!$C$11)^1+Assumptions!$C$16*1+Assumptions!$C$6*Assumptions!$C$9*(1+Assumptions!$C$12)^1</f>
        <v>746.6177131</v>
      </c>
      <c r="M658" s="139">
        <f>Assumptions!$C$6*Assumptions!$C$7*(1+$G658-0.05*(1-$H658))^2+Assumptions!$C$6*Assumptions!$C$8*(1+Assumptions!$C$11)^2+Assumptions!$C$16*$H658+Assumptions!$C$6*Assumptions!$C$9*(1+Assumptions!$C$12)^2</f>
        <v>774.5709982</v>
      </c>
      <c r="N658" s="139">
        <f>Assumptions!$C$6*Assumptions!$C$7*(1+$G658-0.05*(1-$I658))^3+Assumptions!$C$6*Assumptions!$C$8*(1+Assumptions!$C$11)^3+Assumptions!$C$16*$I658+Assumptions!$C$6*Assumptions!$C$9*(1+Assumptions!$C$12)^3</f>
        <v>689.8523514</v>
      </c>
      <c r="O658" s="139">
        <f>Assumptions!$C$6*Assumptions!$C$7*(1+$G658-0.05*(1-$J658))^4+Assumptions!$C$6*Assumptions!$C$8*(1+Assumptions!$C$11)^4+Assumptions!$C$16*$J658+Assumptions!$C$6*Assumptions!$C$9*(1+Assumptions!$C$12)^4</f>
        <v>700.1351516</v>
      </c>
      <c r="P658" s="139">
        <f>Assumptions!$C$6*Assumptions!$C$7*(1+$G658-0.05*(1-$K658))^5+Assumptions!$C$6*Assumptions!$C$8*(1+Assumptions!$C$11)^5+Assumptions!$C$16*$K658+Assumptions!$C$6*Assumptions!$C$9*(1+Assumptions!$C$12)^5</f>
        <v>710.5889487</v>
      </c>
      <c r="Q658" s="139">
        <f>($L658*(1-(Assumptions!$C$25+0.06*(1-1))-Assumptions!$C$27)-Assumptions!$C$28)-MAX(0,($L658*(1-(Assumptions!$C$25+0.06*(1-1))-Assumptions!$C$27)-Assumptions!$C$28)*Assumptions!$C$31)+Assumptions!$C$28-Assumptions!$C$29-$L658*Assumptions!$C$30</f>
        <v>93.02280832</v>
      </c>
      <c r="R658" s="139">
        <f>($M658*(1-(Assumptions!$C$25+0.06*(1-$H658))-Assumptions!$C$27)-Assumptions!$C$28)-MAX(0,($M658*(1-(Assumptions!$C$25+0.06*(1-$H658))-Assumptions!$C$27)-Assumptions!$C$28)*Assumptions!$C$31)+Assumptions!$C$28-Assumptions!$C$29-$M658*Assumptions!$C$30</f>
        <v>99.03276461</v>
      </c>
      <c r="S658" s="139">
        <f>($N658*(1-(Assumptions!$C$25+0.06*(1-$I658))-Assumptions!$C$27)-Assumptions!$C$28)-MAX(0,($N658*(1-(Assumptions!$C$25+0.06*(1-$I658))-Assumptions!$C$27)-Assumptions!$C$28)*Assumptions!$C$31)+Assumptions!$C$28-Assumptions!$C$29-$N658*Assumptions!$C$30</f>
        <v>38.66604082</v>
      </c>
      <c r="T658" s="139">
        <f>($O658*(1-(Assumptions!$C$25+0.06*(1-$J658))-Assumptions!$C$27)-Assumptions!$C$28)-MAX(0,($O658*(1-(Assumptions!$C$25+0.06*(1-$J658))-Assumptions!$C$27)-Assumptions!$C$28)*Assumptions!$C$31)+Assumptions!$C$28-Assumptions!$C$29-$O658*Assumptions!$C$30</f>
        <v>41.03108488</v>
      </c>
      <c r="U658" s="139">
        <f>($P658*(1-(Assumptions!$C$25+0.06*(1-$K658))-Assumptions!$C$27)-Assumptions!$C$28)-MAX(0,($P658*(1-(Assumptions!$C$25+0.06*(1-$K658))-Assumptions!$C$27)-Assumptions!$C$28)*Assumptions!$C$31)+Assumptions!$C$28-Assumptions!$C$29-$P658*Assumptions!$C$30</f>
        <v>43.4354582</v>
      </c>
      <c r="V658" s="143">
        <f>(($Q658/(1+$D658)^1+$R658/(1+$D658)^2+$S658/(1+$D658)^3+$T658/(1+$D658)^4+$U658/(1+$D658)^5+$U658*(1+$E658)/($D658-$E658)/(1+$D658)^5)-Assumptions!$C$37)/Assumptions!$C$40/Assumptions!$C$38</f>
        <v>-1.119221578</v>
      </c>
    </row>
    <row r="659" ht="12.0" customHeight="1">
      <c r="B659" s="139">
        <v>607.0</v>
      </c>
      <c r="C659" s="140">
        <f t="shared" si="6"/>
        <v>0.7552270586</v>
      </c>
      <c r="D659" s="141">
        <f t="shared" si="7"/>
        <v>0.1032817399</v>
      </c>
      <c r="E659" s="141">
        <f t="shared" si="8"/>
        <v>0.02582336698</v>
      </c>
      <c r="F659" s="140">
        <f t="shared" si="9"/>
        <v>0.04163394574</v>
      </c>
      <c r="G659" s="141">
        <f t="shared" si="10"/>
        <v>0.03865685291</v>
      </c>
      <c r="H659" s="142">
        <f t="shared" si="11"/>
        <v>1</v>
      </c>
      <c r="I659" s="142">
        <f t="shared" si="12"/>
        <v>1</v>
      </c>
      <c r="J659" s="142">
        <f t="shared" si="13"/>
        <v>1</v>
      </c>
      <c r="K659" s="142">
        <f t="shared" si="14"/>
        <v>1</v>
      </c>
      <c r="L659" s="139">
        <f>Assumptions!$C$6*Assumptions!$C$7*(1+$G659-0.05*(1-1))^1+Assumptions!$C$6*Assumptions!$C$8*(1+Assumptions!$C$11)^1+Assumptions!$C$16*1+Assumptions!$C$6*Assumptions!$C$9*(1+Assumptions!$C$12)^1</f>
        <v>739.4798967</v>
      </c>
      <c r="M659" s="139">
        <f>Assumptions!$C$6*Assumptions!$C$7*(1+$G659-0.05*(1-$H659))^2+Assumptions!$C$6*Assumptions!$C$8*(1+Assumptions!$C$11)^2+Assumptions!$C$16*$H659+Assumptions!$C$6*Assumptions!$C$9*(1+Assumptions!$C$12)^2</f>
        <v>759.5921524</v>
      </c>
      <c r="N659" s="139">
        <f>Assumptions!$C$6*Assumptions!$C$7*(1+$G659-0.05*(1-$I659))^3+Assumptions!$C$6*Assumptions!$C$8*(1+Assumptions!$C$11)^3+Assumptions!$C$16*$I659+Assumptions!$C$6*Assumptions!$C$9*(1+Assumptions!$C$12)^3</f>
        <v>780.3587986</v>
      </c>
      <c r="O659" s="139">
        <f>Assumptions!$C$6*Assumptions!$C$7*(1+$G659-0.05*(1-$J659))^4+Assumptions!$C$6*Assumptions!$C$8*(1+Assumptions!$C$11)^4+Assumptions!$C$16*$J659+Assumptions!$C$6*Assumptions!$C$9*(1+Assumptions!$C$12)^4</f>
        <v>801.8026703</v>
      </c>
      <c r="P659" s="139">
        <f>Assumptions!$C$6*Assumptions!$C$7*(1+$G659-0.05*(1-$K659))^5+Assumptions!$C$6*Assumptions!$C$8*(1+Assumptions!$C$11)^5+Assumptions!$C$16*$K659+Assumptions!$C$6*Assumptions!$C$9*(1+Assumptions!$C$12)^5</f>
        <v>823.9474359</v>
      </c>
      <c r="Q659" s="139">
        <f>($L659*(1-(Assumptions!$C$25+0.06*(1-1))-Assumptions!$C$27)-Assumptions!$C$28)-MAX(0,($L659*(1-(Assumptions!$C$25+0.06*(1-1))-Assumptions!$C$27)-Assumptions!$C$28)*Assumptions!$C$31)+Assumptions!$C$28-Assumptions!$C$29-$L659*Assumptions!$C$30</f>
        <v>91.48817779</v>
      </c>
      <c r="R659" s="139">
        <f>($M659*(1-(Assumptions!$C$25+0.06*(1-$H659))-Assumptions!$C$27)-Assumptions!$C$28)-MAX(0,($M659*(1-(Assumptions!$C$25+0.06*(1-$H659))-Assumptions!$C$27)-Assumptions!$C$28)*Assumptions!$C$31)+Assumptions!$C$28-Assumptions!$C$29-$M659*Assumptions!$C$30</f>
        <v>95.81231276</v>
      </c>
      <c r="S659" s="139">
        <f>($N659*(1-(Assumptions!$C$25+0.06*(1-$I659))-Assumptions!$C$27)-Assumptions!$C$28)-MAX(0,($N659*(1-(Assumptions!$C$25+0.06*(1-$I659))-Assumptions!$C$27)-Assumptions!$C$28)*Assumptions!$C$31)+Assumptions!$C$28-Assumptions!$C$29-$N659*Assumptions!$C$30</f>
        <v>100.2771417</v>
      </c>
      <c r="T659" s="139">
        <f>($O659*(1-(Assumptions!$C$25+0.06*(1-$J659))-Assumptions!$C$27)-Assumptions!$C$28)-MAX(0,($O659*(1-(Assumptions!$C$25+0.06*(1-$J659))-Assumptions!$C$27)-Assumptions!$C$28)*Assumptions!$C$31)+Assumptions!$C$28-Assumptions!$C$29-$O659*Assumptions!$C$30</f>
        <v>104.8875741</v>
      </c>
      <c r="U659" s="139">
        <f>($P659*(1-(Assumptions!$C$25+0.06*(1-$K659))-Assumptions!$C$27)-Assumptions!$C$28)-MAX(0,($P659*(1-(Assumptions!$C$25+0.06*(1-$K659))-Assumptions!$C$27)-Assumptions!$C$28)*Assumptions!$C$31)+Assumptions!$C$28-Assumptions!$C$29-$P659*Assumptions!$C$30</f>
        <v>109.6486987</v>
      </c>
      <c r="V659" s="143">
        <f>(($Q659/(1+$D659)^1+$R659/(1+$D659)^2+$S659/(1+$D659)^3+$T659/(1+$D659)^4+$U659/(1+$D659)^5+$U659*(1+$E659)/($D659-$E659)/(1+$D659)^5)-Assumptions!$C$37)/Assumptions!$C$40/Assumptions!$C$38</f>
        <v>4.454554544</v>
      </c>
    </row>
    <row r="660" ht="12.0" customHeight="1">
      <c r="B660" s="139">
        <v>608.0</v>
      </c>
      <c r="C660" s="140">
        <f t="shared" si="6"/>
        <v>0.6499542561</v>
      </c>
      <c r="D660" s="141">
        <f t="shared" si="7"/>
        <v>0.1009865899</v>
      </c>
      <c r="E660" s="141">
        <f t="shared" si="8"/>
        <v>0.02329610001</v>
      </c>
      <c r="F660" s="140">
        <f t="shared" si="9"/>
        <v>0.9145390933</v>
      </c>
      <c r="G660" s="141">
        <f t="shared" si="10"/>
        <v>0.07759719257</v>
      </c>
      <c r="H660" s="142">
        <f t="shared" si="11"/>
        <v>1</v>
      </c>
      <c r="I660" s="142">
        <f t="shared" si="12"/>
        <v>1</v>
      </c>
      <c r="J660" s="142">
        <f t="shared" si="13"/>
        <v>0</v>
      </c>
      <c r="K660" s="142">
        <f t="shared" si="14"/>
        <v>1</v>
      </c>
      <c r="L660" s="139">
        <f>Assumptions!$C$6*Assumptions!$C$7*(1+$G660-0.05*(1-1))^1+Assumptions!$C$6*Assumptions!$C$8*(1+Assumptions!$C$11)^1+Assumptions!$C$16*1+Assumptions!$C$6*Assumptions!$C$9*(1+Assumptions!$C$12)^1</f>
        <v>752.587215</v>
      </c>
      <c r="M660" s="139">
        <f>Assumptions!$C$6*Assumptions!$C$7*(1+$G660-0.05*(1-$H660))^2+Assumptions!$C$6*Assumptions!$C$8*(1+Assumptions!$C$11)^2+Assumptions!$C$16*$H660+Assumptions!$C$6*Assumptions!$C$9*(1+Assumptions!$C$12)^2</f>
        <v>787.3305678</v>
      </c>
      <c r="N660" s="139">
        <f>Assumptions!$C$6*Assumptions!$C$7*(1+$G660-0.05*(1-$I660))^3+Assumptions!$C$6*Assumptions!$C$8*(1+Assumptions!$C$11)^3+Assumptions!$C$16*$I660+Assumptions!$C$6*Assumptions!$C$9*(1+Assumptions!$C$12)^3</f>
        <v>824.3899178</v>
      </c>
      <c r="O660" s="139">
        <f>Assumptions!$C$6*Assumptions!$C$7*(1+$G660-0.05*(1-$J660))^4+Assumptions!$C$6*Assumptions!$C$8*(1+Assumptions!$C$11)^4+Assumptions!$C$16*$J660+Assumptions!$C$6*Assumptions!$C$9*(1+Assumptions!$C$12)^4</f>
        <v>725.3820523</v>
      </c>
      <c r="P660" s="139">
        <f>Assumptions!$C$6*Assumptions!$C$7*(1+$G660-0.05*(1-$K660))^5+Assumptions!$C$6*Assumptions!$C$8*(1+Assumptions!$C$11)^5+Assumptions!$C$16*$K660+Assumptions!$C$6*Assumptions!$C$9*(1+Assumptions!$C$12)^5</f>
        <v>906.1582735</v>
      </c>
      <c r="Q660" s="139">
        <f>($L660*(1-(Assumptions!$C$25+0.06*(1-1))-Assumptions!$C$27)-Assumptions!$C$28)-MAX(0,($L660*(1-(Assumptions!$C$25+0.06*(1-1))-Assumptions!$C$27)-Assumptions!$C$28)*Assumptions!$C$31)+Assumptions!$C$28-Assumptions!$C$29-$L660*Assumptions!$C$30</f>
        <v>94.30625123</v>
      </c>
      <c r="R660" s="139">
        <f>($M660*(1-(Assumptions!$C$25+0.06*(1-$H660))-Assumptions!$C$27)-Assumptions!$C$28)-MAX(0,($M660*(1-(Assumptions!$C$25+0.06*(1-$H660))-Assumptions!$C$27)-Assumptions!$C$28)*Assumptions!$C$31)+Assumptions!$C$28-Assumptions!$C$29-$M660*Assumptions!$C$30</f>
        <v>101.7760721</v>
      </c>
      <c r="S660" s="139">
        <f>($N660*(1-(Assumptions!$C$25+0.06*(1-$I660))-Assumptions!$C$27)-Assumptions!$C$28)-MAX(0,($N660*(1-(Assumptions!$C$25+0.06*(1-$I660))-Assumptions!$C$27)-Assumptions!$C$28)*Assumptions!$C$31)+Assumptions!$C$28-Assumptions!$C$29-$N660*Assumptions!$C$30</f>
        <v>109.7438323</v>
      </c>
      <c r="T660" s="139">
        <f>($O660*(1-(Assumptions!$C$25+0.06*(1-$J660))-Assumptions!$C$27)-Assumptions!$C$28)-MAX(0,($O660*(1-(Assumptions!$C$25+0.06*(1-$J660))-Assumptions!$C$27)-Assumptions!$C$28)*Assumptions!$C$31)+Assumptions!$C$28-Assumptions!$C$29-$O660*Assumptions!$C$30</f>
        <v>46.83787202</v>
      </c>
      <c r="U660" s="139">
        <f>($P660*(1-(Assumptions!$C$25+0.06*(1-$K660))-Assumptions!$C$27)-Assumptions!$C$28)-MAX(0,($P660*(1-(Assumptions!$C$25+0.06*(1-$K660))-Assumptions!$C$27)-Assumptions!$C$28)*Assumptions!$C$31)+Assumptions!$C$28-Assumptions!$C$29-$P660*Assumptions!$C$30</f>
        <v>127.3240288</v>
      </c>
      <c r="V660" s="143">
        <f>(($Q660/(1+$D660)^1+$R660/(1+$D660)^2+$S660/(1+$D660)^3+$T660/(1+$D660)^4+$U660/(1+$D660)^5+$U660*(1+$E660)/($D660-$E660)/(1+$D660)^5)-Assumptions!$C$37)/Assumptions!$C$40/Assumptions!$C$38</f>
        <v>5.520393938</v>
      </c>
    </row>
    <row r="661" ht="12.0" customHeight="1">
      <c r="B661" s="139">
        <v>609.0</v>
      </c>
      <c r="C661" s="140">
        <f t="shared" si="6"/>
        <v>0.8848705714</v>
      </c>
      <c r="D661" s="141">
        <f t="shared" si="7"/>
        <v>0.1069633583</v>
      </c>
      <c r="E661" s="141">
        <f t="shared" si="8"/>
        <v>0.01183329912</v>
      </c>
      <c r="F661" s="140">
        <f t="shared" si="9"/>
        <v>0.5079597824</v>
      </c>
      <c r="G661" s="141">
        <f t="shared" si="10"/>
        <v>0.06023975148</v>
      </c>
      <c r="H661" s="142">
        <f t="shared" si="11"/>
        <v>0</v>
      </c>
      <c r="I661" s="142">
        <f t="shared" si="12"/>
        <v>0</v>
      </c>
      <c r="J661" s="142">
        <f t="shared" si="13"/>
        <v>0</v>
      </c>
      <c r="K661" s="142">
        <f t="shared" si="14"/>
        <v>0</v>
      </c>
      <c r="L661" s="139">
        <f>Assumptions!$C$6*Assumptions!$C$7*(1+$G661-0.05*(1-1))^1+Assumptions!$C$6*Assumptions!$C$8*(1+Assumptions!$C$11)^1+Assumptions!$C$16*1+Assumptions!$C$6*Assumptions!$C$9*(1+Assumptions!$C$12)^1</f>
        <v>746.7447003</v>
      </c>
      <c r="M661" s="139">
        <f>Assumptions!$C$6*Assumptions!$C$7*(1+$G661-0.05*(1-$H661))^2+Assumptions!$C$6*Assumptions!$C$8*(1+Assumptions!$C$11)^2+Assumptions!$C$16*$H661+Assumptions!$C$6*Assumptions!$C$9*(1+Assumptions!$C$12)^2</f>
        <v>679.9940541</v>
      </c>
      <c r="N661" s="139">
        <f>Assumptions!$C$6*Assumptions!$C$7*(1+$G661-0.05*(1-$I661))^3+Assumptions!$C$6*Assumptions!$C$8*(1+Assumptions!$C$11)^3+Assumptions!$C$16*$I661+Assumptions!$C$6*Assumptions!$C$9*(1+Assumptions!$C$12)^3</f>
        <v>690.2410097</v>
      </c>
      <c r="O661" s="139">
        <f>Assumptions!$C$6*Assumptions!$C$7*(1+$G661-0.05*(1-$J661))^4+Assumptions!$C$6*Assumptions!$C$8*(1+Assumptions!$C$11)^4+Assumptions!$C$16*$J661+Assumptions!$C$6*Assumptions!$C$9*(1+Assumptions!$C$12)^4</f>
        <v>700.6585714</v>
      </c>
      <c r="P661" s="139">
        <f>Assumptions!$C$6*Assumptions!$C$7*(1+$G661-0.05*(1-$K661))^5+Assumptions!$C$6*Assumptions!$C$8*(1+Assumptions!$C$11)^5+Assumptions!$C$16*$K661+Assumptions!$C$6*Assumptions!$C$9*(1+Assumptions!$C$12)^5</f>
        <v>711.2497995</v>
      </c>
      <c r="Q661" s="139">
        <f>($L661*(1-(Assumptions!$C$25+0.06*(1-1))-Assumptions!$C$27)-Assumptions!$C$28)-MAX(0,($L661*(1-(Assumptions!$C$25+0.06*(1-1))-Assumptions!$C$27)-Assumptions!$C$28)*Assumptions!$C$31)+Assumptions!$C$28-Assumptions!$C$29-$L661*Assumptions!$C$30</f>
        <v>93.05011058</v>
      </c>
      <c r="R661" s="139">
        <f>($M661*(1-(Assumptions!$C$25+0.06*(1-$H661))-Assumptions!$C$27)-Assumptions!$C$28)-MAX(0,($M661*(1-(Assumptions!$C$25+0.06*(1-$H661))-Assumptions!$C$27)-Assumptions!$C$28)*Assumptions!$C$31)+Assumptions!$C$28-Assumptions!$C$29-$M661*Assumptions!$C$30</f>
        <v>36.39863243</v>
      </c>
      <c r="S661" s="139">
        <f>($N661*(1-(Assumptions!$C$25+0.06*(1-$I661))-Assumptions!$C$27)-Assumptions!$C$28)-MAX(0,($N661*(1-(Assumptions!$C$25+0.06*(1-$I661))-Assumptions!$C$27)-Assumptions!$C$28)*Assumptions!$C$31)+Assumptions!$C$28-Assumptions!$C$29-$N661*Assumptions!$C$30</f>
        <v>38.75543223</v>
      </c>
      <c r="T661" s="139">
        <f>($O661*(1-(Assumptions!$C$25+0.06*(1-$J661))-Assumptions!$C$27)-Assumptions!$C$28)-MAX(0,($O661*(1-(Assumptions!$C$25+0.06*(1-$J661))-Assumptions!$C$27)-Assumptions!$C$28)*Assumptions!$C$31)+Assumptions!$C$28-Assumptions!$C$29-$O661*Assumptions!$C$30</f>
        <v>41.15147141</v>
      </c>
      <c r="U661" s="139">
        <f>($P661*(1-(Assumptions!$C$25+0.06*(1-$K661))-Assumptions!$C$27)-Assumptions!$C$28)-MAX(0,($P661*(1-(Assumptions!$C$25+0.06*(1-$K661))-Assumptions!$C$27)-Assumptions!$C$28)*Assumptions!$C$31)+Assumptions!$C$28-Assumptions!$C$29-$P661*Assumptions!$C$30</f>
        <v>43.5874539</v>
      </c>
      <c r="V661" s="143">
        <f>(($Q661/(1+$D661)^1+$R661/(1+$D661)^2+$S661/(1+$D661)^3+$T661/(1+$D661)^4+$U661/(1+$D661)^5+$U661*(1+$E661)/($D661-$E661)/(1+$D661)^5)-Assumptions!$C$37)/Assumptions!$C$40/Assumptions!$C$38</f>
        <v>-1.691983705</v>
      </c>
    </row>
    <row r="662" ht="12.0" customHeight="1">
      <c r="B662" s="139">
        <v>610.0</v>
      </c>
      <c r="C662" s="140">
        <f t="shared" si="6"/>
        <v>0.8129049738</v>
      </c>
      <c r="D662" s="141">
        <f t="shared" si="7"/>
        <v>0.1047549861</v>
      </c>
      <c r="E662" s="141">
        <f t="shared" si="8"/>
        <v>0.02810185939</v>
      </c>
      <c r="F662" s="140">
        <f t="shared" si="9"/>
        <v>0.2648349837</v>
      </c>
      <c r="G662" s="141">
        <f t="shared" si="10"/>
        <v>0.05183352859</v>
      </c>
      <c r="H662" s="142">
        <f t="shared" si="11"/>
        <v>0</v>
      </c>
      <c r="I662" s="142">
        <f t="shared" si="12"/>
        <v>1</v>
      </c>
      <c r="J662" s="142">
        <f t="shared" si="13"/>
        <v>1</v>
      </c>
      <c r="K662" s="142">
        <f t="shared" si="14"/>
        <v>1</v>
      </c>
      <c r="L662" s="139">
        <f>Assumptions!$C$6*Assumptions!$C$7*(1+$G662-0.05*(1-1))^1+Assumptions!$C$6*Assumptions!$C$8*(1+Assumptions!$C$11)^1+Assumptions!$C$16*1+Assumptions!$C$6*Assumptions!$C$9*(1+Assumptions!$C$12)^1</f>
        <v>743.9151657</v>
      </c>
      <c r="M662" s="139">
        <f>Assumptions!$C$6*Assumptions!$C$7*(1+$G662-0.05*(1-$H662))^2+Assumptions!$C$6*Assumptions!$C$8*(1+Assumptions!$C$11)^2+Assumptions!$C$16*$H662+Assumptions!$C$6*Assumptions!$C$9*(1+Assumptions!$C$12)^2</f>
        <v>674.300823</v>
      </c>
      <c r="N662" s="139">
        <f>Assumptions!$C$6*Assumptions!$C$7*(1+$G662-0.05*(1-$I662))^3+Assumptions!$C$6*Assumptions!$C$8*(1+Assumptions!$C$11)^3+Assumptions!$C$16*$I662+Assumptions!$C$6*Assumptions!$C$9*(1+Assumptions!$C$12)^3</f>
        <v>794.8960844</v>
      </c>
      <c r="O662" s="139">
        <f>Assumptions!$C$6*Assumptions!$C$7*(1+$G662-0.05*(1-$J662))^4+Assumptions!$C$6*Assumptions!$C$8*(1+Assumptions!$C$11)^4+Assumptions!$C$16*$J662+Assumptions!$C$6*Assumptions!$C$9*(1+Assumptions!$C$12)^4</f>
        <v>822.0632444</v>
      </c>
      <c r="P662" s="139">
        <f>Assumptions!$C$6*Assumptions!$C$7*(1+$G662-0.05*(1-$K662))^5+Assumptions!$C$6*Assumptions!$C$8*(1+Assumptions!$C$11)^5+Assumptions!$C$16*$K662+Assumptions!$C$6*Assumptions!$C$9*(1+Assumptions!$C$12)^5</f>
        <v>850.4200721</v>
      </c>
      <c r="Q662" s="139">
        <f>($L662*(1-(Assumptions!$C$25+0.06*(1-1))-Assumptions!$C$27)-Assumptions!$C$28)-MAX(0,($L662*(1-(Assumptions!$C$25+0.06*(1-1))-Assumptions!$C$27)-Assumptions!$C$28)*Assumptions!$C$31)+Assumptions!$C$28-Assumptions!$C$29-$L662*Assumptions!$C$30</f>
        <v>92.44176063</v>
      </c>
      <c r="R662" s="139">
        <f>($M662*(1-(Assumptions!$C$25+0.06*(1-$H662))-Assumptions!$C$27)-Assumptions!$C$28)-MAX(0,($M662*(1-(Assumptions!$C$25+0.06*(1-$H662))-Assumptions!$C$27)-Assumptions!$C$28)*Assumptions!$C$31)+Assumptions!$C$28-Assumptions!$C$29-$M662*Assumptions!$C$30</f>
        <v>35.0891893</v>
      </c>
      <c r="S662" s="139">
        <f>($N662*(1-(Assumptions!$C$25+0.06*(1-$I662))-Assumptions!$C$27)-Assumptions!$C$28)-MAX(0,($N662*(1-(Assumptions!$C$25+0.06*(1-$I662))-Assumptions!$C$27)-Assumptions!$C$28)*Assumptions!$C$31)+Assumptions!$C$28-Assumptions!$C$29-$N662*Assumptions!$C$30</f>
        <v>103.4026581</v>
      </c>
      <c r="T662" s="139">
        <f>($O662*(1-(Assumptions!$C$25+0.06*(1-$J662))-Assumptions!$C$27)-Assumptions!$C$28)-MAX(0,($O662*(1-(Assumptions!$C$25+0.06*(1-$J662))-Assumptions!$C$27)-Assumptions!$C$28)*Assumptions!$C$31)+Assumptions!$C$28-Assumptions!$C$29-$O662*Assumptions!$C$30</f>
        <v>109.2435975</v>
      </c>
      <c r="U662" s="139">
        <f>($P662*(1-(Assumptions!$C$25+0.06*(1-$K662))-Assumptions!$C$27)-Assumptions!$C$28)-MAX(0,($P662*(1-(Assumptions!$C$25+0.06*(1-$K662))-Assumptions!$C$27)-Assumptions!$C$28)*Assumptions!$C$31)+Assumptions!$C$28-Assumptions!$C$29-$P662*Assumptions!$C$30</f>
        <v>115.3403155</v>
      </c>
      <c r="V662" s="143">
        <f>(($Q662/(1+$D662)^1+$R662/(1+$D662)^2+$S662/(1+$D662)^3+$T662/(1+$D662)^4+$U662/(1+$D662)^5+$U662*(1+$E662)/($D662-$E662)/(1+$D662)^5)-Assumptions!$C$37)/Assumptions!$C$40/Assumptions!$C$38</f>
        <v>4.533382599</v>
      </c>
    </row>
    <row r="663" ht="12.0" customHeight="1">
      <c r="B663" s="139">
        <v>611.0</v>
      </c>
      <c r="C663" s="140">
        <f t="shared" si="6"/>
        <v>0.5595832527</v>
      </c>
      <c r="D663" s="141">
        <f t="shared" si="7"/>
        <v>0.09928141879</v>
      </c>
      <c r="E663" s="141">
        <f t="shared" si="8"/>
        <v>0.02724987252</v>
      </c>
      <c r="F663" s="140">
        <f t="shared" si="9"/>
        <v>0.1126230235</v>
      </c>
      <c r="G663" s="141">
        <f t="shared" si="10"/>
        <v>0.04423802803</v>
      </c>
      <c r="H663" s="142">
        <f t="shared" si="11"/>
        <v>0</v>
      </c>
      <c r="I663" s="142">
        <f t="shared" si="12"/>
        <v>1</v>
      </c>
      <c r="J663" s="142">
        <f t="shared" si="13"/>
        <v>1</v>
      </c>
      <c r="K663" s="142">
        <f t="shared" si="14"/>
        <v>1</v>
      </c>
      <c r="L663" s="139">
        <f>Assumptions!$C$6*Assumptions!$C$7*(1+$G663-0.05*(1-1))^1+Assumptions!$C$6*Assumptions!$C$8*(1+Assumptions!$C$11)^1+Assumptions!$C$16*1+Assumptions!$C$6*Assumptions!$C$9*(1+Assumptions!$C$12)^1</f>
        <v>741.3585202</v>
      </c>
      <c r="M663" s="139">
        <f>Assumptions!$C$6*Assumptions!$C$7*(1+$G663-0.05*(1-$H663))^2+Assumptions!$C$6*Assumptions!$C$8*(1+Assumptions!$C$11)^2+Assumptions!$C$16*$H663+Assumptions!$C$6*Assumptions!$C$9*(1+Assumptions!$C$12)^2</f>
        <v>669.1975757</v>
      </c>
      <c r="N663" s="139">
        <f>Assumptions!$C$6*Assumptions!$C$7*(1+$G663-0.05*(1-$I663))^3+Assumptions!$C$6*Assumptions!$C$8*(1+Assumptions!$C$11)^3+Assumptions!$C$16*$I663+Assumptions!$C$6*Assumptions!$C$9*(1+Assumptions!$C$12)^3</f>
        <v>786.4715505</v>
      </c>
      <c r="O663" s="139">
        <f>Assumptions!$C$6*Assumptions!$C$7*(1+$G663-0.05*(1-$J663))^4+Assumptions!$C$6*Assumptions!$C$8*(1+Assumptions!$C$11)^4+Assumptions!$C$16*$J663+Assumptions!$C$6*Assumptions!$C$9*(1+Assumptions!$C$12)^4</f>
        <v>810.2908573</v>
      </c>
      <c r="P663" s="139">
        <f>Assumptions!$C$6*Assumptions!$C$7*(1+$G663-0.05*(1-$K663))^5+Assumptions!$C$6*Assumptions!$C$8*(1+Assumptions!$C$11)^5+Assumptions!$C$16*$K663+Assumptions!$C$6*Assumptions!$C$9*(1+Assumptions!$C$12)^5</f>
        <v>834.9975161</v>
      </c>
      <c r="Q663" s="139">
        <f>($L663*(1-(Assumptions!$C$25+0.06*(1-1))-Assumptions!$C$27)-Assumptions!$C$28)-MAX(0,($L663*(1-(Assumptions!$C$25+0.06*(1-1))-Assumptions!$C$27)-Assumptions!$C$28)*Assumptions!$C$31)+Assumptions!$C$28-Assumptions!$C$29-$L663*Assumptions!$C$30</f>
        <v>91.89208185</v>
      </c>
      <c r="R663" s="139">
        <f>($M663*(1-(Assumptions!$C$25+0.06*(1-$H663))-Assumptions!$C$27)-Assumptions!$C$28)-MAX(0,($M663*(1-(Assumptions!$C$25+0.06*(1-$H663))-Assumptions!$C$27)-Assumptions!$C$28)*Assumptions!$C$31)+Assumptions!$C$28-Assumptions!$C$29-$M663*Assumptions!$C$30</f>
        <v>33.91544241</v>
      </c>
      <c r="S663" s="139">
        <f>($N663*(1-(Assumptions!$C$25+0.06*(1-$I663))-Assumptions!$C$27)-Assumptions!$C$28)-MAX(0,($N663*(1-(Assumptions!$C$25+0.06*(1-$I663))-Assumptions!$C$27)-Assumptions!$C$28)*Assumptions!$C$31)+Assumptions!$C$28-Assumptions!$C$29-$N663*Assumptions!$C$30</f>
        <v>101.5913833</v>
      </c>
      <c r="T663" s="139">
        <f>($O663*(1-(Assumptions!$C$25+0.06*(1-$J663))-Assumptions!$C$27)-Assumptions!$C$28)-MAX(0,($O663*(1-(Assumptions!$C$25+0.06*(1-$J663))-Assumptions!$C$27)-Assumptions!$C$28)*Assumptions!$C$31)+Assumptions!$C$28-Assumptions!$C$29-$O663*Assumptions!$C$30</f>
        <v>106.7125343</v>
      </c>
      <c r="U663" s="139">
        <f>($P663*(1-(Assumptions!$C$25+0.06*(1-$K663))-Assumptions!$C$27)-Assumptions!$C$28)-MAX(0,($P663*(1-(Assumptions!$C$25+0.06*(1-$K663))-Assumptions!$C$27)-Assumptions!$C$28)*Assumptions!$C$31)+Assumptions!$C$28-Assumptions!$C$29-$P663*Assumptions!$C$30</f>
        <v>112.024466</v>
      </c>
      <c r="V663" s="143">
        <f>(($Q663/(1+$D663)^1+$R663/(1+$D663)^2+$S663/(1+$D663)^3+$T663/(1+$D663)^4+$U663/(1+$D663)^5+$U663*(1+$E663)/($D663-$E663)/(1+$D663)^5)-Assumptions!$C$37)/Assumptions!$C$40/Assumptions!$C$38</f>
        <v>4.951808913</v>
      </c>
    </row>
    <row r="664" ht="12.0" customHeight="1">
      <c r="B664" s="139">
        <v>612.0</v>
      </c>
      <c r="C664" s="140">
        <f t="shared" si="6"/>
        <v>0.3113958013</v>
      </c>
      <c r="D664" s="141">
        <f t="shared" si="7"/>
        <v>0.09527439422</v>
      </c>
      <c r="E664" s="141">
        <f t="shared" si="8"/>
        <v>0.01674497626</v>
      </c>
      <c r="F664" s="140">
        <f t="shared" si="9"/>
        <v>0.9684997062</v>
      </c>
      <c r="G664" s="141">
        <f t="shared" si="10"/>
        <v>0.08247002465</v>
      </c>
      <c r="H664" s="142">
        <f t="shared" si="11"/>
        <v>1</v>
      </c>
      <c r="I664" s="142">
        <f t="shared" si="12"/>
        <v>1</v>
      </c>
      <c r="J664" s="142">
        <f t="shared" si="13"/>
        <v>1</v>
      </c>
      <c r="K664" s="142">
        <f t="shared" si="14"/>
        <v>0</v>
      </c>
      <c r="L664" s="139">
        <f>Assumptions!$C$6*Assumptions!$C$7*(1+$G664-0.05*(1-1))^1+Assumptions!$C$6*Assumptions!$C$8*(1+Assumptions!$C$11)^1+Assumptions!$C$16*1+Assumptions!$C$6*Assumptions!$C$9*(1+Assumptions!$C$12)^1</f>
        <v>754.2274103</v>
      </c>
      <c r="M664" s="139">
        <f>Assumptions!$C$6*Assumptions!$C$7*(1+$G664-0.05*(1-$H664))^2+Assumptions!$C$6*Assumptions!$C$8*(1+Assumptions!$C$11)^2+Assumptions!$C$16*$H664+Assumptions!$C$6*Assumptions!$C$9*(1+Assumptions!$C$12)^2</f>
        <v>790.8734998</v>
      </c>
      <c r="N664" s="139">
        <f>Assumptions!$C$6*Assumptions!$C$7*(1+$G664-0.05*(1-$I664))^3+Assumptions!$C$6*Assumptions!$C$8*(1+Assumptions!$C$11)^3+Assumptions!$C$16*$I664+Assumptions!$C$6*Assumptions!$C$9*(1+Assumptions!$C$12)^3</f>
        <v>830.1296561</v>
      </c>
      <c r="O664" s="139">
        <f>Assumptions!$C$6*Assumptions!$C$7*(1+$G664-0.05*(1-$J664))^4+Assumptions!$C$6*Assumptions!$C$8*(1+Assumptions!$C$11)^4+Assumptions!$C$16*$J664+Assumptions!$C$6*Assumptions!$C$9*(1+Assumptions!$C$12)^4</f>
        <v>872.2028885</v>
      </c>
      <c r="P664" s="139">
        <f>Assumptions!$C$6*Assumptions!$C$7*(1+$G664-0.05*(1-$K664))^5+Assumptions!$C$6*Assumptions!$C$8*(1+Assumptions!$C$11)^5+Assumptions!$C$16*$K664+Assumptions!$C$6*Assumptions!$C$9*(1+Assumptions!$C$12)^5</f>
        <v>751.9726774</v>
      </c>
      <c r="Q664" s="139">
        <f>($L664*(1-(Assumptions!$C$25+0.06*(1-1))-Assumptions!$C$27)-Assumptions!$C$28)-MAX(0,($L664*(1-(Assumptions!$C$25+0.06*(1-1))-Assumptions!$C$27)-Assumptions!$C$28)*Assumptions!$C$31)+Assumptions!$C$28-Assumptions!$C$29-$L664*Assumptions!$C$30</f>
        <v>94.65889321</v>
      </c>
      <c r="R664" s="139">
        <f>($M664*(1-(Assumptions!$C$25+0.06*(1-$H664))-Assumptions!$C$27)-Assumptions!$C$28)-MAX(0,($M664*(1-(Assumptions!$C$25+0.06*(1-$H664))-Assumptions!$C$27)-Assumptions!$C$28)*Assumptions!$C$31)+Assumptions!$C$28-Assumptions!$C$29-$M664*Assumptions!$C$30</f>
        <v>102.5378025</v>
      </c>
      <c r="S664" s="139">
        <f>($N664*(1-(Assumptions!$C$25+0.06*(1-$I664))-Assumptions!$C$27)-Assumptions!$C$28)-MAX(0,($N664*(1-(Assumptions!$C$25+0.06*(1-$I664))-Assumptions!$C$27)-Assumptions!$C$28)*Assumptions!$C$31)+Assumptions!$C$28-Assumptions!$C$29-$N664*Assumptions!$C$30</f>
        <v>110.9778761</v>
      </c>
      <c r="T664" s="139">
        <f>($O664*(1-(Assumptions!$C$25+0.06*(1-$J664))-Assumptions!$C$27)-Assumptions!$C$28)-MAX(0,($O664*(1-(Assumptions!$C$25+0.06*(1-$J664))-Assumptions!$C$27)-Assumptions!$C$28)*Assumptions!$C$31)+Assumptions!$C$28-Assumptions!$C$29-$O664*Assumptions!$C$30</f>
        <v>120.023621</v>
      </c>
      <c r="U664" s="139">
        <f>($P664*(1-(Assumptions!$C$25+0.06*(1-$K664))-Assumptions!$C$27)-Assumptions!$C$28)-MAX(0,($P664*(1-(Assumptions!$C$25+0.06*(1-$K664))-Assumptions!$C$27)-Assumptions!$C$28)*Assumptions!$C$31)+Assumptions!$C$28-Assumptions!$C$29-$P664*Assumptions!$C$30</f>
        <v>52.9537158</v>
      </c>
      <c r="V664" s="143">
        <f>(($Q664/(1+$D664)^1+$R664/(1+$D664)^2+$S664/(1+$D664)^3+$T664/(1+$D664)^4+$U664/(1+$D664)^5+$U664*(1+$E664)/($D664-$E664)/(1+$D664)^5)-Assumptions!$C$37)/Assumptions!$C$40/Assumptions!$C$38</f>
        <v>0.9101937933</v>
      </c>
    </row>
    <row r="665" ht="12.0" customHeight="1">
      <c r="B665" s="139">
        <v>613.0</v>
      </c>
      <c r="C665" s="140">
        <f t="shared" si="6"/>
        <v>0.8468575516</v>
      </c>
      <c r="D665" s="141">
        <f t="shared" si="7"/>
        <v>0.1057310781</v>
      </c>
      <c r="E665" s="141">
        <f t="shared" si="8"/>
        <v>0.01516319937</v>
      </c>
      <c r="F665" s="140">
        <f t="shared" si="9"/>
        <v>0.7716502571</v>
      </c>
      <c r="G665" s="141">
        <f t="shared" si="10"/>
        <v>0.0697261366</v>
      </c>
      <c r="H665" s="142">
        <f t="shared" si="11"/>
        <v>0</v>
      </c>
      <c r="I665" s="142">
        <f t="shared" si="12"/>
        <v>1</v>
      </c>
      <c r="J665" s="142">
        <f t="shared" si="13"/>
        <v>1</v>
      </c>
      <c r="K665" s="142">
        <f t="shared" si="14"/>
        <v>0</v>
      </c>
      <c r="L665" s="139">
        <f>Assumptions!$C$6*Assumptions!$C$7*(1+$G665-0.05*(1-1))^1+Assumptions!$C$6*Assumptions!$C$8*(1+Assumptions!$C$11)^1+Assumptions!$C$16*1+Assumptions!$C$6*Assumptions!$C$9*(1+Assumptions!$C$12)^1</f>
        <v>749.9378176</v>
      </c>
      <c r="M665" s="139">
        <f>Assumptions!$C$6*Assumptions!$C$7*(1+$G665-0.05*(1-$H665))^2+Assumptions!$C$6*Assumptions!$C$8*(1+Assumptions!$C$11)^2+Assumptions!$C$16*$H665+Assumptions!$C$6*Assumptions!$C$9*(1+Assumptions!$C$12)^2</f>
        <v>686.4759731</v>
      </c>
      <c r="N665" s="139">
        <f>Assumptions!$C$6*Assumptions!$C$7*(1+$G665-0.05*(1-$I665))^3+Assumptions!$C$6*Assumptions!$C$8*(1+Assumptions!$C$11)^3+Assumptions!$C$16*$I665+Assumptions!$C$6*Assumptions!$C$9*(1+Assumptions!$C$12)^3</f>
        <v>815.2276031</v>
      </c>
      <c r="O665" s="139">
        <f>Assumptions!$C$6*Assumptions!$C$7*(1+$G665-0.05*(1-$J665))^4+Assumptions!$C$6*Assumptions!$C$8*(1+Assumptions!$C$11)^4+Assumptions!$C$16*$J665+Assumptions!$C$6*Assumptions!$C$9*(1+Assumptions!$C$12)^4</f>
        <v>850.8209612</v>
      </c>
      <c r="P665" s="139">
        <f>Assumptions!$C$6*Assumptions!$C$7*(1+$G665-0.05*(1-$K665))^5+Assumptions!$C$6*Assumptions!$C$8*(1+Assumptions!$C$11)^5+Assumptions!$C$16*$K665+Assumptions!$C$6*Assumptions!$C$9*(1+Assumptions!$C$12)^5</f>
        <v>728.1946919</v>
      </c>
      <c r="Q665" s="139">
        <f>($L665*(1-(Assumptions!$C$25+0.06*(1-1))-Assumptions!$C$27)-Assumptions!$C$28)-MAX(0,($L665*(1-(Assumptions!$C$25+0.06*(1-1))-Assumptions!$C$27)-Assumptions!$C$28)*Assumptions!$C$31)+Assumptions!$C$28-Assumptions!$C$29-$L665*Assumptions!$C$30</f>
        <v>93.73663078</v>
      </c>
      <c r="R665" s="139">
        <f>($M665*(1-(Assumptions!$C$25+0.06*(1-$H665))-Assumptions!$C$27)-Assumptions!$C$28)-MAX(0,($M665*(1-(Assumptions!$C$25+0.06*(1-$H665))-Assumptions!$C$27)-Assumptions!$C$28)*Assumptions!$C$31)+Assumptions!$C$28-Assumptions!$C$29-$M665*Assumptions!$C$30</f>
        <v>37.88947381</v>
      </c>
      <c r="S665" s="139">
        <f>($N665*(1-(Assumptions!$C$25+0.06*(1-$I665))-Assumptions!$C$27)-Assumptions!$C$28)-MAX(0,($N665*(1-(Assumptions!$C$25+0.06*(1-$I665))-Assumptions!$C$27)-Assumptions!$C$28)*Assumptions!$C$31)+Assumptions!$C$28-Assumptions!$C$29-$N665*Assumptions!$C$30</f>
        <v>107.7739347</v>
      </c>
      <c r="T665" s="139">
        <f>($O665*(1-(Assumptions!$C$25+0.06*(1-$J665))-Assumptions!$C$27)-Assumptions!$C$28)-MAX(0,($O665*(1-(Assumptions!$C$25+0.06*(1-$J665))-Assumptions!$C$27)-Assumptions!$C$28)*Assumptions!$C$31)+Assumptions!$C$28-Assumptions!$C$29-$O665*Assumptions!$C$30</f>
        <v>115.4265067</v>
      </c>
      <c r="U665" s="139">
        <f>($P665*(1-(Assumptions!$C$25+0.06*(1-$K665))-Assumptions!$C$27)-Assumptions!$C$28)-MAX(0,($P665*(1-(Assumptions!$C$25+0.06*(1-$K665))-Assumptions!$C$27)-Assumptions!$C$28)*Assumptions!$C$31)+Assumptions!$C$28-Assumptions!$C$29-$P665*Assumptions!$C$30</f>
        <v>47.48477913</v>
      </c>
      <c r="V665" s="143">
        <f>(($Q665/(1+$D665)^1+$R665/(1+$D665)^2+$S665/(1+$D665)^3+$T665/(1+$D665)^4+$U665/(1+$D665)^5+$U665*(1+$E665)/($D665-$E665)/(1+$D665)^5)-Assumptions!$C$37)/Assumptions!$C$40/Assumptions!$C$38</f>
        <v>-0.5327266024</v>
      </c>
    </row>
    <row r="666" ht="12.0" customHeight="1">
      <c r="B666" s="139">
        <v>614.0</v>
      </c>
      <c r="C666" s="140">
        <f t="shared" si="6"/>
        <v>0.6282285836</v>
      </c>
      <c r="D666" s="141">
        <f t="shared" si="7"/>
        <v>0.1005582631</v>
      </c>
      <c r="E666" s="141">
        <f t="shared" si="8"/>
        <v>0.01417434855</v>
      </c>
      <c r="F666" s="140">
        <f t="shared" si="9"/>
        <v>0.4445303597</v>
      </c>
      <c r="G666" s="141">
        <f t="shared" si="10"/>
        <v>0.05828700492</v>
      </c>
      <c r="H666" s="142">
        <f t="shared" si="11"/>
        <v>0</v>
      </c>
      <c r="I666" s="142">
        <f t="shared" si="12"/>
        <v>1</v>
      </c>
      <c r="J666" s="142">
        <f t="shared" si="13"/>
        <v>1</v>
      </c>
      <c r="K666" s="142">
        <f t="shared" si="14"/>
        <v>1</v>
      </c>
      <c r="L666" s="139">
        <f>Assumptions!$C$6*Assumptions!$C$7*(1+$G666-0.05*(1-1))^1+Assumptions!$C$6*Assumptions!$C$8*(1+Assumptions!$C$11)^1+Assumptions!$C$16*1+Assumptions!$C$6*Assumptions!$C$9*(1+Assumptions!$C$12)^1</f>
        <v>746.0874059</v>
      </c>
      <c r="M666" s="139">
        <f>Assumptions!$C$6*Assumptions!$C$7*(1+$G666-0.05*(1-$H666))^2+Assumptions!$C$6*Assumptions!$C$8*(1+Assumptions!$C$11)^2+Assumptions!$C$16*$H666+Assumptions!$C$6*Assumptions!$C$9*(1+Assumptions!$C$12)^2</f>
        <v>678.6672875</v>
      </c>
      <c r="N666" s="139">
        <f>Assumptions!$C$6*Assumptions!$C$7*(1+$G666-0.05*(1-$I666))^3+Assumptions!$C$6*Assumptions!$C$8*(1+Assumptions!$C$11)^3+Assumptions!$C$16*$I666+Assumptions!$C$6*Assumptions!$C$9*(1+Assumptions!$C$12)^3</f>
        <v>802.1502085</v>
      </c>
      <c r="O666" s="139">
        <f>Assumptions!$C$6*Assumptions!$C$7*(1+$G666-0.05*(1-$J666))^4+Assumptions!$C$6*Assumptions!$C$8*(1+Assumptions!$C$11)^4+Assumptions!$C$16*$J666+Assumptions!$C$6*Assumptions!$C$9*(1+Assumptions!$C$12)^4</f>
        <v>832.2680254</v>
      </c>
      <c r="P666" s="139">
        <f>Assumptions!$C$6*Assumptions!$C$7*(1+$G666-0.05*(1-$K666))^5+Assumptions!$C$6*Assumptions!$C$8*(1+Assumptions!$C$11)^5+Assumptions!$C$16*$K666+Assumptions!$C$6*Assumptions!$C$9*(1+Assumptions!$C$12)^5</f>
        <v>863.8785218</v>
      </c>
      <c r="Q666" s="139">
        <f>($L666*(1-(Assumptions!$C$25+0.06*(1-1))-Assumptions!$C$27)-Assumptions!$C$28)-MAX(0,($L666*(1-(Assumptions!$C$25+0.06*(1-1))-Assumptions!$C$27)-Assumptions!$C$28)*Assumptions!$C$31)+Assumptions!$C$28-Assumptions!$C$29-$L666*Assumptions!$C$30</f>
        <v>92.90879226</v>
      </c>
      <c r="R666" s="139">
        <f>($M666*(1-(Assumptions!$C$25+0.06*(1-$H666))-Assumptions!$C$27)-Assumptions!$C$28)-MAX(0,($M666*(1-(Assumptions!$C$25+0.06*(1-$H666))-Assumptions!$C$27)-Assumptions!$C$28)*Assumptions!$C$31)+Assumptions!$C$28-Assumptions!$C$29-$M666*Assumptions!$C$30</f>
        <v>36.09347613</v>
      </c>
      <c r="S666" s="139">
        <f>($N666*(1-(Assumptions!$C$25+0.06*(1-$I666))-Assumptions!$C$27)-Assumptions!$C$28)-MAX(0,($N666*(1-(Assumptions!$C$25+0.06*(1-$I666))-Assumptions!$C$27)-Assumptions!$C$28)*Assumptions!$C$31)+Assumptions!$C$28-Assumptions!$C$29-$N666*Assumptions!$C$30</f>
        <v>104.9622948</v>
      </c>
      <c r="T666" s="139">
        <f>($O666*(1-(Assumptions!$C$25+0.06*(1-$J666))-Assumptions!$C$27)-Assumptions!$C$28)-MAX(0,($O666*(1-(Assumptions!$C$25+0.06*(1-$J666))-Assumptions!$C$27)-Assumptions!$C$28)*Assumptions!$C$31)+Assumptions!$C$28-Assumptions!$C$29-$O666*Assumptions!$C$30</f>
        <v>111.4376255</v>
      </c>
      <c r="U666" s="139">
        <f>($P666*(1-(Assumptions!$C$25+0.06*(1-$K666))-Assumptions!$C$27)-Assumptions!$C$28)-MAX(0,($P666*(1-(Assumptions!$C$25+0.06*(1-$K666))-Assumptions!$C$27)-Assumptions!$C$28)*Assumptions!$C$31)+Assumptions!$C$28-Assumptions!$C$29-$P666*Assumptions!$C$30</f>
        <v>118.2338822</v>
      </c>
      <c r="V666" s="143">
        <f>(($Q666/(1+$D666)^1+$R666/(1+$D666)^2+$S666/(1+$D666)^3+$T666/(1+$D666)^4+$U666/(1+$D666)^5+$U666*(1+$E666)/($D666-$E666)/(1+$D666)^5)-Assumptions!$C$37)/Assumptions!$C$40/Assumptions!$C$38</f>
        <v>3.98130555</v>
      </c>
    </row>
    <row r="667" ht="12.0" customHeight="1">
      <c r="B667" s="139">
        <v>615.0</v>
      </c>
      <c r="C667" s="140">
        <f t="shared" si="6"/>
        <v>0.3996459665</v>
      </c>
      <c r="D667" s="141">
        <f t="shared" si="7"/>
        <v>0.0966479262</v>
      </c>
      <c r="E667" s="141">
        <f t="shared" si="8"/>
        <v>0.01557793218</v>
      </c>
      <c r="F667" s="140">
        <f t="shared" si="9"/>
        <v>0.8394348329</v>
      </c>
      <c r="G667" s="141">
        <f t="shared" si="10"/>
        <v>0.07299949116</v>
      </c>
      <c r="H667" s="142">
        <f t="shared" si="11"/>
        <v>1</v>
      </c>
      <c r="I667" s="142">
        <f t="shared" si="12"/>
        <v>1</v>
      </c>
      <c r="J667" s="142">
        <f t="shared" si="13"/>
        <v>0</v>
      </c>
      <c r="K667" s="142">
        <f t="shared" si="14"/>
        <v>1</v>
      </c>
      <c r="L667" s="139">
        <f>Assumptions!$C$6*Assumptions!$C$7*(1+$G667-0.05*(1-1))^1+Assumptions!$C$6*Assumptions!$C$8*(1+Assumptions!$C$11)^1+Assumptions!$C$16*1+Assumptions!$C$6*Assumptions!$C$9*(1+Assumptions!$C$12)^1</f>
        <v>751.0396287</v>
      </c>
      <c r="M667" s="139">
        <f>Assumptions!$C$6*Assumptions!$C$7*(1+$G667-0.05*(1-$H667))^2+Assumptions!$C$6*Assumptions!$C$8*(1+Assumptions!$C$11)^2+Assumptions!$C$16*$H667+Assumptions!$C$6*Assumptions!$C$9*(1+Assumptions!$C$12)^2</f>
        <v>784.0023338</v>
      </c>
      <c r="N667" s="139">
        <f>Assumptions!$C$6*Assumptions!$C$7*(1+$G667-0.05*(1-$I667))^3+Assumptions!$C$6*Assumptions!$C$8*(1+Assumptions!$C$11)^3+Assumptions!$C$16*$I667+Assumptions!$C$6*Assumptions!$C$9*(1+Assumptions!$C$12)^3</f>
        <v>819.0216429</v>
      </c>
      <c r="O667" s="139">
        <f>Assumptions!$C$6*Assumptions!$C$7*(1+$G667-0.05*(1-$J667))^4+Assumptions!$C$6*Assumptions!$C$8*(1+Assumptions!$C$11)^4+Assumptions!$C$16*$J667+Assumptions!$C$6*Assumptions!$C$9*(1+Assumptions!$C$12)^4</f>
        <v>718.7098713</v>
      </c>
      <c r="P667" s="139">
        <f>Assumptions!$C$6*Assumptions!$C$7*(1+$G667-0.05*(1-$K667))^5+Assumptions!$C$6*Assumptions!$C$8*(1+Assumptions!$C$11)^5+Assumptions!$C$16*$K667+Assumptions!$C$6*Assumptions!$C$9*(1+Assumptions!$C$12)^5</f>
        <v>895.8129338</v>
      </c>
      <c r="Q667" s="139">
        <f>($L667*(1-(Assumptions!$C$25+0.06*(1-1))-Assumptions!$C$27)-Assumptions!$C$28)-MAX(0,($L667*(1-(Assumptions!$C$25+0.06*(1-1))-Assumptions!$C$27)-Assumptions!$C$28)*Assumptions!$C$31)+Assumptions!$C$28-Assumptions!$C$29-$L667*Assumptions!$C$30</f>
        <v>93.97352018</v>
      </c>
      <c r="R667" s="139">
        <f>($M667*(1-(Assumptions!$C$25+0.06*(1-$H667))-Assumptions!$C$27)-Assumptions!$C$28)-MAX(0,($M667*(1-(Assumptions!$C$25+0.06*(1-$H667))-Assumptions!$C$27)-Assumptions!$C$28)*Assumptions!$C$31)+Assumptions!$C$28-Assumptions!$C$29-$M667*Assumptions!$C$30</f>
        <v>101.0605018</v>
      </c>
      <c r="S667" s="139">
        <f>($N667*(1-(Assumptions!$C$25+0.06*(1-$I667))-Assumptions!$C$27)-Assumptions!$C$28)-MAX(0,($N667*(1-(Assumptions!$C$25+0.06*(1-$I667))-Assumptions!$C$27)-Assumptions!$C$28)*Assumptions!$C$31)+Assumptions!$C$28-Assumptions!$C$29-$N667*Assumptions!$C$30</f>
        <v>108.5896532</v>
      </c>
      <c r="T667" s="139">
        <f>($O667*(1-(Assumptions!$C$25+0.06*(1-$J667))-Assumptions!$C$27)-Assumptions!$C$28)-MAX(0,($O667*(1-(Assumptions!$C$25+0.06*(1-$J667))-Assumptions!$C$27)-Assumptions!$C$28)*Assumptions!$C$31)+Assumptions!$C$28-Assumptions!$C$29-$O667*Assumptions!$C$30</f>
        <v>45.3032704</v>
      </c>
      <c r="U667" s="139">
        <f>($P667*(1-(Assumptions!$C$25+0.06*(1-$K667))-Assumptions!$C$27)-Assumptions!$C$28)-MAX(0,($P667*(1-(Assumptions!$C$25+0.06*(1-$K667))-Assumptions!$C$27)-Assumptions!$C$28)*Assumptions!$C$31)+Assumptions!$C$28-Assumptions!$C$29-$P667*Assumptions!$C$30</f>
        <v>125.0997808</v>
      </c>
      <c r="V667" s="143">
        <f>(($Q667/(1+$D667)^1+$R667/(1+$D667)^2+$S667/(1+$D667)^3+$T667/(1+$D667)^4+$U667/(1+$D667)^5+$U667*(1+$E667)/($D667-$E667)/(1+$D667)^5)-Assumptions!$C$37)/Assumptions!$C$40/Assumptions!$C$38</f>
        <v>5.139625729</v>
      </c>
    </row>
    <row r="668" ht="12.0" customHeight="1">
      <c r="B668" s="139">
        <v>616.0</v>
      </c>
      <c r="C668" s="140">
        <f t="shared" si="6"/>
        <v>0.3686142665</v>
      </c>
      <c r="D668" s="141">
        <f t="shared" si="7"/>
        <v>0.09617856146</v>
      </c>
      <c r="E668" s="141">
        <f t="shared" si="8"/>
        <v>0.02235757072</v>
      </c>
      <c r="F668" s="140">
        <f t="shared" si="9"/>
        <v>0.965173423</v>
      </c>
      <c r="G668" s="141">
        <f t="shared" si="10"/>
        <v>0.0820824348</v>
      </c>
      <c r="H668" s="142">
        <f t="shared" si="11"/>
        <v>1</v>
      </c>
      <c r="I668" s="142">
        <f t="shared" si="12"/>
        <v>0</v>
      </c>
      <c r="J668" s="142">
        <f t="shared" si="13"/>
        <v>1</v>
      </c>
      <c r="K668" s="142">
        <f t="shared" si="14"/>
        <v>1</v>
      </c>
      <c r="L668" s="139">
        <f>Assumptions!$C$6*Assumptions!$C$7*(1+$G668-0.05*(1-1))^1+Assumptions!$C$6*Assumptions!$C$8*(1+Assumptions!$C$11)^1+Assumptions!$C$16*1+Assumptions!$C$6*Assumptions!$C$9*(1+Assumptions!$C$12)^1</f>
        <v>754.0969476</v>
      </c>
      <c r="M668" s="139">
        <f>Assumptions!$C$6*Assumptions!$C$7*(1+$G668-0.05*(1-$H668))^2+Assumptions!$C$6*Assumptions!$C$8*(1+Assumptions!$C$11)^2+Assumptions!$C$16*$H668+Assumptions!$C$6*Assumptions!$C$9*(1+Assumptions!$C$12)^2</f>
        <v>790.5911064</v>
      </c>
      <c r="N668" s="139">
        <f>Assumptions!$C$6*Assumptions!$C$7*(1+$G668-0.05*(1-$I668))^3+Assumptions!$C$6*Assumptions!$C$8*(1+Assumptions!$C$11)^3+Assumptions!$C$16*$I668+Assumptions!$C$6*Assumptions!$C$9*(1+Assumptions!$C$12)^3</f>
        <v>713.2419946</v>
      </c>
      <c r="O668" s="139">
        <f>Assumptions!$C$6*Assumptions!$C$7*(1+$G668-0.05*(1-$J668))^4+Assumptions!$C$6*Assumptions!$C$8*(1+Assumptions!$C$11)^4+Assumptions!$C$16*$J668+Assumptions!$C$6*Assumptions!$C$9*(1+Assumptions!$C$12)^4</f>
        <v>871.5413412</v>
      </c>
      <c r="P668" s="139">
        <f>Assumptions!$C$6*Assumptions!$C$7*(1+$G668-0.05*(1-$K668))^5+Assumptions!$C$6*Assumptions!$C$8*(1+Assumptions!$C$11)^5+Assumptions!$C$16*$K668+Assumptions!$C$6*Assumptions!$C$9*(1+Assumptions!$C$12)^5</f>
        <v>916.4221427</v>
      </c>
      <c r="Q668" s="139">
        <f>($L668*(1-(Assumptions!$C$25+0.06*(1-1))-Assumptions!$C$27)-Assumptions!$C$28)-MAX(0,($L668*(1-(Assumptions!$C$25+0.06*(1-1))-Assumptions!$C$27)-Assumptions!$C$28)*Assumptions!$C$31)+Assumptions!$C$28-Assumptions!$C$29-$L668*Assumptions!$C$30</f>
        <v>94.63084372</v>
      </c>
      <c r="R668" s="139">
        <f>($M668*(1-(Assumptions!$C$25+0.06*(1-$H668))-Assumptions!$C$27)-Assumptions!$C$28)-MAX(0,($M668*(1-(Assumptions!$C$25+0.06*(1-$H668))-Assumptions!$C$27)-Assumptions!$C$28)*Assumptions!$C$31)+Assumptions!$C$28-Assumptions!$C$29-$M668*Assumptions!$C$30</f>
        <v>102.4770879</v>
      </c>
      <c r="S668" s="139">
        <f>($N668*(1-(Assumptions!$C$25+0.06*(1-$I668))-Assumptions!$C$27)-Assumptions!$C$28)-MAX(0,($N668*(1-(Assumptions!$C$25+0.06*(1-$I668))-Assumptions!$C$27)-Assumptions!$C$28)*Assumptions!$C$31)+Assumptions!$C$28-Assumptions!$C$29-$N668*Assumptions!$C$30</f>
        <v>44.04565876</v>
      </c>
      <c r="T668" s="139">
        <f>($O668*(1-(Assumptions!$C$25+0.06*(1-$J668))-Assumptions!$C$27)-Assumptions!$C$28)-MAX(0,($O668*(1-(Assumptions!$C$25+0.06*(1-$J668))-Assumptions!$C$27)-Assumptions!$C$28)*Assumptions!$C$31)+Assumptions!$C$28-Assumptions!$C$29-$O668*Assumptions!$C$30</f>
        <v>119.8813884</v>
      </c>
      <c r="U668" s="139">
        <f>($P668*(1-(Assumptions!$C$25+0.06*(1-$K668))-Assumptions!$C$27)-Assumptions!$C$28)-MAX(0,($P668*(1-(Assumptions!$C$25+0.06*(1-$K668))-Assumptions!$C$27)-Assumptions!$C$28)*Assumptions!$C$31)+Assumptions!$C$28-Assumptions!$C$29-$P668*Assumptions!$C$30</f>
        <v>129.5307607</v>
      </c>
      <c r="V668" s="143">
        <f>(($Q668/(1+$D668)^1+$R668/(1+$D668)^2+$S668/(1+$D668)^3+$T668/(1+$D668)^4+$U668/(1+$D668)^5+$U668*(1+$E668)/($D668-$E668)/(1+$D668)^5)-Assumptions!$C$37)/Assumptions!$C$40/Assumptions!$C$38</f>
        <v>6.333972755</v>
      </c>
    </row>
    <row r="669" ht="12.0" customHeight="1">
      <c r="B669" s="139">
        <v>617.0</v>
      </c>
      <c r="C669" s="140">
        <f t="shared" si="6"/>
        <v>0.531849719</v>
      </c>
      <c r="D669" s="141">
        <f t="shared" si="7"/>
        <v>0.09879406567</v>
      </c>
      <c r="E669" s="141">
        <f t="shared" si="8"/>
        <v>0.01823691888</v>
      </c>
      <c r="F669" s="140">
        <f t="shared" si="9"/>
        <v>0.1301013445</v>
      </c>
      <c r="G669" s="141">
        <f t="shared" si="10"/>
        <v>0.04530301997</v>
      </c>
      <c r="H669" s="142">
        <f t="shared" si="11"/>
        <v>1</v>
      </c>
      <c r="I669" s="142">
        <f t="shared" si="12"/>
        <v>1</v>
      </c>
      <c r="J669" s="142">
        <f t="shared" si="13"/>
        <v>1</v>
      </c>
      <c r="K669" s="142">
        <f t="shared" si="14"/>
        <v>1</v>
      </c>
      <c r="L669" s="139">
        <f>Assumptions!$C$6*Assumptions!$C$7*(1+$G669-0.05*(1-1))^1+Assumptions!$C$6*Assumptions!$C$8*(1+Assumptions!$C$11)^1+Assumptions!$C$16*1+Assumptions!$C$6*Assumptions!$C$9*(1+Assumptions!$C$12)^1</f>
        <v>741.7169965</v>
      </c>
      <c r="M669" s="139">
        <f>Assumptions!$C$6*Assumptions!$C$7*(1+$G669-0.05*(1-$H669))^2+Assumptions!$C$6*Assumptions!$C$8*(1+Assumptions!$C$11)^2+Assumptions!$C$16*$H669+Assumptions!$C$6*Assumptions!$C$9*(1+Assumptions!$C$12)^2</f>
        <v>764.2541786</v>
      </c>
      <c r="N669" s="139">
        <f>Assumptions!$C$6*Assumptions!$C$7*(1+$G669-0.05*(1-$I669))^3+Assumptions!$C$6*Assumptions!$C$8*(1+Assumptions!$C$11)^3+Assumptions!$C$16*$I669+Assumptions!$C$6*Assumptions!$C$9*(1+Assumptions!$C$12)^3</f>
        <v>787.64543</v>
      </c>
      <c r="O669" s="139">
        <f>Assumptions!$C$6*Assumptions!$C$7*(1+$G669-0.05*(1-$J669))^4+Assumptions!$C$6*Assumptions!$C$8*(1+Assumptions!$C$11)^4+Assumptions!$C$16*$J669+Assumptions!$C$6*Assumptions!$C$9*(1+Assumptions!$C$12)^4</f>
        <v>811.926104</v>
      </c>
      <c r="P669" s="139">
        <f>Assumptions!$C$6*Assumptions!$C$7*(1+$G669-0.05*(1-$K669))^5+Assumptions!$C$6*Assumptions!$C$8*(1+Assumptions!$C$11)^5+Assumptions!$C$16*$K669+Assumptions!$C$6*Assumptions!$C$9*(1+Assumptions!$C$12)^5</f>
        <v>837.1330885</v>
      </c>
      <c r="Q669" s="139">
        <f>($L669*(1-(Assumptions!$C$25+0.06*(1-1))-Assumptions!$C$27)-Assumptions!$C$28)-MAX(0,($L669*(1-(Assumptions!$C$25+0.06*(1-1))-Assumptions!$C$27)-Assumptions!$C$28)*Assumptions!$C$31)+Assumptions!$C$28-Assumptions!$C$29-$L669*Assumptions!$C$30</f>
        <v>91.96915425</v>
      </c>
      <c r="R669" s="139">
        <f>($M669*(1-(Assumptions!$C$25+0.06*(1-$H669))-Assumptions!$C$27)-Assumptions!$C$28)-MAX(0,($M669*(1-(Assumptions!$C$25+0.06*(1-$H669))-Assumptions!$C$27)-Assumptions!$C$28)*Assumptions!$C$31)+Assumptions!$C$28-Assumptions!$C$29-$M669*Assumptions!$C$30</f>
        <v>96.81464841</v>
      </c>
      <c r="S669" s="139">
        <f>($N669*(1-(Assumptions!$C$25+0.06*(1-$I669))-Assumptions!$C$27)-Assumptions!$C$28)-MAX(0,($N669*(1-(Assumptions!$C$25+0.06*(1-$I669))-Assumptions!$C$27)-Assumptions!$C$28)*Assumptions!$C$31)+Assumptions!$C$28-Assumptions!$C$29-$N669*Assumptions!$C$30</f>
        <v>101.8437675</v>
      </c>
      <c r="T669" s="139">
        <f>($O669*(1-(Assumptions!$C$25+0.06*(1-$J669))-Assumptions!$C$27)-Assumptions!$C$28)-MAX(0,($O669*(1-(Assumptions!$C$25+0.06*(1-$J669))-Assumptions!$C$27)-Assumptions!$C$28)*Assumptions!$C$31)+Assumptions!$C$28-Assumptions!$C$29-$O669*Assumptions!$C$30</f>
        <v>107.0641124</v>
      </c>
      <c r="U669" s="139">
        <f>($P669*(1-(Assumptions!$C$25+0.06*(1-$K669))-Assumptions!$C$27)-Assumptions!$C$28)-MAX(0,($P669*(1-(Assumptions!$C$25+0.06*(1-$K669))-Assumptions!$C$27)-Assumptions!$C$28)*Assumptions!$C$31)+Assumptions!$C$28-Assumptions!$C$29-$P669*Assumptions!$C$30</f>
        <v>112.483614</v>
      </c>
      <c r="V669" s="143">
        <f>(($Q669/(1+$D669)^1+$R669/(1+$D669)^2+$S669/(1+$D669)^3+$T669/(1+$D669)^4+$U669/(1+$D669)^5+$U669*(1+$E669)/($D669-$E669)/(1+$D669)^5)-Assumptions!$C$37)/Assumptions!$C$40/Assumptions!$C$38</f>
        <v>4.528673148</v>
      </c>
    </row>
    <row r="670" ht="12.0" customHeight="1">
      <c r="B670" s="139">
        <v>618.0</v>
      </c>
      <c r="C670" s="140">
        <f t="shared" si="6"/>
        <v>0.2872535726</v>
      </c>
      <c r="D670" s="141">
        <f t="shared" si="7"/>
        <v>0.09486807788</v>
      </c>
      <c r="E670" s="141">
        <f t="shared" si="8"/>
        <v>0.02982092045</v>
      </c>
      <c r="F670" s="140">
        <f t="shared" si="9"/>
        <v>0.1919161409</v>
      </c>
      <c r="G670" s="141">
        <f t="shared" si="10"/>
        <v>0.0485862598</v>
      </c>
      <c r="H670" s="142">
        <f t="shared" si="11"/>
        <v>0</v>
      </c>
      <c r="I670" s="142">
        <f t="shared" si="12"/>
        <v>1</v>
      </c>
      <c r="J670" s="142">
        <f t="shared" si="13"/>
        <v>1</v>
      </c>
      <c r="K670" s="142">
        <f t="shared" si="14"/>
        <v>1</v>
      </c>
      <c r="L670" s="139">
        <f>Assumptions!$C$6*Assumptions!$C$7*(1+$G670-0.05*(1-1))^1+Assumptions!$C$6*Assumptions!$C$8*(1+Assumptions!$C$11)^1+Assumptions!$C$16*1+Assumptions!$C$6*Assumptions!$C$9*(1+Assumptions!$C$12)^1</f>
        <v>742.8221351</v>
      </c>
      <c r="M670" s="139">
        <f>Assumptions!$C$6*Assumptions!$C$7*(1+$G670-0.05*(1-$H670))^2+Assumptions!$C$6*Assumptions!$C$8*(1+Assumptions!$C$11)^2+Assumptions!$C$16*$H670+Assumptions!$C$6*Assumptions!$C$9*(1+Assumptions!$C$12)^2</f>
        <v>672.1143029</v>
      </c>
      <c r="N670" s="139">
        <f>Assumptions!$C$6*Assumptions!$C$7*(1+$G670-0.05*(1-$I670))^3+Assumptions!$C$6*Assumptions!$C$8*(1+Assumptions!$C$11)^3+Assumptions!$C$16*$I670+Assumptions!$C$6*Assumptions!$C$9*(1+Assumptions!$C$12)^3</f>
        <v>791.2794371</v>
      </c>
      <c r="O670" s="139">
        <f>Assumptions!$C$6*Assumptions!$C$7*(1+$G670-0.05*(1-$J670))^4+Assumptions!$C$6*Assumptions!$C$8*(1+Assumptions!$C$11)^4+Assumptions!$C$16*$J670+Assumptions!$C$6*Assumptions!$C$9*(1+Assumptions!$C$12)^4</f>
        <v>816.9989179</v>
      </c>
      <c r="P670" s="139">
        <f>Assumptions!$C$6*Assumptions!$C$7*(1+$G670-0.05*(1-$K670))^5+Assumptions!$C$6*Assumptions!$C$8*(1+Assumptions!$C$11)^5+Assumptions!$C$16*$K670+Assumptions!$C$6*Assumptions!$C$9*(1+Assumptions!$C$12)^5</f>
        <v>843.771799</v>
      </c>
      <c r="Q670" s="139">
        <f>($L670*(1-(Assumptions!$C$25+0.06*(1-1))-Assumptions!$C$27)-Assumptions!$C$28)-MAX(0,($L670*(1-(Assumptions!$C$25+0.06*(1-1))-Assumptions!$C$27)-Assumptions!$C$28)*Assumptions!$C$31)+Assumptions!$C$28-Assumptions!$C$29-$L670*Assumptions!$C$30</f>
        <v>92.20675904</v>
      </c>
      <c r="R670" s="139">
        <f>($M670*(1-(Assumptions!$C$25+0.06*(1-$H670))-Assumptions!$C$27)-Assumptions!$C$28)-MAX(0,($M670*(1-(Assumptions!$C$25+0.06*(1-$H670))-Assumptions!$C$27)-Assumptions!$C$28)*Assumptions!$C$31)+Assumptions!$C$28-Assumptions!$C$29-$M670*Assumptions!$C$30</f>
        <v>34.58628966</v>
      </c>
      <c r="S670" s="139">
        <f>($N670*(1-(Assumptions!$C$25+0.06*(1-$I670))-Assumptions!$C$27)-Assumptions!$C$28)-MAX(0,($N670*(1-(Assumptions!$C$25+0.06*(1-$I670))-Assumptions!$C$27)-Assumptions!$C$28)*Assumptions!$C$31)+Assumptions!$C$28-Assumptions!$C$29-$N670*Assumptions!$C$30</f>
        <v>102.625079</v>
      </c>
      <c r="T670" s="139">
        <f>($O670*(1-(Assumptions!$C$25+0.06*(1-$J670))-Assumptions!$C$27)-Assumptions!$C$28)-MAX(0,($O670*(1-(Assumptions!$C$25+0.06*(1-$J670))-Assumptions!$C$27)-Assumptions!$C$28)*Assumptions!$C$31)+Assumptions!$C$28-Assumptions!$C$29-$O670*Assumptions!$C$30</f>
        <v>108.1547673</v>
      </c>
      <c r="U670" s="139">
        <f>($P670*(1-(Assumptions!$C$25+0.06*(1-$K670))-Assumptions!$C$27)-Assumptions!$C$28)-MAX(0,($P670*(1-(Assumptions!$C$25+0.06*(1-$K670))-Assumptions!$C$27)-Assumptions!$C$28)*Assumptions!$C$31)+Assumptions!$C$28-Assumptions!$C$29-$P670*Assumptions!$C$30</f>
        <v>113.9109368</v>
      </c>
      <c r="V670" s="143">
        <f>(($Q670/(1+$D670)^1+$R670/(1+$D670)^2+$S670/(1+$D670)^3+$T670/(1+$D670)^4+$U670/(1+$D670)^5+$U670*(1+$E670)/($D670-$E670)/(1+$D670)^5)-Assumptions!$C$37)/Assumptions!$C$40/Assumptions!$C$38</f>
        <v>6.192517514</v>
      </c>
    </row>
    <row r="671" ht="12.0" customHeight="1">
      <c r="B671" s="139">
        <v>619.0</v>
      </c>
      <c r="C671" s="140">
        <f t="shared" si="6"/>
        <v>0.5973110747</v>
      </c>
      <c r="D671" s="141">
        <f t="shared" si="7"/>
        <v>0.0999697476</v>
      </c>
      <c r="E671" s="141">
        <f t="shared" si="8"/>
        <v>0.02836073055</v>
      </c>
      <c r="F671" s="140">
        <f t="shared" si="9"/>
        <v>0.2937137726</v>
      </c>
      <c r="G671" s="141">
        <f t="shared" si="10"/>
        <v>0.0529931466</v>
      </c>
      <c r="H671" s="142">
        <f t="shared" si="11"/>
        <v>1</v>
      </c>
      <c r="I671" s="142">
        <f t="shared" si="12"/>
        <v>1</v>
      </c>
      <c r="J671" s="142">
        <f t="shared" si="13"/>
        <v>0</v>
      </c>
      <c r="K671" s="142">
        <f t="shared" si="14"/>
        <v>1</v>
      </c>
      <c r="L671" s="139">
        <f>Assumptions!$C$6*Assumptions!$C$7*(1+$G671-0.05*(1-1))^1+Assumptions!$C$6*Assumptions!$C$8*(1+Assumptions!$C$11)^1+Assumptions!$C$16*1+Assumptions!$C$6*Assumptions!$C$9*(1+Assumptions!$C$12)^1</f>
        <v>744.3054931</v>
      </c>
      <c r="M671" s="139">
        <f>Assumptions!$C$6*Assumptions!$C$7*(1+$G671-0.05*(1-$H671))^2+Assumptions!$C$6*Assumptions!$C$8*(1+Assumptions!$C$11)^2+Assumptions!$C$16*$H671+Assumptions!$C$6*Assumptions!$C$9*(1+Assumptions!$C$12)^2</f>
        <v>769.6856112</v>
      </c>
      <c r="N671" s="139">
        <f>Assumptions!$C$6*Assumptions!$C$7*(1+$G671-0.05*(1-$I671))^3+Assumptions!$C$6*Assumptions!$C$8*(1+Assumptions!$C$11)^3+Assumptions!$C$16*$I671+Assumptions!$C$6*Assumptions!$C$9*(1+Assumptions!$C$12)^3</f>
        <v>796.1930339</v>
      </c>
      <c r="O671" s="139">
        <f>Assumptions!$C$6*Assumptions!$C$7*(1+$G671-0.05*(1-$J671))^4+Assumptions!$C$6*Assumptions!$C$8*(1+Assumptions!$C$11)^4+Assumptions!$C$16*$J671+Assumptions!$C$6*Assumptions!$C$9*(1+Assumptions!$C$12)^4</f>
        <v>690.7066627</v>
      </c>
      <c r="P671" s="139">
        <f>Assumptions!$C$6*Assumptions!$C$7*(1+$G671-0.05*(1-$K671))^5+Assumptions!$C$6*Assumptions!$C$8*(1+Assumptions!$C$11)^5+Assumptions!$C$16*$K671+Assumptions!$C$6*Assumptions!$C$9*(1+Assumptions!$C$12)^5</f>
        <v>852.8141855</v>
      </c>
      <c r="Q671" s="139">
        <f>($L671*(1-(Assumptions!$C$25+0.06*(1-1))-Assumptions!$C$27)-Assumptions!$C$28)-MAX(0,($L671*(1-(Assumptions!$C$25+0.06*(1-1))-Assumptions!$C$27)-Assumptions!$C$28)*Assumptions!$C$31)+Assumptions!$C$28-Assumptions!$C$29-$L671*Assumptions!$C$30</f>
        <v>92.52568103</v>
      </c>
      <c r="R671" s="139">
        <f>($M671*(1-(Assumptions!$C$25+0.06*(1-$H671))-Assumptions!$C$27)-Assumptions!$C$28)-MAX(0,($M671*(1-(Assumptions!$C$25+0.06*(1-$H671))-Assumptions!$C$27)-Assumptions!$C$28)*Assumptions!$C$31)+Assumptions!$C$28-Assumptions!$C$29-$M671*Assumptions!$C$30</f>
        <v>97.9824064</v>
      </c>
      <c r="S671" s="139">
        <f>($N671*(1-(Assumptions!$C$25+0.06*(1-$I671))-Assumptions!$C$27)-Assumptions!$C$28)-MAX(0,($N671*(1-(Assumptions!$C$25+0.06*(1-$I671))-Assumptions!$C$27)-Assumptions!$C$28)*Assumptions!$C$31)+Assumptions!$C$28-Assumptions!$C$29-$N671*Assumptions!$C$30</f>
        <v>103.6815023</v>
      </c>
      <c r="T671" s="139">
        <f>($O671*(1-(Assumptions!$C$25+0.06*(1-$J671))-Assumptions!$C$27)-Assumptions!$C$28)-MAX(0,($O671*(1-(Assumptions!$C$25+0.06*(1-$J671))-Assumptions!$C$27)-Assumptions!$C$28)*Assumptions!$C$31)+Assumptions!$C$28-Assumptions!$C$29-$O671*Assumptions!$C$30</f>
        <v>38.86253242</v>
      </c>
      <c r="U671" s="139">
        <f>($P671*(1-(Assumptions!$C$25+0.06*(1-$K671))-Assumptions!$C$27)-Assumptions!$C$28)-MAX(0,($P671*(1-(Assumptions!$C$25+0.06*(1-$K671))-Assumptions!$C$27)-Assumptions!$C$28)*Assumptions!$C$31)+Assumptions!$C$28-Assumptions!$C$29-$P671*Assumptions!$C$30</f>
        <v>115.8550499</v>
      </c>
      <c r="V671" s="143">
        <f>(($Q671/(1+$D671)^1+$R671/(1+$D671)^2+$S671/(1+$D671)^3+$T671/(1+$D671)^4+$U671/(1+$D671)^5+$U671*(1+$E671)/($D671-$E671)/(1+$D671)^5)-Assumptions!$C$37)/Assumptions!$C$40/Assumptions!$C$38</f>
        <v>5.330157981</v>
      </c>
    </row>
    <row r="672" ht="12.0" customHeight="1">
      <c r="B672" s="139">
        <v>620.0</v>
      </c>
      <c r="C672" s="140">
        <f t="shared" si="6"/>
        <v>0.2460703528</v>
      </c>
      <c r="D672" s="141">
        <f t="shared" si="7"/>
        <v>0.09413333727</v>
      </c>
      <c r="E672" s="141">
        <f t="shared" si="8"/>
        <v>0.02385537834</v>
      </c>
      <c r="F672" s="140">
        <f t="shared" si="9"/>
        <v>0.4635057402</v>
      </c>
      <c r="G672" s="141">
        <f t="shared" si="10"/>
        <v>0.05888443062</v>
      </c>
      <c r="H672" s="142">
        <f t="shared" si="11"/>
        <v>1</v>
      </c>
      <c r="I672" s="142">
        <f t="shared" si="12"/>
        <v>0</v>
      </c>
      <c r="J672" s="142">
        <f t="shared" si="13"/>
        <v>1</v>
      </c>
      <c r="K672" s="142">
        <f t="shared" si="14"/>
        <v>0</v>
      </c>
      <c r="L672" s="139">
        <f>Assumptions!$C$6*Assumptions!$C$7*(1+$G672-0.05*(1-1))^1+Assumptions!$C$6*Assumptions!$C$8*(1+Assumptions!$C$11)^1+Assumptions!$C$16*1+Assumptions!$C$6*Assumptions!$C$9*(1+Assumptions!$C$12)^1</f>
        <v>746.2884993</v>
      </c>
      <c r="M672" s="139">
        <f>Assumptions!$C$6*Assumptions!$C$7*(1+$G672-0.05*(1-$H672))^2+Assumptions!$C$6*Assumptions!$C$8*(1+Assumptions!$C$11)^2+Assumptions!$C$16*$H672+Assumptions!$C$6*Assumptions!$C$9*(1+Assumptions!$C$12)^2</f>
        <v>773.8734775</v>
      </c>
      <c r="N672" s="139">
        <f>Assumptions!$C$6*Assumptions!$C$7*(1+$G672-0.05*(1-$I672))^3+Assumptions!$C$6*Assumptions!$C$8*(1+Assumptions!$C$11)^3+Assumptions!$C$16*$I672+Assumptions!$C$6*Assumptions!$C$9*(1+Assumptions!$C$12)^3</f>
        <v>688.8461079</v>
      </c>
      <c r="O672" s="139">
        <f>Assumptions!$C$6*Assumptions!$C$7*(1+$G672-0.05*(1-$J672))^4+Assumptions!$C$6*Assumptions!$C$8*(1+Assumptions!$C$11)^4+Assumptions!$C$16*$J672+Assumptions!$C$6*Assumptions!$C$9*(1+Assumptions!$C$12)^4</f>
        <v>833.2222182</v>
      </c>
      <c r="P672" s="139">
        <f>Assumptions!$C$6*Assumptions!$C$7*(1+$G672-0.05*(1-$K672))^5+Assumptions!$C$6*Assumptions!$C$8*(1+Assumptions!$C$11)^5+Assumptions!$C$16*$K672+Assumptions!$C$6*Assumptions!$C$9*(1+Assumptions!$C$12)^5</f>
        <v>708.8802883</v>
      </c>
      <c r="Q672" s="139">
        <f>($L672*(1-(Assumptions!$C$25+0.06*(1-1))-Assumptions!$C$27)-Assumptions!$C$28)-MAX(0,($L672*(1-(Assumptions!$C$25+0.06*(1-1))-Assumptions!$C$27)-Assumptions!$C$28)*Assumptions!$C$31)+Assumptions!$C$28-Assumptions!$C$29-$L672*Assumptions!$C$30</f>
        <v>92.95202736</v>
      </c>
      <c r="R672" s="139">
        <f>($M672*(1-(Assumptions!$C$25+0.06*(1-$H672))-Assumptions!$C$27)-Assumptions!$C$28)-MAX(0,($M672*(1-(Assumptions!$C$25+0.06*(1-$H672))-Assumptions!$C$27)-Assumptions!$C$28)*Assumptions!$C$31)+Assumptions!$C$28-Assumptions!$C$29-$M672*Assumptions!$C$30</f>
        <v>98.88279767</v>
      </c>
      <c r="S672" s="139">
        <f>($N672*(1-(Assumptions!$C$25+0.06*(1-$I672))-Assumptions!$C$27)-Assumptions!$C$28)-MAX(0,($N672*(1-(Assumptions!$C$25+0.06*(1-$I672))-Assumptions!$C$27)-Assumptions!$C$28)*Assumptions!$C$31)+Assumptions!$C$28-Assumptions!$C$29-$N672*Assumptions!$C$30</f>
        <v>38.43460483</v>
      </c>
      <c r="T672" s="139">
        <f>($O672*(1-(Assumptions!$C$25+0.06*(1-$J672))-Assumptions!$C$27)-Assumptions!$C$28)-MAX(0,($O672*(1-(Assumptions!$C$25+0.06*(1-$J672))-Assumptions!$C$27)-Assumptions!$C$28)*Assumptions!$C$31)+Assumptions!$C$28-Assumptions!$C$29-$O672*Assumptions!$C$30</f>
        <v>111.6427769</v>
      </c>
      <c r="U672" s="139">
        <f>($P672*(1-(Assumptions!$C$25+0.06*(1-$K672))-Assumptions!$C$27)-Assumptions!$C$28)-MAX(0,($P672*(1-(Assumptions!$C$25+0.06*(1-$K672))-Assumptions!$C$27)-Assumptions!$C$28)*Assumptions!$C$31)+Assumptions!$C$28-Assumptions!$C$29-$P672*Assumptions!$C$30</f>
        <v>43.04246632</v>
      </c>
      <c r="V672" s="143">
        <f>(($Q672/(1+$D672)^1+$R672/(1+$D672)^2+$S672/(1+$D672)^3+$T672/(1+$D672)^4+$U672/(1+$D672)^5+$U672*(1+$E672)/($D672-$E672)/(1+$D672)^5)-Assumptions!$C$37)/Assumptions!$C$40/Assumptions!$C$38</f>
        <v>0.08165852858</v>
      </c>
    </row>
    <row r="673" ht="12.0" customHeight="1">
      <c r="B673" s="139">
        <v>621.0</v>
      </c>
      <c r="C673" s="140">
        <f t="shared" si="6"/>
        <v>0.4021410033</v>
      </c>
      <c r="D673" s="141">
        <f t="shared" si="7"/>
        <v>0.09668610098</v>
      </c>
      <c r="E673" s="141">
        <f t="shared" si="8"/>
        <v>0.0142518083</v>
      </c>
      <c r="F673" s="140">
        <f t="shared" si="9"/>
        <v>0.1899094068</v>
      </c>
      <c r="G673" s="141">
        <f t="shared" si="10"/>
        <v>0.04848883263</v>
      </c>
      <c r="H673" s="142">
        <f t="shared" si="11"/>
        <v>1</v>
      </c>
      <c r="I673" s="142">
        <f t="shared" si="12"/>
        <v>1</v>
      </c>
      <c r="J673" s="142">
        <f t="shared" si="13"/>
        <v>1</v>
      </c>
      <c r="K673" s="142">
        <f t="shared" si="14"/>
        <v>1</v>
      </c>
      <c r="L673" s="139">
        <f>Assumptions!$C$6*Assumptions!$C$7*(1+$G673-0.05*(1-1))^1+Assumptions!$C$6*Assumptions!$C$8*(1+Assumptions!$C$11)^1+Assumptions!$C$16*1+Assumptions!$C$6*Assumptions!$C$9*(1+Assumptions!$C$12)^1</f>
        <v>742.7893411</v>
      </c>
      <c r="M673" s="139">
        <f>Assumptions!$C$6*Assumptions!$C$7*(1+$G673-0.05*(1-$H673))^2+Assumptions!$C$6*Assumptions!$C$8*(1+Assumptions!$C$11)^2+Assumptions!$C$16*$H673+Assumptions!$C$6*Assumptions!$C$9*(1+Assumptions!$C$12)^2</f>
        <v>766.4994449</v>
      </c>
      <c r="N673" s="139">
        <f>Assumptions!$C$6*Assumptions!$C$7*(1+$G673-0.05*(1-$I673))^3+Assumptions!$C$6*Assumptions!$C$8*(1+Assumptions!$C$11)^3+Assumptions!$C$16*$I673+Assumptions!$C$6*Assumptions!$C$9*(1+Assumptions!$C$12)^3</f>
        <v>791.1712729</v>
      </c>
      <c r="O673" s="139">
        <f>Assumptions!$C$6*Assumptions!$C$7*(1+$G673-0.05*(1-$J673))^4+Assumptions!$C$6*Assumptions!$C$8*(1+Assumptions!$C$11)^4+Assumptions!$C$16*$J673+Assumptions!$C$6*Assumptions!$C$9*(1+Assumptions!$C$12)^4</f>
        <v>816.847699</v>
      </c>
      <c r="P673" s="139">
        <f>Assumptions!$C$6*Assumptions!$C$7*(1+$G673-0.05*(1-$K673))^5+Assumptions!$C$6*Assumptions!$C$8*(1+Assumptions!$C$11)^5+Assumptions!$C$16*$K673+Assumptions!$C$6*Assumptions!$C$9*(1+Assumptions!$C$12)^5</f>
        <v>843.5736006</v>
      </c>
      <c r="Q673" s="139">
        <f>($L673*(1-(Assumptions!$C$25+0.06*(1-1))-Assumptions!$C$27)-Assumptions!$C$28)-MAX(0,($L673*(1-(Assumptions!$C$25+0.06*(1-1))-Assumptions!$C$27)-Assumptions!$C$28)*Assumptions!$C$31)+Assumptions!$C$28-Assumptions!$C$29-$L673*Assumptions!$C$30</f>
        <v>92.19970833</v>
      </c>
      <c r="R673" s="139">
        <f>($M673*(1-(Assumptions!$C$25+0.06*(1-$H673))-Assumptions!$C$27)-Assumptions!$C$28)-MAX(0,($M673*(1-(Assumptions!$C$25+0.06*(1-$H673))-Assumptions!$C$27)-Assumptions!$C$28)*Assumptions!$C$31)+Assumptions!$C$28-Assumptions!$C$29-$M673*Assumptions!$C$30</f>
        <v>97.29738065</v>
      </c>
      <c r="S673" s="139">
        <f>($N673*(1-(Assumptions!$C$25+0.06*(1-$I673))-Assumptions!$C$27)-Assumptions!$C$28)-MAX(0,($N673*(1-(Assumptions!$C$25+0.06*(1-$I673))-Assumptions!$C$27)-Assumptions!$C$28)*Assumptions!$C$31)+Assumptions!$C$28-Assumptions!$C$29-$N673*Assumptions!$C$30</f>
        <v>102.6018237</v>
      </c>
      <c r="T673" s="139">
        <f>($O673*(1-(Assumptions!$C$25+0.06*(1-$J673))-Assumptions!$C$27)-Assumptions!$C$28)-MAX(0,($O673*(1-(Assumptions!$C$25+0.06*(1-$J673))-Assumptions!$C$27)-Assumptions!$C$28)*Assumptions!$C$31)+Assumptions!$C$28-Assumptions!$C$29-$O673*Assumptions!$C$30</f>
        <v>108.1222553</v>
      </c>
      <c r="U673" s="139">
        <f>($P673*(1-(Assumptions!$C$25+0.06*(1-$K673))-Assumptions!$C$27)-Assumptions!$C$28)-MAX(0,($P673*(1-(Assumptions!$C$25+0.06*(1-$K673))-Assumptions!$C$27)-Assumptions!$C$28)*Assumptions!$C$31)+Assumptions!$C$28-Assumptions!$C$29-$P673*Assumptions!$C$30</f>
        <v>113.8683241</v>
      </c>
      <c r="V673" s="143">
        <f>(($Q673/(1+$D673)^1+$R673/(1+$D673)^2+$S673/(1+$D673)^3+$T673/(1+$D673)^4+$U673/(1+$D673)^5+$U673*(1+$E673)/($D673-$E673)/(1+$D673)^5)-Assumptions!$C$37)/Assumptions!$C$40/Assumptions!$C$38</f>
        <v>4.531908997</v>
      </c>
    </row>
    <row r="674" ht="12.0" customHeight="1">
      <c r="B674" s="139">
        <v>622.0</v>
      </c>
      <c r="C674" s="140">
        <f t="shared" si="6"/>
        <v>0.6047018482</v>
      </c>
      <c r="D674" s="141">
        <f t="shared" si="7"/>
        <v>0.1001083156</v>
      </c>
      <c r="E674" s="141">
        <f t="shared" si="8"/>
        <v>0.02380876359</v>
      </c>
      <c r="F674" s="140">
        <f t="shared" si="9"/>
        <v>0.8175007416</v>
      </c>
      <c r="G674" s="141">
        <f t="shared" si="10"/>
        <v>0.07187546786</v>
      </c>
      <c r="H674" s="142">
        <f t="shared" si="11"/>
        <v>0</v>
      </c>
      <c r="I674" s="142">
        <f t="shared" si="12"/>
        <v>1</v>
      </c>
      <c r="J674" s="142">
        <f t="shared" si="13"/>
        <v>0</v>
      </c>
      <c r="K674" s="142">
        <f t="shared" si="14"/>
        <v>0</v>
      </c>
      <c r="L674" s="139">
        <f>Assumptions!$C$6*Assumptions!$C$7*(1+$G674-0.05*(1-1))^1+Assumptions!$C$6*Assumptions!$C$8*(1+Assumptions!$C$11)^1+Assumptions!$C$16*1+Assumptions!$C$6*Assumptions!$C$9*(1+Assumptions!$C$12)^1</f>
        <v>750.6612825</v>
      </c>
      <c r="M674" s="139">
        <f>Assumptions!$C$6*Assumptions!$C$7*(1+$G674-0.05*(1-$H674))^2+Assumptions!$C$6*Assumptions!$C$8*(1+Assumptions!$C$11)^2+Assumptions!$C$16*$H674+Assumptions!$C$6*Assumptions!$C$9*(1+Assumptions!$C$12)^2</f>
        <v>687.9530002</v>
      </c>
      <c r="N674" s="139">
        <f>Assumptions!$C$6*Assumptions!$C$7*(1+$G674-0.05*(1-$I674))^3+Assumptions!$C$6*Assumptions!$C$8*(1+Assumptions!$C$11)^3+Assumptions!$C$16*$I674+Assumptions!$C$6*Assumptions!$C$9*(1+Assumptions!$C$12)^3</f>
        <v>817.7162096</v>
      </c>
      <c r="O674" s="139">
        <f>Assumptions!$C$6*Assumptions!$C$7*(1+$G674-0.05*(1-$J674))^4+Assumptions!$C$6*Assumptions!$C$8*(1+Assumptions!$C$11)^4+Assumptions!$C$16*$J674+Assumptions!$C$6*Assumptions!$C$9*(1+Assumptions!$C$12)^4</f>
        <v>717.0923134</v>
      </c>
      <c r="P674" s="139">
        <f>Assumptions!$C$6*Assumptions!$C$7*(1+$G674-0.05*(1-$K674))^5+Assumptions!$C$6*Assumptions!$C$8*(1+Assumptions!$C$11)^5+Assumptions!$C$16*$K674+Assumptions!$C$6*Assumptions!$C$9*(1+Assumptions!$C$12)^5</f>
        <v>732.1225197</v>
      </c>
      <c r="Q674" s="139">
        <f>($L674*(1-(Assumptions!$C$25+0.06*(1-1))-Assumptions!$C$27)-Assumptions!$C$28)-MAX(0,($L674*(1-(Assumptions!$C$25+0.06*(1-1))-Assumptions!$C$27)-Assumptions!$C$28)*Assumptions!$C$31)+Assumptions!$C$28-Assumptions!$C$29-$L674*Assumptions!$C$30</f>
        <v>93.89217573</v>
      </c>
      <c r="R674" s="139">
        <f>($M674*(1-(Assumptions!$C$25+0.06*(1-$H674))-Assumptions!$C$27)-Assumptions!$C$28)-MAX(0,($M674*(1-(Assumptions!$C$25+0.06*(1-$H674))-Assumptions!$C$27)-Assumptions!$C$28)*Assumptions!$C$31)+Assumptions!$C$28-Assumptions!$C$29-$M674*Assumptions!$C$30</f>
        <v>38.22919005</v>
      </c>
      <c r="S674" s="139">
        <f>($N674*(1-(Assumptions!$C$25+0.06*(1-$I674))-Assumptions!$C$27)-Assumptions!$C$28)-MAX(0,($N674*(1-(Assumptions!$C$25+0.06*(1-$I674))-Assumptions!$C$27)-Assumptions!$C$28)*Assumptions!$C$31)+Assumptions!$C$28-Assumptions!$C$29-$N674*Assumptions!$C$30</f>
        <v>108.3089851</v>
      </c>
      <c r="T674" s="139">
        <f>($O674*(1-(Assumptions!$C$25+0.06*(1-$J674))-Assumptions!$C$27)-Assumptions!$C$28)-MAX(0,($O674*(1-(Assumptions!$C$25+0.06*(1-$J674))-Assumptions!$C$27)-Assumptions!$C$28)*Assumptions!$C$31)+Assumptions!$C$28-Assumptions!$C$29-$O674*Assumptions!$C$30</f>
        <v>44.93123209</v>
      </c>
      <c r="U674" s="139">
        <f>($P674*(1-(Assumptions!$C$25+0.06*(1-$K674))-Assumptions!$C$27)-Assumptions!$C$28)-MAX(0,($P674*(1-(Assumptions!$C$25+0.06*(1-$K674))-Assumptions!$C$27)-Assumptions!$C$28)*Assumptions!$C$31)+Assumptions!$C$28-Assumptions!$C$29-$P674*Assumptions!$C$30</f>
        <v>48.38817953</v>
      </c>
      <c r="V674" s="143">
        <f>(($Q674/(1+$D674)^1+$R674/(1+$D674)^2+$S674/(1+$D674)^3+$T674/(1+$D674)^4+$U674/(1+$D674)^5+$U674*(1+$E674)/($D674-$E674)/(1+$D674)^5)-Assumptions!$C$37)/Assumptions!$C$40/Assumptions!$C$38</f>
        <v>-0.2321634359</v>
      </c>
    </row>
    <row r="675" ht="12.0" customHeight="1">
      <c r="B675" s="139">
        <v>623.0</v>
      </c>
      <c r="C675" s="140">
        <f t="shared" si="6"/>
        <v>0.2576595456</v>
      </c>
      <c r="D675" s="141">
        <f t="shared" si="7"/>
        <v>0.09434593954</v>
      </c>
      <c r="E675" s="141">
        <f t="shared" si="8"/>
        <v>0.01625404794</v>
      </c>
      <c r="F675" s="140">
        <f t="shared" si="9"/>
        <v>0.468927434</v>
      </c>
      <c r="G675" s="141">
        <f t="shared" si="10"/>
        <v>0.05905287217</v>
      </c>
      <c r="H675" s="142">
        <f t="shared" si="11"/>
        <v>1</v>
      </c>
      <c r="I675" s="142">
        <f t="shared" si="12"/>
        <v>0</v>
      </c>
      <c r="J675" s="142">
        <f t="shared" si="13"/>
        <v>0</v>
      </c>
      <c r="K675" s="142">
        <f t="shared" si="14"/>
        <v>1</v>
      </c>
      <c r="L675" s="139">
        <f>Assumptions!$C$6*Assumptions!$C$7*(1+$G675-0.05*(1-1))^1+Assumptions!$C$6*Assumptions!$C$8*(1+Assumptions!$C$11)^1+Assumptions!$C$16*1+Assumptions!$C$6*Assumptions!$C$9*(1+Assumptions!$C$12)^1</f>
        <v>746.3451968</v>
      </c>
      <c r="M675" s="139">
        <f>Assumptions!$C$6*Assumptions!$C$7*(1+$G675-0.05*(1-$H675))^2+Assumptions!$C$6*Assumptions!$C$8*(1+Assumptions!$C$11)^2+Assumptions!$C$16*$H675+Assumptions!$C$6*Assumptions!$C$9*(1+Assumptions!$C$12)^2</f>
        <v>773.9935591</v>
      </c>
      <c r="N675" s="139">
        <f>Assumptions!$C$6*Assumptions!$C$7*(1+$G675-0.05*(1-$I675))^3+Assumptions!$C$6*Assumptions!$C$8*(1+Assumptions!$C$11)^3+Assumptions!$C$16*$I675+Assumptions!$C$6*Assumptions!$C$9*(1+Assumptions!$C$12)^3</f>
        <v>689.0192649</v>
      </c>
      <c r="O675" s="139">
        <f>Assumptions!$C$6*Assumptions!$C$7*(1+$G675-0.05*(1-$J675))^4+Assumptions!$C$6*Assumptions!$C$8*(1+Assumptions!$C$11)^4+Assumptions!$C$16*$J675+Assumptions!$C$6*Assumptions!$C$9*(1+Assumptions!$C$12)^4</f>
        <v>699.0138641</v>
      </c>
      <c r="P675" s="139">
        <f>Assumptions!$C$6*Assumptions!$C$7*(1+$G675-0.05*(1-$K675))^5+Assumptions!$C$6*Assumptions!$C$8*(1+Assumptions!$C$11)^5+Assumptions!$C$16*$K675+Assumptions!$C$6*Assumptions!$C$9*(1+Assumptions!$C$12)^5</f>
        <v>865.4976456</v>
      </c>
      <c r="Q675" s="139">
        <f>($L675*(1-(Assumptions!$C$25+0.06*(1-1))-Assumptions!$C$27)-Assumptions!$C$28)-MAX(0,($L675*(1-(Assumptions!$C$25+0.06*(1-1))-Assumptions!$C$27)-Assumptions!$C$28)*Assumptions!$C$31)+Assumptions!$C$28-Assumptions!$C$29-$L675*Assumptions!$C$30</f>
        <v>92.96421731</v>
      </c>
      <c r="R675" s="139">
        <f>($M675*(1-(Assumptions!$C$25+0.06*(1-$H675))-Assumptions!$C$27)-Assumptions!$C$28)-MAX(0,($M675*(1-(Assumptions!$C$25+0.06*(1-$H675))-Assumptions!$C$27)-Assumptions!$C$28)*Assumptions!$C$31)+Assumptions!$C$28-Assumptions!$C$29-$M675*Assumptions!$C$30</f>
        <v>98.90861521</v>
      </c>
      <c r="S675" s="139">
        <f>($N675*(1-(Assumptions!$C$25+0.06*(1-$I675))-Assumptions!$C$27)-Assumptions!$C$28)-MAX(0,($N675*(1-(Assumptions!$C$25+0.06*(1-$I675))-Assumptions!$C$27)-Assumptions!$C$28)*Assumptions!$C$31)+Assumptions!$C$28-Assumptions!$C$29-$N675*Assumptions!$C$30</f>
        <v>38.47443093</v>
      </c>
      <c r="T675" s="139">
        <f>($O675*(1-(Assumptions!$C$25+0.06*(1-$J675))-Assumptions!$C$27)-Assumptions!$C$28)-MAX(0,($O675*(1-(Assumptions!$C$25+0.06*(1-$J675))-Assumptions!$C$27)-Assumptions!$C$28)*Assumptions!$C$31)+Assumptions!$C$28-Assumptions!$C$29-$O675*Assumptions!$C$30</f>
        <v>40.77318875</v>
      </c>
      <c r="U675" s="139">
        <f>($P675*(1-(Assumptions!$C$25+0.06*(1-$K675))-Assumptions!$C$27)-Assumptions!$C$28)-MAX(0,($P675*(1-(Assumptions!$C$25+0.06*(1-$K675))-Assumptions!$C$27)-Assumptions!$C$28)*Assumptions!$C$31)+Assumptions!$C$28-Assumptions!$C$29-$P675*Assumptions!$C$30</f>
        <v>118.5819938</v>
      </c>
      <c r="V675" s="143">
        <f>(($Q675/(1+$D675)^1+$R675/(1+$D675)^2+$S675/(1+$D675)^3+$T675/(1+$D675)^4+$U675/(1+$D675)^5+$U675*(1+$E675)/($D675-$E675)/(1+$D675)^5)-Assumptions!$C$37)/Assumptions!$C$40/Assumptions!$C$38</f>
        <v>4.622885791</v>
      </c>
    </row>
    <row r="676" ht="12.0" customHeight="1">
      <c r="B676" s="139">
        <v>624.0</v>
      </c>
      <c r="C676" s="140">
        <f t="shared" si="6"/>
        <v>0.9373636537</v>
      </c>
      <c r="D676" s="141">
        <f t="shared" si="7"/>
        <v>0.109072185</v>
      </c>
      <c r="E676" s="141">
        <f t="shared" si="8"/>
        <v>0.02849654332</v>
      </c>
      <c r="F676" s="140">
        <f t="shared" si="9"/>
        <v>0.8122209651</v>
      </c>
      <c r="G676" s="141">
        <f t="shared" si="10"/>
        <v>0.07161516215</v>
      </c>
      <c r="H676" s="142">
        <f t="shared" si="11"/>
        <v>1</v>
      </c>
      <c r="I676" s="142">
        <f t="shared" si="12"/>
        <v>1</v>
      </c>
      <c r="J676" s="142">
        <f t="shared" si="13"/>
        <v>1</v>
      </c>
      <c r="K676" s="142">
        <f t="shared" si="14"/>
        <v>1</v>
      </c>
      <c r="L676" s="139">
        <f>Assumptions!$C$6*Assumptions!$C$7*(1+$G676-0.05*(1-1))^1+Assumptions!$C$6*Assumptions!$C$8*(1+Assumptions!$C$11)^1+Assumptions!$C$16*1+Assumptions!$C$6*Assumptions!$C$9*(1+Assumptions!$C$12)^1</f>
        <v>750.5736636</v>
      </c>
      <c r="M676" s="139">
        <f>Assumptions!$C$6*Assumptions!$C$7*(1+$G676-0.05*(1-$H676))^2+Assumptions!$C$6*Assumptions!$C$8*(1+Assumptions!$C$11)^2+Assumptions!$C$16*$H676+Assumptions!$C$6*Assumptions!$C$9*(1+Assumptions!$C$12)^2</f>
        <v>783.0030182</v>
      </c>
      <c r="N676" s="139">
        <f>Assumptions!$C$6*Assumptions!$C$7*(1+$G676-0.05*(1-$I676))^3+Assumptions!$C$6*Assumptions!$C$8*(1+Assumptions!$C$11)^3+Assumptions!$C$16*$I676+Assumptions!$C$6*Assumptions!$C$9*(1+Assumptions!$C$12)^3</f>
        <v>817.4142824</v>
      </c>
      <c r="O676" s="139">
        <f>Assumptions!$C$6*Assumptions!$C$7*(1+$G676-0.05*(1-$J676))^4+Assumptions!$C$6*Assumptions!$C$8*(1+Assumptions!$C$11)^4+Assumptions!$C$16*$J676+Assumptions!$C$6*Assumptions!$C$9*(1+Assumptions!$C$12)^4</f>
        <v>853.9425807</v>
      </c>
      <c r="P676" s="139">
        <f>Assumptions!$C$6*Assumptions!$C$7*(1+$G676-0.05*(1-$K676))^5+Assumptions!$C$6*Assumptions!$C$8*(1+Assumptions!$C$11)^5+Assumptions!$C$16*$K676+Assumptions!$C$6*Assumptions!$C$9*(1+Assumptions!$C$12)^5</f>
        <v>892.732578</v>
      </c>
      <c r="Q676" s="139">
        <f>($L676*(1-(Assumptions!$C$25+0.06*(1-1))-Assumptions!$C$27)-Assumptions!$C$28)-MAX(0,($L676*(1-(Assumptions!$C$25+0.06*(1-1))-Assumptions!$C$27)-Assumptions!$C$28)*Assumptions!$C$31)+Assumptions!$C$28-Assumptions!$C$29-$L676*Assumptions!$C$30</f>
        <v>93.87333767</v>
      </c>
      <c r="R676" s="139">
        <f>($M676*(1-(Assumptions!$C$25+0.06*(1-$H676))-Assumptions!$C$27)-Assumptions!$C$28)-MAX(0,($M676*(1-(Assumptions!$C$25+0.06*(1-$H676))-Assumptions!$C$27)-Assumptions!$C$28)*Assumptions!$C$31)+Assumptions!$C$28-Assumptions!$C$29-$M676*Assumptions!$C$30</f>
        <v>100.8456489</v>
      </c>
      <c r="S676" s="139">
        <f>($N676*(1-(Assumptions!$C$25+0.06*(1-$I676))-Assumptions!$C$27)-Assumptions!$C$28)-MAX(0,($N676*(1-(Assumptions!$C$25+0.06*(1-$I676))-Assumptions!$C$27)-Assumptions!$C$28)*Assumptions!$C$31)+Assumptions!$C$28-Assumptions!$C$29-$N676*Assumptions!$C$30</f>
        <v>108.2440707</v>
      </c>
      <c r="T676" s="139">
        <f>($O676*(1-(Assumptions!$C$25+0.06*(1-$J676))-Assumptions!$C$27)-Assumptions!$C$28)-MAX(0,($O676*(1-(Assumptions!$C$25+0.06*(1-$J676))-Assumptions!$C$27)-Assumptions!$C$28)*Assumptions!$C$31)+Assumptions!$C$28-Assumptions!$C$29-$O676*Assumptions!$C$30</f>
        <v>116.0976548</v>
      </c>
      <c r="U676" s="139">
        <f>($P676*(1-(Assumptions!$C$25+0.06*(1-$K676))-Assumptions!$C$27)-Assumptions!$C$28)-MAX(0,($P676*(1-(Assumptions!$C$25+0.06*(1-$K676))-Assumptions!$C$27)-Assumptions!$C$28)*Assumptions!$C$31)+Assumptions!$C$28-Assumptions!$C$29-$P676*Assumptions!$C$30</f>
        <v>124.4375043</v>
      </c>
      <c r="V676" s="143">
        <f>(($Q676/(1+$D676)^1+$R676/(1+$D676)^2+$S676/(1+$D676)^3+$T676/(1+$D676)^4+$U676/(1+$D676)^5+$U676*(1+$E676)/($D676-$E676)/(1+$D676)^5)-Assumptions!$C$37)/Assumptions!$C$40/Assumptions!$C$38</f>
        <v>5.086078208</v>
      </c>
    </row>
    <row r="677" ht="12.0" customHeight="1">
      <c r="B677" s="139">
        <v>625.0</v>
      </c>
      <c r="C677" s="140">
        <f t="shared" si="6"/>
        <v>0.6655681678</v>
      </c>
      <c r="D677" s="141">
        <f t="shared" si="7"/>
        <v>0.1013026916</v>
      </c>
      <c r="E677" s="141">
        <f t="shared" si="8"/>
        <v>0.01887927363</v>
      </c>
      <c r="F677" s="140">
        <f t="shared" si="9"/>
        <v>0.05834697426</v>
      </c>
      <c r="G677" s="141">
        <f t="shared" si="10"/>
        <v>0.04024814879</v>
      </c>
      <c r="H677" s="142">
        <f t="shared" si="11"/>
        <v>1</v>
      </c>
      <c r="I677" s="142">
        <f t="shared" si="12"/>
        <v>1</v>
      </c>
      <c r="J677" s="142">
        <f t="shared" si="13"/>
        <v>0</v>
      </c>
      <c r="K677" s="142">
        <f t="shared" si="14"/>
        <v>1</v>
      </c>
      <c r="L677" s="139">
        <f>Assumptions!$C$6*Assumptions!$C$7*(1+$G677-0.05*(1-1))^1+Assumptions!$C$6*Assumptions!$C$8*(1+Assumptions!$C$11)^1+Assumptions!$C$16*1+Assumptions!$C$6*Assumptions!$C$9*(1+Assumptions!$C$12)^1</f>
        <v>740.0155269</v>
      </c>
      <c r="M677" s="139">
        <f>Assumptions!$C$6*Assumptions!$C$7*(1+$G677-0.05*(1-$H677))^2+Assumptions!$C$6*Assumptions!$C$8*(1+Assumptions!$C$11)^2+Assumptions!$C$16*$H677+Assumptions!$C$6*Assumptions!$C$9*(1+Assumptions!$C$12)^2</f>
        <v>760.7056766</v>
      </c>
      <c r="N677" s="139">
        <f>Assumptions!$C$6*Assumptions!$C$7*(1+$G677-0.05*(1-$I677))^3+Assumptions!$C$6*Assumptions!$C$8*(1+Assumptions!$C$11)^3+Assumptions!$C$16*$I677+Assumptions!$C$6*Assumptions!$C$9*(1+Assumptions!$C$12)^3</f>
        <v>782.0949823</v>
      </c>
      <c r="O677" s="139">
        <f>Assumptions!$C$6*Assumptions!$C$7*(1+$G677-0.05*(1-$J677))^4+Assumptions!$C$6*Assumptions!$C$8*(1+Assumptions!$C$11)^4+Assumptions!$C$16*$J677+Assumptions!$C$6*Assumptions!$C$9*(1+Assumptions!$C$12)^4</f>
        <v>673.7194836</v>
      </c>
      <c r="P677" s="139">
        <f>Assumptions!$C$6*Assumptions!$C$7*(1+$G677-0.05*(1-$K677))^5+Assumptions!$C$6*Assumptions!$C$8*(1+Assumptions!$C$11)^5+Assumptions!$C$16*$K677+Assumptions!$C$6*Assumptions!$C$9*(1+Assumptions!$C$12)^5</f>
        <v>827.0739051</v>
      </c>
      <c r="Q677" s="139">
        <f>($L677*(1-(Assumptions!$C$25+0.06*(1-1))-Assumptions!$C$27)-Assumptions!$C$28)-MAX(0,($L677*(1-(Assumptions!$C$25+0.06*(1-1))-Assumptions!$C$27)-Assumptions!$C$28)*Assumptions!$C$31)+Assumptions!$C$28-Assumptions!$C$29-$L677*Assumptions!$C$30</f>
        <v>91.60333828</v>
      </c>
      <c r="R677" s="139">
        <f>($M677*(1-(Assumptions!$C$25+0.06*(1-$H677))-Assumptions!$C$27)-Assumptions!$C$28)-MAX(0,($M677*(1-(Assumptions!$C$25+0.06*(1-$H677))-Assumptions!$C$27)-Assumptions!$C$28)*Assumptions!$C$31)+Assumptions!$C$28-Assumptions!$C$29-$M677*Assumptions!$C$30</f>
        <v>96.05172048</v>
      </c>
      <c r="S677" s="139">
        <f>($N677*(1-(Assumptions!$C$25+0.06*(1-$I677))-Assumptions!$C$27)-Assumptions!$C$28)-MAX(0,($N677*(1-(Assumptions!$C$25+0.06*(1-$I677))-Assumptions!$C$27)-Assumptions!$C$28)*Assumptions!$C$31)+Assumptions!$C$28-Assumptions!$C$29-$N677*Assumptions!$C$30</f>
        <v>100.6504212</v>
      </c>
      <c r="T677" s="139">
        <f>($O677*(1-(Assumptions!$C$25+0.06*(1-$J677))-Assumptions!$C$27)-Assumptions!$C$28)-MAX(0,($O677*(1-(Assumptions!$C$25+0.06*(1-$J677))-Assumptions!$C$27)-Assumptions!$C$28)*Assumptions!$C$31)+Assumptions!$C$28-Assumptions!$C$29-$O677*Assumptions!$C$30</f>
        <v>34.95548123</v>
      </c>
      <c r="U677" s="139">
        <f>($P677*(1-(Assumptions!$C$25+0.06*(1-$K677))-Assumptions!$C$27)-Assumptions!$C$28)-MAX(0,($P677*(1-(Assumptions!$C$25+0.06*(1-$K677))-Assumptions!$C$27)-Assumptions!$C$28)*Assumptions!$C$31)+Assumptions!$C$28-Assumptions!$C$29-$P677*Assumptions!$C$30</f>
        <v>110.3208896</v>
      </c>
      <c r="V677" s="143">
        <f>(($Q677/(1+$D677)^1+$R677/(1+$D677)^2+$S677/(1+$D677)^3+$T677/(1+$D677)^4+$U677/(1+$D677)^5+$U677*(1+$E677)/($D677-$E677)/(1+$D677)^5)-Assumptions!$C$37)/Assumptions!$C$40/Assumptions!$C$38</f>
        <v>3.74323125</v>
      </c>
    </row>
    <row r="678" ht="12.0" customHeight="1">
      <c r="B678" s="139">
        <v>626.0</v>
      </c>
      <c r="C678" s="140">
        <f t="shared" si="6"/>
        <v>0.2416529612</v>
      </c>
      <c r="D678" s="141">
        <f t="shared" si="7"/>
        <v>0.09405098635</v>
      </c>
      <c r="E678" s="141">
        <f t="shared" si="8"/>
        <v>0.01525068127</v>
      </c>
      <c r="F678" s="140">
        <f t="shared" si="9"/>
        <v>0.658318109</v>
      </c>
      <c r="G678" s="141">
        <f t="shared" si="10"/>
        <v>0.06520025396</v>
      </c>
      <c r="H678" s="142">
        <f t="shared" si="11"/>
        <v>0</v>
      </c>
      <c r="I678" s="142">
        <f t="shared" si="12"/>
        <v>0</v>
      </c>
      <c r="J678" s="142">
        <f t="shared" si="13"/>
        <v>1</v>
      </c>
      <c r="K678" s="142">
        <f t="shared" si="14"/>
        <v>1</v>
      </c>
      <c r="L678" s="139">
        <f>Assumptions!$C$6*Assumptions!$C$7*(1+$G678-0.05*(1-1))^1+Assumptions!$C$6*Assumptions!$C$8*(1+Assumptions!$C$11)^1+Assumptions!$C$16*1+Assumptions!$C$6*Assumptions!$C$9*(1+Assumptions!$C$12)^1</f>
        <v>748.4144055</v>
      </c>
      <c r="M678" s="139">
        <f>Assumptions!$C$6*Assumptions!$C$7*(1+$G678-0.05*(1-$H678))^2+Assumptions!$C$6*Assumptions!$C$8*(1+Assumptions!$C$11)^2+Assumptions!$C$16*$H678+Assumptions!$C$6*Assumptions!$C$9*(1+Assumptions!$C$12)^2</f>
        <v>683.3759416</v>
      </c>
      <c r="N678" s="139">
        <f>Assumptions!$C$6*Assumptions!$C$7*(1+$G678-0.05*(1-$I678))^3+Assumptions!$C$6*Assumptions!$C$8*(1+Assumptions!$C$11)^3+Assumptions!$C$16*$I678+Assumptions!$C$6*Assumptions!$C$9*(1+Assumptions!$C$12)^3</f>
        <v>695.3783778</v>
      </c>
      <c r="O678" s="139">
        <f>Assumptions!$C$6*Assumptions!$C$7*(1+$G678-0.05*(1-$J678))^4+Assumptions!$C$6*Assumptions!$C$8*(1+Assumptions!$C$11)^4+Assumptions!$C$16*$J678+Assumptions!$C$6*Assumptions!$C$9*(1+Assumptions!$C$12)^4</f>
        <v>843.4089157</v>
      </c>
      <c r="P678" s="139">
        <f>Assumptions!$C$6*Assumptions!$C$7*(1+$G678-0.05*(1-$K678))^5+Assumptions!$C$6*Assumptions!$C$8*(1+Assumptions!$C$11)^5+Assumptions!$C$16*$K678+Assumptions!$C$6*Assumptions!$C$9*(1+Assumptions!$C$12)^5</f>
        <v>878.6646402</v>
      </c>
      <c r="Q678" s="139">
        <f>($L678*(1-(Assumptions!$C$25+0.06*(1-1))-Assumptions!$C$27)-Assumptions!$C$28)-MAX(0,($L678*(1-(Assumptions!$C$25+0.06*(1-1))-Assumptions!$C$27)-Assumptions!$C$28)*Assumptions!$C$31)+Assumptions!$C$28-Assumptions!$C$29-$L678*Assumptions!$C$30</f>
        <v>93.40909718</v>
      </c>
      <c r="R678" s="139">
        <f>($M678*(1-(Assumptions!$C$25+0.06*(1-$H678))-Assumptions!$C$27)-Assumptions!$C$28)-MAX(0,($M678*(1-(Assumptions!$C$25+0.06*(1-$H678))-Assumptions!$C$27)-Assumptions!$C$28)*Assumptions!$C$31)+Assumptions!$C$28-Assumptions!$C$29-$M678*Assumptions!$C$30</f>
        <v>37.17646657</v>
      </c>
      <c r="S678" s="139">
        <f>($N678*(1-(Assumptions!$C$25+0.06*(1-$I678))-Assumptions!$C$27)-Assumptions!$C$28)-MAX(0,($N678*(1-(Assumptions!$C$25+0.06*(1-$I678))-Assumptions!$C$27)-Assumptions!$C$28)*Assumptions!$C$31)+Assumptions!$C$28-Assumptions!$C$29-$N678*Assumptions!$C$30</f>
        <v>39.93702689</v>
      </c>
      <c r="T678" s="139">
        <f>($O678*(1-(Assumptions!$C$25+0.06*(1-$J678))-Assumptions!$C$27)-Assumptions!$C$28)-MAX(0,($O678*(1-(Assumptions!$C$25+0.06*(1-$J678))-Assumptions!$C$27)-Assumptions!$C$28)*Assumptions!$C$31)+Assumptions!$C$28-Assumptions!$C$29-$O678*Assumptions!$C$30</f>
        <v>113.8329169</v>
      </c>
      <c r="U678" s="139">
        <f>($P678*(1-(Assumptions!$C$25+0.06*(1-$K678))-Assumptions!$C$27)-Assumptions!$C$28)-MAX(0,($P678*(1-(Assumptions!$C$25+0.06*(1-$K678))-Assumptions!$C$27)-Assumptions!$C$28)*Assumptions!$C$31)+Assumptions!$C$28-Assumptions!$C$29-$P678*Assumptions!$C$30</f>
        <v>121.4128976</v>
      </c>
      <c r="V678" s="143">
        <f>(($Q678/(1+$D678)^1+$R678/(1+$D678)^2+$S678/(1+$D678)^3+$T678/(1+$D678)^4+$U678/(1+$D678)^5+$U678*(1+$E678)/($D678-$E678)/(1+$D678)^5)-Assumptions!$C$37)/Assumptions!$C$40/Assumptions!$C$38</f>
        <v>4.761444313</v>
      </c>
    </row>
    <row r="679" ht="12.0" customHeight="1">
      <c r="B679" s="139">
        <v>627.0</v>
      </c>
      <c r="C679" s="140">
        <f t="shared" si="6"/>
        <v>0.3629389885</v>
      </c>
      <c r="D679" s="141">
        <f t="shared" si="7"/>
        <v>0.09609217369</v>
      </c>
      <c r="E679" s="141">
        <f t="shared" si="8"/>
        <v>0.02515578696</v>
      </c>
      <c r="F679" s="140">
        <f t="shared" si="9"/>
        <v>0.132881718</v>
      </c>
      <c r="G679" s="141">
        <f t="shared" si="10"/>
        <v>0.04546567465</v>
      </c>
      <c r="H679" s="142">
        <f t="shared" si="11"/>
        <v>1</v>
      </c>
      <c r="I679" s="142">
        <f t="shared" si="12"/>
        <v>1</v>
      </c>
      <c r="J679" s="142">
        <f t="shared" si="13"/>
        <v>1</v>
      </c>
      <c r="K679" s="142">
        <f t="shared" si="14"/>
        <v>0</v>
      </c>
      <c r="L679" s="139">
        <f>Assumptions!$C$6*Assumptions!$C$7*(1+$G679-0.05*(1-1))^1+Assumptions!$C$6*Assumptions!$C$8*(1+Assumptions!$C$11)^1+Assumptions!$C$16*1+Assumptions!$C$6*Assumptions!$C$9*(1+Assumptions!$C$12)^1</f>
        <v>741.7717461</v>
      </c>
      <c r="M679" s="139">
        <f>Assumptions!$C$6*Assumptions!$C$7*(1+$G679-0.05*(1-$H679))^2+Assumptions!$C$6*Assumptions!$C$8*(1+Assumptions!$C$11)^2+Assumptions!$C$16*$H679+Assumptions!$C$6*Assumptions!$C$9*(1+Assumptions!$C$12)^2</f>
        <v>764.3686473</v>
      </c>
      <c r="N679" s="139">
        <f>Assumptions!$C$6*Assumptions!$C$7*(1+$G679-0.05*(1-$I679))^3+Assumptions!$C$6*Assumptions!$C$8*(1+Assumptions!$C$11)^3+Assumptions!$C$16*$I679+Assumptions!$C$6*Assumptions!$C$9*(1+Assumptions!$C$12)^3</f>
        <v>787.8249257</v>
      </c>
      <c r="O679" s="139">
        <f>Assumptions!$C$6*Assumptions!$C$7*(1+$G679-0.05*(1-$J679))^4+Assumptions!$C$6*Assumptions!$C$8*(1+Assumptions!$C$11)^4+Assumptions!$C$16*$J679+Assumptions!$C$6*Assumptions!$C$9*(1+Assumptions!$C$12)^4</f>
        <v>812.1762932</v>
      </c>
      <c r="P679" s="139">
        <f>Assumptions!$C$6*Assumptions!$C$7*(1+$G679-0.05*(1-$K679))^5+Assumptions!$C$6*Assumptions!$C$8*(1+Assumptions!$C$11)^5+Assumptions!$C$16*$K679+Assumptions!$C$6*Assumptions!$C$9*(1+Assumptions!$C$12)^5</f>
        <v>686.0973544</v>
      </c>
      <c r="Q679" s="139">
        <f>($L679*(1-(Assumptions!$C$25+0.06*(1-1))-Assumptions!$C$27)-Assumptions!$C$28)-MAX(0,($L679*(1-(Assumptions!$C$25+0.06*(1-1))-Assumptions!$C$27)-Assumptions!$C$28)*Assumptions!$C$31)+Assumptions!$C$28-Assumptions!$C$29-$L679*Assumptions!$C$30</f>
        <v>91.98092541</v>
      </c>
      <c r="R679" s="139">
        <f>($M679*(1-(Assumptions!$C$25+0.06*(1-$H679))-Assumptions!$C$27)-Assumptions!$C$28)-MAX(0,($M679*(1-(Assumptions!$C$25+0.06*(1-$H679))-Assumptions!$C$27)-Assumptions!$C$28)*Assumptions!$C$31)+Assumptions!$C$28-Assumptions!$C$29-$M679*Assumptions!$C$30</f>
        <v>96.83925917</v>
      </c>
      <c r="S679" s="139">
        <f>($N679*(1-(Assumptions!$C$25+0.06*(1-$I679))-Assumptions!$C$27)-Assumptions!$C$28)-MAX(0,($N679*(1-(Assumptions!$C$25+0.06*(1-$I679))-Assumptions!$C$27)-Assumptions!$C$28)*Assumptions!$C$31)+Assumptions!$C$28-Assumptions!$C$29-$N679*Assumptions!$C$30</f>
        <v>101.882359</v>
      </c>
      <c r="T679" s="139">
        <f>($O679*(1-(Assumptions!$C$25+0.06*(1-$J679))-Assumptions!$C$27)-Assumptions!$C$28)-MAX(0,($O679*(1-(Assumptions!$C$25+0.06*(1-$J679))-Assumptions!$C$27)-Assumptions!$C$28)*Assumptions!$C$31)+Assumptions!$C$28-Assumptions!$C$29-$O679*Assumptions!$C$30</f>
        <v>107.117903</v>
      </c>
      <c r="U679" s="139">
        <f>($P679*(1-(Assumptions!$C$25+0.06*(1-$K679))-Assumptions!$C$27)-Assumptions!$C$28)-MAX(0,($P679*(1-(Assumptions!$C$25+0.06*(1-$K679))-Assumptions!$C$27)-Assumptions!$C$28)*Assumptions!$C$31)+Assumptions!$C$28-Assumptions!$C$29-$P679*Assumptions!$C$30</f>
        <v>37.80239152</v>
      </c>
      <c r="V679" s="143">
        <f>(($Q679/(1+$D679)^1+$R679/(1+$D679)^2+$S679/(1+$D679)^3+$T679/(1+$D679)^4+$U679/(1+$D679)^5+$U679*(1+$E679)/($D679-$E679)/(1+$D679)^5)-Assumptions!$C$37)/Assumptions!$C$40/Assumptions!$C$38</f>
        <v>-0.04993952256</v>
      </c>
    </row>
    <row r="680" ht="12.0" customHeight="1">
      <c r="B680" s="139">
        <v>628.0</v>
      </c>
      <c r="C680" s="140">
        <f t="shared" si="6"/>
        <v>0.1535214983</v>
      </c>
      <c r="D680" s="141">
        <f t="shared" si="7"/>
        <v>0.09221413806</v>
      </c>
      <c r="E680" s="141">
        <f t="shared" si="8"/>
        <v>0.02266267294</v>
      </c>
      <c r="F680" s="140">
        <f t="shared" si="9"/>
        <v>0.7898292468</v>
      </c>
      <c r="G680" s="141">
        <f t="shared" si="10"/>
        <v>0.07054987517</v>
      </c>
      <c r="H680" s="142">
        <f t="shared" si="11"/>
        <v>0</v>
      </c>
      <c r="I680" s="142">
        <f t="shared" si="12"/>
        <v>0</v>
      </c>
      <c r="J680" s="142">
        <f t="shared" si="13"/>
        <v>0</v>
      </c>
      <c r="K680" s="142">
        <f t="shared" si="14"/>
        <v>0</v>
      </c>
      <c r="L680" s="139">
        <f>Assumptions!$C$6*Assumptions!$C$7*(1+$G680-0.05*(1-1))^1+Assumptions!$C$6*Assumptions!$C$8*(1+Assumptions!$C$11)^1+Assumptions!$C$16*1+Assumptions!$C$6*Assumptions!$C$9*(1+Assumptions!$C$12)^1</f>
        <v>750.215088</v>
      </c>
      <c r="M680" s="139">
        <f>Assumptions!$C$6*Assumptions!$C$7*(1+$G680-0.05*(1-$H680))^2+Assumptions!$C$6*Assumptions!$C$8*(1+Assumptions!$C$11)^2+Assumptions!$C$16*$H680+Assumptions!$C$6*Assumptions!$C$9*(1+Assumptions!$C$12)^2</f>
        <v>687.0416813</v>
      </c>
      <c r="N680" s="139">
        <f>Assumptions!$C$6*Assumptions!$C$7*(1+$G680-0.05*(1-$I680))^3+Assumptions!$C$6*Assumptions!$C$8*(1+Assumptions!$C$11)^3+Assumptions!$C$16*$I680+Assumptions!$C$6*Assumptions!$C$9*(1+Assumptions!$C$12)^3</f>
        <v>700.9752881</v>
      </c>
      <c r="O680" s="139">
        <f>Assumptions!$C$6*Assumptions!$C$7*(1+$G680-0.05*(1-$J680))^4+Assumptions!$C$6*Assumptions!$C$8*(1+Assumptions!$C$11)^4+Assumptions!$C$16*$J680+Assumptions!$C$6*Assumptions!$C$9*(1+Assumptions!$C$12)^4</f>
        <v>715.1915285</v>
      </c>
      <c r="P680" s="139">
        <f>Assumptions!$C$6*Assumptions!$C$7*(1+$G680-0.05*(1-$K680))^5+Assumptions!$C$6*Assumptions!$C$8*(1+Assumptions!$C$11)^5+Assumptions!$C$16*$K680+Assumptions!$C$6*Assumptions!$C$9*(1+Assumptions!$C$12)^5</f>
        <v>729.6961367</v>
      </c>
      <c r="Q680" s="139">
        <f>($L680*(1-(Assumptions!$C$25+0.06*(1-1))-Assumptions!$C$27)-Assumptions!$C$28)-MAX(0,($L680*(1-(Assumptions!$C$25+0.06*(1-1))-Assumptions!$C$27)-Assumptions!$C$28)*Assumptions!$C$31)+Assumptions!$C$28-Assumptions!$C$29-$L680*Assumptions!$C$30</f>
        <v>93.79624392</v>
      </c>
      <c r="R680" s="139">
        <f>($M680*(1-(Assumptions!$C$25+0.06*(1-$H680))-Assumptions!$C$27)-Assumptions!$C$28)-MAX(0,($M680*(1-(Assumptions!$C$25+0.06*(1-$H680))-Assumptions!$C$27)-Assumptions!$C$28)*Assumptions!$C$31)+Assumptions!$C$28-Assumptions!$C$29-$M680*Assumptions!$C$30</f>
        <v>38.01958669</v>
      </c>
      <c r="S680" s="139">
        <f>($N680*(1-(Assumptions!$C$25+0.06*(1-$I680))-Assumptions!$C$27)-Assumptions!$C$28)-MAX(0,($N680*(1-(Assumptions!$C$25+0.06*(1-$I680))-Assumptions!$C$27)-Assumptions!$C$28)*Assumptions!$C$31)+Assumptions!$C$28-Assumptions!$C$29-$N680*Assumptions!$C$30</f>
        <v>41.22431626</v>
      </c>
      <c r="T680" s="139">
        <f>($O680*(1-(Assumptions!$C$25+0.06*(1-$J680))-Assumptions!$C$27)-Assumptions!$C$28)-MAX(0,($O680*(1-(Assumptions!$C$25+0.06*(1-$J680))-Assumptions!$C$27)-Assumptions!$C$28)*Assumptions!$C$31)+Assumptions!$C$28-Assumptions!$C$29-$O680*Assumptions!$C$30</f>
        <v>44.49405156</v>
      </c>
      <c r="U680" s="139">
        <f>($P680*(1-(Assumptions!$C$25+0.06*(1-$K680))-Assumptions!$C$27)-Assumptions!$C$28)-MAX(0,($P680*(1-(Assumptions!$C$25+0.06*(1-$K680))-Assumptions!$C$27)-Assumptions!$C$28)*Assumptions!$C$31)+Assumptions!$C$28-Assumptions!$C$29-$P680*Assumptions!$C$30</f>
        <v>47.83011143</v>
      </c>
      <c r="V680" s="143">
        <f>(($Q680/(1+$D680)^1+$R680/(1+$D680)^2+$S680/(1+$D680)^3+$T680/(1+$D680)^4+$U680/(1+$D680)^5+$U680*(1+$E680)/($D680-$E680)/(1+$D680)^5)-Assumptions!$C$37)/Assumptions!$C$40/Assumptions!$C$38</f>
        <v>-0.2169933565</v>
      </c>
    </row>
    <row r="681" ht="12.0" customHeight="1">
      <c r="B681" s="139">
        <v>629.0</v>
      </c>
      <c r="C681" s="140">
        <f t="shared" si="6"/>
        <v>0.6525472226</v>
      </c>
      <c r="D681" s="141">
        <f t="shared" si="7"/>
        <v>0.1010385886</v>
      </c>
      <c r="E681" s="141">
        <f t="shared" si="8"/>
        <v>0.01287801779</v>
      </c>
      <c r="F681" s="140">
        <f t="shared" si="9"/>
        <v>0.149647894</v>
      </c>
      <c r="G681" s="141">
        <f t="shared" si="10"/>
        <v>0.04641237975</v>
      </c>
      <c r="H681" s="142">
        <f t="shared" si="11"/>
        <v>1</v>
      </c>
      <c r="I681" s="142">
        <f t="shared" si="12"/>
        <v>0</v>
      </c>
      <c r="J681" s="142">
        <f t="shared" si="13"/>
        <v>0</v>
      </c>
      <c r="K681" s="142">
        <f t="shared" si="14"/>
        <v>0</v>
      </c>
      <c r="L681" s="139">
        <f>Assumptions!$C$6*Assumptions!$C$7*(1+$G681-0.05*(1-1))^1+Assumptions!$C$6*Assumptions!$C$8*(1+Assumptions!$C$11)^1+Assumptions!$C$16*1+Assumptions!$C$6*Assumptions!$C$9*(1+Assumptions!$C$12)^1</f>
        <v>742.090407</v>
      </c>
      <c r="M681" s="139">
        <f>Assumptions!$C$6*Assumptions!$C$7*(1+$G681-0.05*(1-$H681))^2+Assumptions!$C$6*Assumptions!$C$8*(1+Assumptions!$C$11)^2+Assumptions!$C$16*$H681+Assumptions!$C$6*Assumptions!$C$9*(1+Assumptions!$C$12)^2</f>
        <v>765.0352471</v>
      </c>
      <c r="N681" s="139">
        <f>Assumptions!$C$6*Assumptions!$C$7*(1+$G681-0.05*(1-$I681))^3+Assumptions!$C$6*Assumptions!$C$8*(1+Assumptions!$C$11)^3+Assumptions!$C$16*$I681+Assumptions!$C$6*Assumptions!$C$9*(1+Assumptions!$C$12)^3</f>
        <v>676.1848699</v>
      </c>
      <c r="O681" s="139">
        <f>Assumptions!$C$6*Assumptions!$C$7*(1+$G681-0.05*(1-$J681))^4+Assumptions!$C$6*Assumptions!$C$8*(1+Assumptions!$C$11)^4+Assumptions!$C$16*$J681+Assumptions!$C$6*Assumptions!$C$9*(1+Assumptions!$C$12)^4</f>
        <v>681.8541208</v>
      </c>
      <c r="P681" s="139">
        <f>Assumptions!$C$6*Assumptions!$C$7*(1+$G681-0.05*(1-$K681))^5+Assumptions!$C$6*Assumptions!$C$8*(1+Assumptions!$C$11)^5+Assumptions!$C$16*$K681+Assumptions!$C$6*Assumptions!$C$9*(1+Assumptions!$C$12)^5</f>
        <v>687.6649356</v>
      </c>
      <c r="Q681" s="139">
        <f>($L681*(1-(Assumptions!$C$25+0.06*(1-1))-Assumptions!$C$27)-Assumptions!$C$28)-MAX(0,($L681*(1-(Assumptions!$C$25+0.06*(1-1))-Assumptions!$C$27)-Assumptions!$C$28)*Assumptions!$C$31)+Assumptions!$C$28-Assumptions!$C$29-$L681*Assumptions!$C$30</f>
        <v>92.04943751</v>
      </c>
      <c r="R681" s="139">
        <f>($M681*(1-(Assumptions!$C$25+0.06*(1-$H681))-Assumptions!$C$27)-Assumptions!$C$28)-MAX(0,($M681*(1-(Assumptions!$C$25+0.06*(1-$H681))-Assumptions!$C$27)-Assumptions!$C$28)*Assumptions!$C$31)+Assumptions!$C$28-Assumptions!$C$29-$M681*Assumptions!$C$30</f>
        <v>96.98257813</v>
      </c>
      <c r="S681" s="139">
        <f>($N681*(1-(Assumptions!$C$25+0.06*(1-$I681))-Assumptions!$C$27)-Assumptions!$C$28)-MAX(0,($N681*(1-(Assumptions!$C$25+0.06*(1-$I681))-Assumptions!$C$27)-Assumptions!$C$28)*Assumptions!$C$31)+Assumptions!$C$28-Assumptions!$C$29-$N681*Assumptions!$C$30</f>
        <v>35.52252007</v>
      </c>
      <c r="T681" s="139">
        <f>($O681*(1-(Assumptions!$C$25+0.06*(1-$J681))-Assumptions!$C$27)-Assumptions!$C$28)-MAX(0,($O681*(1-(Assumptions!$C$25+0.06*(1-$J681))-Assumptions!$C$27)-Assumptions!$C$28)*Assumptions!$C$31)+Assumptions!$C$28-Assumptions!$C$29-$O681*Assumptions!$C$30</f>
        <v>36.82644779</v>
      </c>
      <c r="U681" s="139">
        <f>($P681*(1-(Assumptions!$C$25+0.06*(1-$K681))-Assumptions!$C$27)-Assumptions!$C$28)-MAX(0,($P681*(1-(Assumptions!$C$25+0.06*(1-$K681))-Assumptions!$C$27)-Assumptions!$C$28)*Assumptions!$C$31)+Assumptions!$C$28-Assumptions!$C$29-$P681*Assumptions!$C$30</f>
        <v>38.16293518</v>
      </c>
      <c r="V681" s="143">
        <f>(($Q681/(1+$D681)^1+$R681/(1+$D681)^2+$S681/(1+$D681)^3+$T681/(1+$D681)^4+$U681/(1+$D681)^5+$U681*(1+$E681)/($D681-$E681)/(1+$D681)^5)-Assumptions!$C$37)/Assumptions!$C$40/Assumptions!$C$38</f>
        <v>-1.419367675</v>
      </c>
    </row>
    <row r="682" ht="12.0" customHeight="1">
      <c r="B682" s="139">
        <v>630.0</v>
      </c>
      <c r="C682" s="140">
        <f t="shared" si="6"/>
        <v>0.19495119</v>
      </c>
      <c r="D682" s="141">
        <f t="shared" si="7"/>
        <v>0.09312948051</v>
      </c>
      <c r="E682" s="141">
        <f t="shared" si="8"/>
        <v>0.01165209087</v>
      </c>
      <c r="F682" s="140">
        <f t="shared" si="9"/>
        <v>0.5154128166</v>
      </c>
      <c r="G682" s="141">
        <f t="shared" si="10"/>
        <v>0.06046600382</v>
      </c>
      <c r="H682" s="142">
        <f t="shared" si="11"/>
        <v>1</v>
      </c>
      <c r="I682" s="142">
        <f t="shared" si="12"/>
        <v>1</v>
      </c>
      <c r="J682" s="142">
        <f t="shared" si="13"/>
        <v>0</v>
      </c>
      <c r="K682" s="142">
        <f t="shared" si="14"/>
        <v>1</v>
      </c>
      <c r="L682" s="139">
        <f>Assumptions!$C$6*Assumptions!$C$7*(1+$G682-0.05*(1-1))^1+Assumptions!$C$6*Assumptions!$C$8*(1+Assumptions!$C$11)^1+Assumptions!$C$16*1+Assumptions!$C$6*Assumptions!$C$9*(1+Assumptions!$C$12)^1</f>
        <v>746.8208569</v>
      </c>
      <c r="M682" s="139">
        <f>Assumptions!$C$6*Assumptions!$C$7*(1+$G682-0.05*(1-$H682))^2+Assumptions!$C$6*Assumptions!$C$8*(1+Assumptions!$C$11)^2+Assumptions!$C$16*$H682+Assumptions!$C$6*Assumptions!$C$9*(1+Assumptions!$C$12)^2</f>
        <v>775.0017297</v>
      </c>
      <c r="N682" s="139">
        <f>Assumptions!$C$6*Assumptions!$C$7*(1+$G682-0.05*(1-$I682))^3+Assumptions!$C$6*Assumptions!$C$8*(1+Assumptions!$C$11)^3+Assumptions!$C$16*$I682+Assumptions!$C$6*Assumptions!$C$9*(1+Assumptions!$C$12)^3</f>
        <v>804.6196185</v>
      </c>
      <c r="O682" s="139">
        <f>Assumptions!$C$6*Assumptions!$C$7*(1+$G682-0.05*(1-$J682))^4+Assumptions!$C$6*Assumptions!$C$8*(1+Assumptions!$C$11)^4+Assumptions!$C$16*$J682+Assumptions!$C$6*Assumptions!$C$9*(1+Assumptions!$C$12)^4</f>
        <v>700.9727571</v>
      </c>
      <c r="P682" s="139">
        <f>Assumptions!$C$6*Assumptions!$C$7*(1+$G682-0.05*(1-$K682))^5+Assumptions!$C$6*Assumptions!$C$8*(1+Assumptions!$C$11)^5+Assumptions!$C$16*$K682+Assumptions!$C$6*Assumptions!$C$9*(1+Assumptions!$C$12)^5</f>
        <v>868.4974732</v>
      </c>
      <c r="Q682" s="139">
        <f>($L682*(1-(Assumptions!$C$25+0.06*(1-1))-Assumptions!$C$27)-Assumptions!$C$28)-MAX(0,($L682*(1-(Assumptions!$C$25+0.06*(1-1))-Assumptions!$C$27)-Assumptions!$C$28)*Assumptions!$C$31)+Assumptions!$C$28-Assumptions!$C$29-$L682*Assumptions!$C$30</f>
        <v>93.06648423</v>
      </c>
      <c r="R682" s="139">
        <f>($M682*(1-(Assumptions!$C$25+0.06*(1-$H682))-Assumptions!$C$27)-Assumptions!$C$28)-MAX(0,($M682*(1-(Assumptions!$C$25+0.06*(1-$H682))-Assumptions!$C$27)-Assumptions!$C$28)*Assumptions!$C$31)+Assumptions!$C$28-Assumptions!$C$29-$M682*Assumptions!$C$30</f>
        <v>99.12537188</v>
      </c>
      <c r="S682" s="139">
        <f>($N682*(1-(Assumptions!$C$25+0.06*(1-$I682))-Assumptions!$C$27)-Assumptions!$C$28)-MAX(0,($N682*(1-(Assumptions!$C$25+0.06*(1-$I682))-Assumptions!$C$27)-Assumptions!$C$28)*Assumptions!$C$31)+Assumptions!$C$28-Assumptions!$C$29-$N682*Assumptions!$C$30</f>
        <v>105.493218</v>
      </c>
      <c r="T682" s="139">
        <f>($O682*(1-(Assumptions!$C$25+0.06*(1-$J682))-Assumptions!$C$27)-Assumptions!$C$28)-MAX(0,($O682*(1-(Assumptions!$C$25+0.06*(1-$J682))-Assumptions!$C$27)-Assumptions!$C$28)*Assumptions!$C$31)+Assumptions!$C$28-Assumptions!$C$29-$O682*Assumptions!$C$30</f>
        <v>41.22373413</v>
      </c>
      <c r="U682" s="139">
        <f>($P682*(1-(Assumptions!$C$25+0.06*(1-$K682))-Assumptions!$C$27)-Assumptions!$C$28)-MAX(0,($P682*(1-(Assumptions!$C$25+0.06*(1-$K682))-Assumptions!$C$27)-Assumptions!$C$28)*Assumptions!$C$31)+Assumptions!$C$28-Assumptions!$C$29-$P682*Assumptions!$C$30</f>
        <v>119.2269567</v>
      </c>
      <c r="V682" s="143">
        <f>(($Q682/(1+$D682)^1+$R682/(1+$D682)^2+$S682/(1+$D682)^3+$T682/(1+$D682)^4+$U682/(1+$D682)^5+$U682*(1+$E682)/($D682-$E682)/(1+$D682)^5)-Assumptions!$C$37)/Assumptions!$C$40/Assumptions!$C$38</f>
        <v>4.767081093</v>
      </c>
    </row>
    <row r="683" ht="12.0" customHeight="1">
      <c r="B683" s="139">
        <v>631.0</v>
      </c>
      <c r="C683" s="140">
        <f t="shared" si="6"/>
        <v>0.229964682</v>
      </c>
      <c r="D683" s="141">
        <f t="shared" si="7"/>
        <v>0.09382938431</v>
      </c>
      <c r="E683" s="141">
        <f t="shared" si="8"/>
        <v>0.0152098371</v>
      </c>
      <c r="F683" s="140">
        <f t="shared" si="9"/>
        <v>0.9134062408</v>
      </c>
      <c r="G683" s="141">
        <f t="shared" si="10"/>
        <v>0.07751525865</v>
      </c>
      <c r="H683" s="142">
        <f t="shared" si="11"/>
        <v>0</v>
      </c>
      <c r="I683" s="142">
        <f t="shared" si="12"/>
        <v>0</v>
      </c>
      <c r="J683" s="142">
        <f t="shared" si="13"/>
        <v>1</v>
      </c>
      <c r="K683" s="142">
        <f t="shared" si="14"/>
        <v>1</v>
      </c>
      <c r="L683" s="139">
        <f>Assumptions!$C$6*Assumptions!$C$7*(1+$G683-0.05*(1-1))^1+Assumptions!$C$6*Assumptions!$C$8*(1+Assumptions!$C$11)^1+Assumptions!$C$16*1+Assumptions!$C$6*Assumptions!$C$9*(1+Assumptions!$C$12)^1</f>
        <v>752.5596361</v>
      </c>
      <c r="M683" s="139">
        <f>Assumptions!$C$6*Assumptions!$C$7*(1+$G683-0.05*(1-$H683))^2+Assumptions!$C$6*Assumptions!$C$8*(1+Assumptions!$C$11)^2+Assumptions!$C$16*$H683+Assumptions!$C$6*Assumptions!$C$9*(1+Assumptions!$C$12)^2</f>
        <v>691.8434684</v>
      </c>
      <c r="N683" s="139">
        <f>Assumptions!$C$6*Assumptions!$C$7*(1+$G683-0.05*(1-$I683))^3+Assumptions!$C$6*Assumptions!$C$8*(1+Assumptions!$C$11)^3+Assumptions!$C$16*$I683+Assumptions!$C$6*Assumptions!$C$9*(1+Assumptions!$C$12)^3</f>
        <v>708.3510962</v>
      </c>
      <c r="O683" s="139">
        <f>Assumptions!$C$6*Assumptions!$C$7*(1+$G683-0.05*(1-$J683))^4+Assumptions!$C$6*Assumptions!$C$8*(1+Assumptions!$C$11)^4+Assumptions!$C$16*$J683+Assumptions!$C$6*Assumptions!$C$9*(1+Assumptions!$C$12)^4</f>
        <v>863.7993551</v>
      </c>
      <c r="P683" s="139">
        <f>Assumptions!$C$6*Assumptions!$C$7*(1+$G683-0.05*(1-$K683))^5+Assumptions!$C$6*Assumptions!$C$8*(1+Assumptions!$C$11)^5+Assumptions!$C$16*$K683+Assumptions!$C$6*Assumptions!$C$9*(1+Assumptions!$C$12)^5</f>
        <v>905.9723614</v>
      </c>
      <c r="Q683" s="139">
        <f>($L683*(1-(Assumptions!$C$25+0.06*(1-1))-Assumptions!$C$27)-Assumptions!$C$28)-MAX(0,($L683*(1-(Assumptions!$C$25+0.06*(1-1))-Assumptions!$C$27)-Assumptions!$C$28)*Assumptions!$C$31)+Assumptions!$C$28-Assumptions!$C$29-$L683*Assumptions!$C$30</f>
        <v>94.30032175</v>
      </c>
      <c r="R683" s="139">
        <f>($M683*(1-(Assumptions!$C$25+0.06*(1-$H683))-Assumptions!$C$27)-Assumptions!$C$28)-MAX(0,($M683*(1-(Assumptions!$C$25+0.06*(1-$H683))-Assumptions!$C$27)-Assumptions!$C$28)*Assumptions!$C$31)+Assumptions!$C$28-Assumptions!$C$29-$M683*Assumptions!$C$30</f>
        <v>39.12399774</v>
      </c>
      <c r="S683" s="139">
        <f>($N683*(1-(Assumptions!$C$25+0.06*(1-$I683))-Assumptions!$C$27)-Assumptions!$C$28)-MAX(0,($N683*(1-(Assumptions!$C$25+0.06*(1-$I683))-Assumptions!$C$27)-Assumptions!$C$28)*Assumptions!$C$31)+Assumptions!$C$28-Assumptions!$C$29-$N683*Assumptions!$C$30</f>
        <v>42.92075213</v>
      </c>
      <c r="T683" s="139">
        <f>($O683*(1-(Assumptions!$C$25+0.06*(1-$J683))-Assumptions!$C$27)-Assumptions!$C$28)-MAX(0,($O683*(1-(Assumptions!$C$25+0.06*(1-$J683))-Assumptions!$C$27)-Assumptions!$C$28)*Assumptions!$C$31)+Assumptions!$C$28-Assumptions!$C$29-$O683*Assumptions!$C$30</f>
        <v>118.2168614</v>
      </c>
      <c r="U683" s="139">
        <f>($P683*(1-(Assumptions!$C$25+0.06*(1-$K683))-Assumptions!$C$27)-Assumptions!$C$28)-MAX(0,($P683*(1-(Assumptions!$C$25+0.06*(1-$K683))-Assumptions!$C$27)-Assumptions!$C$28)*Assumptions!$C$31)+Assumptions!$C$28-Assumptions!$C$29-$P683*Assumptions!$C$30</f>
        <v>127.2840577</v>
      </c>
      <c r="V683" s="143">
        <f>(($Q683/(1+$D683)^1+$R683/(1+$D683)^2+$S683/(1+$D683)^3+$T683/(1+$D683)^4+$U683/(1+$D683)^5+$U683*(1+$E683)/($D683-$E683)/(1+$D683)^5)-Assumptions!$C$37)/Assumptions!$C$40/Assumptions!$C$38</f>
        <v>5.256300903</v>
      </c>
    </row>
    <row r="684" ht="12.0" customHeight="1">
      <c r="B684" s="139">
        <v>632.0</v>
      </c>
      <c r="C684" s="140">
        <f t="shared" si="6"/>
        <v>0.9843425887</v>
      </c>
      <c r="D684" s="141">
        <f t="shared" si="7"/>
        <v>0.1120362511</v>
      </c>
      <c r="E684" s="141">
        <f t="shared" si="8"/>
        <v>0.01090621501</v>
      </c>
      <c r="F684" s="140">
        <f t="shared" si="9"/>
        <v>0.6440409408</v>
      </c>
      <c r="G684" s="141">
        <f t="shared" si="10"/>
        <v>0.0646874279</v>
      </c>
      <c r="H684" s="142">
        <f t="shared" si="11"/>
        <v>1</v>
      </c>
      <c r="I684" s="142">
        <f t="shared" si="12"/>
        <v>1</v>
      </c>
      <c r="J684" s="142">
        <f t="shared" si="13"/>
        <v>1</v>
      </c>
      <c r="K684" s="142">
        <f t="shared" si="14"/>
        <v>0</v>
      </c>
      <c r="L684" s="139">
        <f>Assumptions!$C$6*Assumptions!$C$7*(1+$G684-0.05*(1-1))^1+Assumptions!$C$6*Assumptions!$C$8*(1+Assumptions!$C$11)^1+Assumptions!$C$16*1+Assumptions!$C$6*Assumptions!$C$9*(1+Assumptions!$C$12)^1</f>
        <v>748.2417882</v>
      </c>
      <c r="M684" s="139">
        <f>Assumptions!$C$6*Assumptions!$C$7*(1+$G684-0.05*(1-$H684))^2+Assumptions!$C$6*Assumptions!$C$8*(1+Assumptions!$C$11)^2+Assumptions!$C$16*$H684+Assumptions!$C$6*Assumptions!$C$9*(1+Assumptions!$C$12)^2</f>
        <v>778.0214268</v>
      </c>
      <c r="N684" s="139">
        <f>Assumptions!$C$6*Assumptions!$C$7*(1+$G684-0.05*(1-$I684))^3+Assumptions!$C$6*Assumptions!$C$8*(1+Assumptions!$C$11)^3+Assumptions!$C$16*$I684+Assumptions!$C$6*Assumptions!$C$9*(1+Assumptions!$C$12)^3</f>
        <v>809.4326146</v>
      </c>
      <c r="O684" s="139">
        <f>Assumptions!$C$6*Assumptions!$C$7*(1+$G684-0.05*(1-$J684))^4+Assumptions!$C$6*Assumptions!$C$8*(1+Assumptions!$C$11)^4+Assumptions!$C$16*$J684+Assumptions!$C$6*Assumptions!$C$9*(1+Assumptions!$C$12)^4</f>
        <v>842.5749958</v>
      </c>
      <c r="P684" s="139">
        <f>Assumptions!$C$6*Assumptions!$C$7*(1+$G684-0.05*(1-$K684))^5+Assumptions!$C$6*Assumptions!$C$8*(1+Assumptions!$C$11)^5+Assumptions!$C$16*$K684+Assumptions!$C$6*Assumptions!$C$9*(1+Assumptions!$C$12)^5</f>
        <v>719.1155316</v>
      </c>
      <c r="Q684" s="139">
        <f>($L684*(1-(Assumptions!$C$25+0.06*(1-1))-Assumptions!$C$27)-Assumptions!$C$28)-MAX(0,($L684*(1-(Assumptions!$C$25+0.06*(1-1))-Assumptions!$C$27)-Assumptions!$C$28)*Assumptions!$C$31)+Assumptions!$C$28-Assumptions!$C$29-$L684*Assumptions!$C$30</f>
        <v>93.37198447</v>
      </c>
      <c r="R684" s="139">
        <f>($M684*(1-(Assumptions!$C$25+0.06*(1-$H684))-Assumptions!$C$27)-Assumptions!$C$28)-MAX(0,($M684*(1-(Assumptions!$C$25+0.06*(1-$H684))-Assumptions!$C$27)-Assumptions!$C$28)*Assumptions!$C$31)+Assumptions!$C$28-Assumptions!$C$29-$M684*Assumptions!$C$30</f>
        <v>99.77460677</v>
      </c>
      <c r="S684" s="139">
        <f>($N684*(1-(Assumptions!$C$25+0.06*(1-$I684))-Assumptions!$C$27)-Assumptions!$C$28)-MAX(0,($N684*(1-(Assumptions!$C$25+0.06*(1-$I684))-Assumptions!$C$27)-Assumptions!$C$28)*Assumptions!$C$31)+Assumptions!$C$28-Assumptions!$C$29-$N684*Assumptions!$C$30</f>
        <v>106.5280121</v>
      </c>
      <c r="T684" s="139">
        <f>($O684*(1-(Assumptions!$C$25+0.06*(1-$J684))-Assumptions!$C$27)-Assumptions!$C$28)-MAX(0,($O684*(1-(Assumptions!$C$25+0.06*(1-$J684))-Assumptions!$C$27)-Assumptions!$C$28)*Assumptions!$C$31)+Assumptions!$C$28-Assumptions!$C$29-$O684*Assumptions!$C$30</f>
        <v>113.6536241</v>
      </c>
      <c r="U684" s="139">
        <f>($P684*(1-(Assumptions!$C$25+0.06*(1-$K684))-Assumptions!$C$27)-Assumptions!$C$28)-MAX(0,($P684*(1-(Assumptions!$C$25+0.06*(1-$K684))-Assumptions!$C$27)-Assumptions!$C$28)*Assumptions!$C$31)+Assumptions!$C$28-Assumptions!$C$29-$P684*Assumptions!$C$30</f>
        <v>45.39657226</v>
      </c>
      <c r="V684" s="143">
        <f>(($Q684/(1+$D684)^1+$R684/(1+$D684)^2+$S684/(1+$D684)^3+$T684/(1+$D684)^4+$U684/(1+$D684)^5+$U684*(1+$E684)/($D684-$E684)/(1+$D684)^5)-Assumptions!$C$37)/Assumptions!$C$40/Assumptions!$C$38</f>
        <v>-0.6377918823</v>
      </c>
    </row>
    <row r="685" ht="12.0" customHeight="1">
      <c r="B685" s="139">
        <v>633.0</v>
      </c>
      <c r="C685" s="140">
        <f t="shared" si="6"/>
        <v>0.484278938</v>
      </c>
      <c r="D685" s="141">
        <f t="shared" si="7"/>
        <v>0.09799060507</v>
      </c>
      <c r="E685" s="141">
        <f t="shared" si="8"/>
        <v>0.02709927515</v>
      </c>
      <c r="F685" s="140">
        <f t="shared" si="9"/>
        <v>0.4119782543</v>
      </c>
      <c r="G685" s="141">
        <f t="shared" si="10"/>
        <v>0.05723161504</v>
      </c>
      <c r="H685" s="142">
        <f t="shared" si="11"/>
        <v>1</v>
      </c>
      <c r="I685" s="142">
        <f t="shared" si="12"/>
        <v>1</v>
      </c>
      <c r="J685" s="142">
        <f t="shared" si="13"/>
        <v>1</v>
      </c>
      <c r="K685" s="142">
        <f t="shared" si="14"/>
        <v>0</v>
      </c>
      <c r="L685" s="139">
        <f>Assumptions!$C$6*Assumptions!$C$7*(1+$G685-0.05*(1-1))^1+Assumptions!$C$6*Assumptions!$C$8*(1+Assumptions!$C$11)^1+Assumptions!$C$16*1+Assumptions!$C$6*Assumptions!$C$9*(1+Assumptions!$C$12)^1</f>
        <v>745.7321616</v>
      </c>
      <c r="M685" s="139">
        <f>Assumptions!$C$6*Assumptions!$C$7*(1+$G685-0.05*(1-$H685))^2+Assumptions!$C$6*Assumptions!$C$8*(1+Assumptions!$C$11)^2+Assumptions!$C$16*$H685+Assumptions!$C$6*Assumptions!$C$9*(1+Assumptions!$C$12)^2</f>
        <v>772.6962023</v>
      </c>
      <c r="N685" s="139">
        <f>Assumptions!$C$6*Assumptions!$C$7*(1+$G685-0.05*(1-$I685))^3+Assumptions!$C$6*Assumptions!$C$8*(1+Assumptions!$C$11)^3+Assumptions!$C$16*$I685+Assumptions!$C$6*Assumptions!$C$9*(1+Assumptions!$C$12)^3</f>
        <v>800.9578083</v>
      </c>
      <c r="O685" s="139">
        <f>Assumptions!$C$6*Assumptions!$C$7*(1+$G685-0.05*(1-$J685))^4+Assumptions!$C$6*Assumptions!$C$8*(1+Assumptions!$C$11)^4+Assumptions!$C$16*$J685+Assumptions!$C$6*Assumptions!$C$9*(1+Assumptions!$C$12)^4</f>
        <v>830.5863286</v>
      </c>
      <c r="P685" s="139">
        <f>Assumptions!$C$6*Assumptions!$C$7*(1+$G685-0.05*(1-$K685))^5+Assumptions!$C$6*Assumptions!$C$8*(1+Assumptions!$C$11)^5+Assumptions!$C$16*$K685+Assumptions!$C$6*Assumptions!$C$9*(1+Assumptions!$C$12)^5</f>
        <v>706.0078466</v>
      </c>
      <c r="Q685" s="139">
        <f>($L685*(1-(Assumptions!$C$25+0.06*(1-1))-Assumptions!$C$27)-Assumptions!$C$28)-MAX(0,($L685*(1-(Assumptions!$C$25+0.06*(1-1))-Assumptions!$C$27)-Assumptions!$C$28)*Assumptions!$C$31)+Assumptions!$C$28-Assumptions!$C$29-$L685*Assumptions!$C$30</f>
        <v>92.83241475</v>
      </c>
      <c r="R685" s="139">
        <f>($M685*(1-(Assumptions!$C$25+0.06*(1-$H685))-Assumptions!$C$27)-Assumptions!$C$28)-MAX(0,($M685*(1-(Assumptions!$C$25+0.06*(1-$H685))-Assumptions!$C$27)-Assumptions!$C$28)*Assumptions!$C$31)+Assumptions!$C$28-Assumptions!$C$29-$M685*Assumptions!$C$30</f>
        <v>98.6296835</v>
      </c>
      <c r="S685" s="139">
        <f>($N685*(1-(Assumptions!$C$25+0.06*(1-$I685))-Assumptions!$C$27)-Assumptions!$C$28)-MAX(0,($N685*(1-(Assumptions!$C$25+0.06*(1-$I685))-Assumptions!$C$27)-Assumptions!$C$28)*Assumptions!$C$31)+Assumptions!$C$28-Assumptions!$C$29-$N685*Assumptions!$C$30</f>
        <v>104.7059288</v>
      </c>
      <c r="T685" s="139">
        <f>($O685*(1-(Assumptions!$C$25+0.06*(1-$J685))-Assumptions!$C$27)-Assumptions!$C$28)-MAX(0,($O685*(1-(Assumptions!$C$25+0.06*(1-$J685))-Assumptions!$C$27)-Assumptions!$C$28)*Assumptions!$C$31)+Assumptions!$C$28-Assumptions!$C$29-$O685*Assumptions!$C$30</f>
        <v>111.0760606</v>
      </c>
      <c r="U685" s="139">
        <f>($P685*(1-(Assumptions!$C$25+0.06*(1-$K685))-Assumptions!$C$27)-Assumptions!$C$28)-MAX(0,($P685*(1-(Assumptions!$C$25+0.06*(1-$K685))-Assumptions!$C$27)-Assumptions!$C$28)*Assumptions!$C$31)+Assumptions!$C$28-Assumptions!$C$29-$P685*Assumptions!$C$30</f>
        <v>42.38180473</v>
      </c>
      <c r="V685" s="143">
        <f>(($Q685/(1+$D685)^1+$R685/(1+$D685)^2+$S685/(1+$D685)^3+$T685/(1+$D685)^4+$U685/(1+$D685)^5+$U685*(1+$E685)/($D685-$E685)/(1+$D685)^5)-Assumptions!$C$37)/Assumptions!$C$40/Assumptions!$C$38</f>
        <v>0.3239644316</v>
      </c>
    </row>
    <row r="686" ht="12.0" customHeight="1">
      <c r="B686" s="139">
        <v>634.0</v>
      </c>
      <c r="C686" s="140">
        <f t="shared" si="6"/>
        <v>0.2524415959</v>
      </c>
      <c r="D686" s="141">
        <f t="shared" si="7"/>
        <v>0.09425082164</v>
      </c>
      <c r="E686" s="141">
        <f t="shared" si="8"/>
        <v>0.02160297057</v>
      </c>
      <c r="F686" s="140">
        <f t="shared" si="9"/>
        <v>0.2188975171</v>
      </c>
      <c r="G686" s="141">
        <f t="shared" si="10"/>
        <v>0.04984982445</v>
      </c>
      <c r="H686" s="142">
        <f t="shared" si="11"/>
        <v>1</v>
      </c>
      <c r="I686" s="142">
        <f t="shared" si="12"/>
        <v>1</v>
      </c>
      <c r="J686" s="142">
        <f t="shared" si="13"/>
        <v>0</v>
      </c>
      <c r="K686" s="142">
        <f t="shared" si="14"/>
        <v>1</v>
      </c>
      <c r="L686" s="139">
        <f>Assumptions!$C$6*Assumptions!$C$7*(1+$G686-0.05*(1-1))^1+Assumptions!$C$6*Assumptions!$C$8*(1+Assumptions!$C$11)^1+Assumptions!$C$16*1+Assumptions!$C$6*Assumptions!$C$9*(1+Assumptions!$C$12)^1</f>
        <v>743.2474509</v>
      </c>
      <c r="M686" s="139">
        <f>Assumptions!$C$6*Assumptions!$C$7*(1+$G686-0.05*(1-$H686))^2+Assumptions!$C$6*Assumptions!$C$8*(1+Assumptions!$C$11)^2+Assumptions!$C$16*$H686+Assumptions!$C$6*Assumptions!$C$9*(1+Assumptions!$C$12)^2</f>
        <v>767.4607145</v>
      </c>
      <c r="N686" s="139">
        <f>Assumptions!$C$6*Assumptions!$C$7*(1+$G686-0.05*(1-$I686))^3+Assumptions!$C$6*Assumptions!$C$8*(1+Assumptions!$C$11)^3+Assumptions!$C$16*$I686+Assumptions!$C$6*Assumptions!$C$9*(1+Assumptions!$C$12)^3</f>
        <v>792.684075</v>
      </c>
      <c r="O686" s="139">
        <f>Assumptions!$C$6*Assumptions!$C$7*(1+$G686-0.05*(1-$J686))^4+Assumptions!$C$6*Assumptions!$C$8*(1+Assumptions!$C$11)^4+Assumptions!$C$16*$J686+Assumptions!$C$6*Assumptions!$C$9*(1+Assumptions!$C$12)^4</f>
        <v>686.4564097</v>
      </c>
      <c r="P686" s="139">
        <f>Assumptions!$C$6*Assumptions!$C$7*(1+$G686-0.05*(1-$K686))^5+Assumptions!$C$6*Assumptions!$C$8*(1+Assumptions!$C$11)^5+Assumptions!$C$16*$K686+Assumptions!$C$6*Assumptions!$C$9*(1+Assumptions!$C$12)^5</f>
        <v>846.3489799</v>
      </c>
      <c r="Q686" s="139">
        <f>($L686*(1-(Assumptions!$C$25+0.06*(1-1))-Assumptions!$C$27)-Assumptions!$C$28)-MAX(0,($L686*(1-(Assumptions!$C$25+0.06*(1-1))-Assumptions!$C$27)-Assumptions!$C$28)*Assumptions!$C$31)+Assumptions!$C$28-Assumptions!$C$29-$L686*Assumptions!$C$30</f>
        <v>92.29820195</v>
      </c>
      <c r="R686" s="139">
        <f>($M686*(1-(Assumptions!$C$25+0.06*(1-$H686))-Assumptions!$C$27)-Assumptions!$C$28)-MAX(0,($M686*(1-(Assumptions!$C$25+0.06*(1-$H686))-Assumptions!$C$27)-Assumptions!$C$28)*Assumptions!$C$31)+Assumptions!$C$28-Assumptions!$C$29-$M686*Assumptions!$C$30</f>
        <v>97.50405362</v>
      </c>
      <c r="S686" s="139">
        <f>($N686*(1-(Assumptions!$C$25+0.06*(1-$I686))-Assumptions!$C$27)-Assumptions!$C$28)-MAX(0,($N686*(1-(Assumptions!$C$25+0.06*(1-$I686))-Assumptions!$C$27)-Assumptions!$C$28)*Assumptions!$C$31)+Assumptions!$C$28-Assumptions!$C$29-$N686*Assumptions!$C$30</f>
        <v>102.9270761</v>
      </c>
      <c r="T686" s="139">
        <f>($O686*(1-(Assumptions!$C$25+0.06*(1-$J686))-Assumptions!$C$27)-Assumptions!$C$28)-MAX(0,($O686*(1-(Assumptions!$C$25+0.06*(1-$J686))-Assumptions!$C$27)-Assumptions!$C$28)*Assumptions!$C$31)+Assumptions!$C$28-Assumptions!$C$29-$O686*Assumptions!$C$30</f>
        <v>37.88497424</v>
      </c>
      <c r="U686" s="139">
        <f>($P686*(1-(Assumptions!$C$25+0.06*(1-$K686))-Assumptions!$C$27)-Assumptions!$C$28)-MAX(0,($P686*(1-(Assumptions!$C$25+0.06*(1-$K686))-Assumptions!$C$27)-Assumptions!$C$28)*Assumptions!$C$31)+Assumptions!$C$28-Assumptions!$C$29-$P686*Assumptions!$C$30</f>
        <v>114.4650307</v>
      </c>
      <c r="V686" s="143">
        <f>(($Q686/(1+$D686)^1+$R686/(1+$D686)^2+$S686/(1+$D686)^3+$T686/(1+$D686)^4+$U686/(1+$D686)^5+$U686*(1+$E686)/($D686-$E686)/(1+$D686)^5)-Assumptions!$C$37)/Assumptions!$C$40/Assumptions!$C$38</f>
        <v>5.291249934</v>
      </c>
    </row>
    <row r="687" ht="12.0" customHeight="1">
      <c r="B687" s="139">
        <v>635.0</v>
      </c>
      <c r="C687" s="140">
        <f t="shared" si="6"/>
        <v>0.9015273813</v>
      </c>
      <c r="D687" s="141">
        <f t="shared" si="7"/>
        <v>0.1075674272</v>
      </c>
      <c r="E687" s="141">
        <f t="shared" si="8"/>
        <v>0.02859383157</v>
      </c>
      <c r="F687" s="140">
        <f t="shared" si="9"/>
        <v>0.3635788639</v>
      </c>
      <c r="G687" s="141">
        <f t="shared" si="10"/>
        <v>0.05558206315</v>
      </c>
      <c r="H687" s="142">
        <f t="shared" si="11"/>
        <v>1</v>
      </c>
      <c r="I687" s="142">
        <f t="shared" si="12"/>
        <v>1</v>
      </c>
      <c r="J687" s="142">
        <f t="shared" si="13"/>
        <v>0</v>
      </c>
      <c r="K687" s="142">
        <f t="shared" si="14"/>
        <v>1</v>
      </c>
      <c r="L687" s="139">
        <f>Assumptions!$C$6*Assumptions!$C$7*(1+$G687-0.05*(1-1))^1+Assumptions!$C$6*Assumptions!$C$8*(1+Assumptions!$C$11)^1+Assumptions!$C$16*1+Assumptions!$C$6*Assumptions!$C$9*(1+Assumptions!$C$12)^1</f>
        <v>745.1769225</v>
      </c>
      <c r="M687" s="139">
        <f>Assumptions!$C$6*Assumptions!$C$7*(1+$G687-0.05*(1-$H687))^2+Assumptions!$C$6*Assumptions!$C$8*(1+Assumptions!$C$11)^2+Assumptions!$C$16*$H687+Assumptions!$C$6*Assumptions!$C$9*(1+Assumptions!$C$12)^2</f>
        <v>771.5230854</v>
      </c>
      <c r="N687" s="139">
        <f>Assumptions!$C$6*Assumptions!$C$7*(1+$G687-0.05*(1-$I687))^3+Assumptions!$C$6*Assumptions!$C$8*(1+Assumptions!$C$11)^3+Assumptions!$C$16*$I687+Assumptions!$C$6*Assumptions!$C$9*(1+Assumptions!$C$12)^3</f>
        <v>799.0988748</v>
      </c>
      <c r="O687" s="139">
        <f>Assumptions!$C$6*Assumptions!$C$7*(1+$G687-0.05*(1-$J687))^4+Assumptions!$C$6*Assumptions!$C$8*(1+Assumptions!$C$11)^4+Assumptions!$C$16*$J687+Assumptions!$C$6*Assumptions!$C$9*(1+Assumptions!$C$12)^4</f>
        <v>694.2374145</v>
      </c>
      <c r="P687" s="139">
        <f>Assumptions!$C$6*Assumptions!$C$7*(1+$G687-0.05*(1-$K687))^5+Assumptions!$C$6*Assumptions!$C$8*(1+Assumptions!$C$11)^5+Assumptions!$C$16*$K687+Assumptions!$C$6*Assumptions!$C$9*(1+Assumptions!$C$12)^5</f>
        <v>858.1973776</v>
      </c>
      <c r="Q687" s="139">
        <f>($L687*(1-(Assumptions!$C$25+0.06*(1-1))-Assumptions!$C$27)-Assumptions!$C$28)-MAX(0,($L687*(1-(Assumptions!$C$25+0.06*(1-1))-Assumptions!$C$27)-Assumptions!$C$28)*Assumptions!$C$31)+Assumptions!$C$28-Assumptions!$C$29-$L687*Assumptions!$C$30</f>
        <v>92.71303833</v>
      </c>
      <c r="R687" s="139">
        <f>($M687*(1-(Assumptions!$C$25+0.06*(1-$H687))-Assumptions!$C$27)-Assumptions!$C$28)-MAX(0,($M687*(1-(Assumptions!$C$25+0.06*(1-$H687))-Assumptions!$C$27)-Assumptions!$C$28)*Assumptions!$C$31)+Assumptions!$C$28-Assumptions!$C$29-$M687*Assumptions!$C$30</f>
        <v>98.37746337</v>
      </c>
      <c r="S687" s="139">
        <f>($N687*(1-(Assumptions!$C$25+0.06*(1-$I687))-Assumptions!$C$27)-Assumptions!$C$28)-MAX(0,($N687*(1-(Assumptions!$C$25+0.06*(1-$I687))-Assumptions!$C$27)-Assumptions!$C$28)*Assumptions!$C$31)+Assumptions!$C$28-Assumptions!$C$29-$N687*Assumptions!$C$30</f>
        <v>104.3062581</v>
      </c>
      <c r="T687" s="139">
        <f>($O687*(1-(Assumptions!$C$25+0.06*(1-$J687))-Assumptions!$C$27)-Assumptions!$C$28)-MAX(0,($O687*(1-(Assumptions!$C$25+0.06*(1-$J687))-Assumptions!$C$27)-Assumptions!$C$28)*Assumptions!$C$31)+Assumptions!$C$28-Assumptions!$C$29-$O687*Assumptions!$C$30</f>
        <v>39.67460533</v>
      </c>
      <c r="U687" s="139">
        <f>($P687*(1-(Assumptions!$C$25+0.06*(1-$K687))-Assumptions!$C$27)-Assumptions!$C$28)-MAX(0,($P687*(1-(Assumptions!$C$25+0.06*(1-$K687))-Assumptions!$C$27)-Assumptions!$C$28)*Assumptions!$C$31)+Assumptions!$C$28-Assumptions!$C$29-$P687*Assumptions!$C$30</f>
        <v>117.0124362</v>
      </c>
      <c r="V687" s="143">
        <f>(($Q687/(1+$D687)^1+$R687/(1+$D687)^2+$S687/(1+$D687)^3+$T687/(1+$D687)^4+$U687/(1+$D687)^5+$U687*(1+$E687)/($D687-$E687)/(1+$D687)^5)-Assumptions!$C$37)/Assumptions!$C$40/Assumptions!$C$38</f>
        <v>4.369936135</v>
      </c>
    </row>
    <row r="688" ht="12.0" customHeight="1">
      <c r="B688" s="139">
        <v>636.0</v>
      </c>
      <c r="C688" s="140">
        <f t="shared" si="6"/>
        <v>0.6875718939</v>
      </c>
      <c r="D688" s="141">
        <f t="shared" si="7"/>
        <v>0.1017609605</v>
      </c>
      <c r="E688" s="141">
        <f t="shared" si="8"/>
        <v>0.02407423745</v>
      </c>
      <c r="F688" s="140">
        <f t="shared" si="9"/>
        <v>0.602396375</v>
      </c>
      <c r="G688" s="141">
        <f t="shared" si="10"/>
        <v>0.06324768188</v>
      </c>
      <c r="H688" s="142">
        <f t="shared" si="11"/>
        <v>1</v>
      </c>
      <c r="I688" s="142">
        <f t="shared" si="12"/>
        <v>1</v>
      </c>
      <c r="J688" s="142">
        <f t="shared" si="13"/>
        <v>0</v>
      </c>
      <c r="K688" s="142">
        <f t="shared" si="14"/>
        <v>1</v>
      </c>
      <c r="L688" s="139">
        <f>Assumptions!$C$6*Assumptions!$C$7*(1+$G688-0.05*(1-1))^1+Assumptions!$C$6*Assumptions!$C$8*(1+Assumptions!$C$11)^1+Assumptions!$C$16*1+Assumptions!$C$6*Assumptions!$C$9*(1+Assumptions!$C$12)^1</f>
        <v>747.7571697</v>
      </c>
      <c r="M688" s="139">
        <f>Assumptions!$C$6*Assumptions!$C$7*(1+$G688-0.05*(1-$H688))^2+Assumptions!$C$6*Assumptions!$C$8*(1+Assumptions!$C$11)^2+Assumptions!$C$16*$H688+Assumptions!$C$6*Assumptions!$C$9*(1+Assumptions!$C$12)^2</f>
        <v>776.9901901</v>
      </c>
      <c r="N688" s="139">
        <f>Assumptions!$C$6*Assumptions!$C$7*(1+$G688-0.05*(1-$I688))^3+Assumptions!$C$6*Assumptions!$C$8*(1+Assumptions!$C$11)^3+Assumptions!$C$16*$I688+Assumptions!$C$6*Assumptions!$C$9*(1+Assumptions!$C$12)^3</f>
        <v>807.7868107</v>
      </c>
      <c r="O688" s="139">
        <f>Assumptions!$C$6*Assumptions!$C$7*(1+$G688-0.05*(1-$J688))^4+Assumptions!$C$6*Assumptions!$C$8*(1+Assumptions!$C$11)^4+Assumptions!$C$16*$J688+Assumptions!$C$6*Assumptions!$C$9*(1+Assumptions!$C$12)^4</f>
        <v>704.8528221</v>
      </c>
      <c r="P688" s="139">
        <f>Assumptions!$C$6*Assumptions!$C$7*(1+$G688-0.05*(1-$K688))^5+Assumptions!$C$6*Assumptions!$C$8*(1+Assumptions!$C$11)^5+Assumptions!$C$16*$K688+Assumptions!$C$6*Assumptions!$C$9*(1+Assumptions!$C$12)^5</f>
        <v>874.4493831</v>
      </c>
      <c r="Q688" s="139">
        <f>($L688*(1-(Assumptions!$C$25+0.06*(1-1))-Assumptions!$C$27)-Assumptions!$C$28)-MAX(0,($L688*(1-(Assumptions!$C$25+0.06*(1-1))-Assumptions!$C$27)-Assumptions!$C$28)*Assumptions!$C$31)+Assumptions!$C$28-Assumptions!$C$29-$L688*Assumptions!$C$30</f>
        <v>93.26779149</v>
      </c>
      <c r="R688" s="139">
        <f>($M688*(1-(Assumptions!$C$25+0.06*(1-$H688))-Assumptions!$C$27)-Assumptions!$C$28)-MAX(0,($M688*(1-(Assumptions!$C$25+0.06*(1-$H688))-Assumptions!$C$27)-Assumptions!$C$28)*Assumptions!$C$31)+Assumptions!$C$28-Assumptions!$C$29-$M688*Assumptions!$C$30</f>
        <v>99.55289087</v>
      </c>
      <c r="S688" s="139">
        <f>($N688*(1-(Assumptions!$C$25+0.06*(1-$I688))-Assumptions!$C$27)-Assumptions!$C$28)-MAX(0,($N688*(1-(Assumptions!$C$25+0.06*(1-$I688))-Assumptions!$C$27)-Assumptions!$C$28)*Assumptions!$C$31)+Assumptions!$C$28-Assumptions!$C$29-$N688*Assumptions!$C$30</f>
        <v>106.1741643</v>
      </c>
      <c r="T688" s="139">
        <f>($O688*(1-(Assumptions!$C$25+0.06*(1-$J688))-Assumptions!$C$27)-Assumptions!$C$28)-MAX(0,($O688*(1-(Assumptions!$C$25+0.06*(1-$J688))-Assumptions!$C$27)-Assumptions!$C$28)*Assumptions!$C$31)+Assumptions!$C$28-Assumptions!$C$29-$O688*Assumptions!$C$30</f>
        <v>42.11614909</v>
      </c>
      <c r="U688" s="139">
        <f>($P688*(1-(Assumptions!$C$25+0.06*(1-$K688))-Assumptions!$C$27)-Assumptions!$C$28)-MAX(0,($P688*(1-(Assumptions!$C$25+0.06*(1-$K688))-Assumptions!$C$27)-Assumptions!$C$28)*Assumptions!$C$31)+Assumptions!$C$28-Assumptions!$C$29-$P688*Assumptions!$C$30</f>
        <v>120.5066174</v>
      </c>
      <c r="V688" s="143">
        <f>(($Q688/(1+$D688)^1+$R688/(1+$D688)^2+$S688/(1+$D688)^3+$T688/(1+$D688)^4+$U688/(1+$D688)^5+$U688*(1+$E688)/($D688-$E688)/(1+$D688)^5)-Assumptions!$C$37)/Assumptions!$C$40/Assumptions!$C$38</f>
        <v>4.960672674</v>
      </c>
    </row>
    <row r="689" ht="12.0" customHeight="1">
      <c r="B689" s="139">
        <v>637.0</v>
      </c>
      <c r="C689" s="140">
        <f t="shared" si="6"/>
        <v>0.4117927564</v>
      </c>
      <c r="D689" s="141">
        <f t="shared" si="7"/>
        <v>0.09683453101</v>
      </c>
      <c r="E689" s="141">
        <f t="shared" si="8"/>
        <v>0.0161102232</v>
      </c>
      <c r="F689" s="140">
        <f t="shared" si="9"/>
        <v>0.3430435566</v>
      </c>
      <c r="G689" s="141">
        <f t="shared" si="10"/>
        <v>0.0548491127</v>
      </c>
      <c r="H689" s="142">
        <f t="shared" si="11"/>
        <v>1</v>
      </c>
      <c r="I689" s="142">
        <f t="shared" si="12"/>
        <v>1</v>
      </c>
      <c r="J689" s="142">
        <f t="shared" si="13"/>
        <v>1</v>
      </c>
      <c r="K689" s="142">
        <f t="shared" si="14"/>
        <v>0</v>
      </c>
      <c r="L689" s="139">
        <f>Assumptions!$C$6*Assumptions!$C$7*(1+$G689-0.05*(1-1))^1+Assumptions!$C$6*Assumptions!$C$8*(1+Assumptions!$C$11)^1+Assumptions!$C$16*1+Assumptions!$C$6*Assumptions!$C$9*(1+Assumptions!$C$12)^1</f>
        <v>744.9302113</v>
      </c>
      <c r="M689" s="139">
        <f>Assumptions!$C$6*Assumptions!$C$7*(1+$G689-0.05*(1-$H689))^2+Assumptions!$C$6*Assumptions!$C$8*(1+Assumptions!$C$11)^2+Assumptions!$C$16*$H689+Assumptions!$C$6*Assumptions!$C$9*(1+Assumptions!$C$12)^2</f>
        <v>771.0024186</v>
      </c>
      <c r="N689" s="139">
        <f>Assumptions!$C$6*Assumptions!$C$7*(1+$G689-0.05*(1-$I689))^3+Assumptions!$C$6*Assumptions!$C$8*(1+Assumptions!$C$11)^3+Assumptions!$C$16*$I689+Assumptions!$C$6*Assumptions!$C$9*(1+Assumptions!$C$12)^3</f>
        <v>798.2747511</v>
      </c>
      <c r="O689" s="139">
        <f>Assumptions!$C$6*Assumptions!$C$7*(1+$G689-0.05*(1-$J689))^4+Assumptions!$C$6*Assumptions!$C$8*(1+Assumptions!$C$11)^4+Assumptions!$C$16*$J689+Assumptions!$C$6*Assumptions!$C$9*(1+Assumptions!$C$12)^4</f>
        <v>826.8084365</v>
      </c>
      <c r="P689" s="139">
        <f>Assumptions!$C$6*Assumptions!$C$7*(1+$G689-0.05*(1-$K689))^5+Assumptions!$C$6*Assumptions!$C$8*(1+Assumptions!$C$11)^5+Assumptions!$C$16*$K689+Assumptions!$C$6*Assumptions!$C$9*(1+Assumptions!$C$12)^5</f>
        <v>701.9003209</v>
      </c>
      <c r="Q689" s="139">
        <f>($L689*(1-(Assumptions!$C$25+0.06*(1-1))-Assumptions!$C$27)-Assumptions!$C$28)-MAX(0,($L689*(1-(Assumptions!$C$25+0.06*(1-1))-Assumptions!$C$27)-Assumptions!$C$28)*Assumptions!$C$31)+Assumptions!$C$28-Assumptions!$C$29-$L689*Assumptions!$C$30</f>
        <v>92.65999544</v>
      </c>
      <c r="R689" s="139">
        <f>($M689*(1-(Assumptions!$C$25+0.06*(1-$H689))-Assumptions!$C$27)-Assumptions!$C$28)-MAX(0,($M689*(1-(Assumptions!$C$25+0.06*(1-$H689))-Assumptions!$C$27)-Assumptions!$C$28)*Assumptions!$C$31)+Assumptions!$C$28-Assumptions!$C$29-$M689*Assumptions!$C$30</f>
        <v>98.26551999</v>
      </c>
      <c r="S689" s="139">
        <f>($N689*(1-(Assumptions!$C$25+0.06*(1-$I689))-Assumptions!$C$27)-Assumptions!$C$28)-MAX(0,($N689*(1-(Assumptions!$C$25+0.06*(1-$I689))-Assumptions!$C$27)-Assumptions!$C$28)*Assumptions!$C$31)+Assumptions!$C$28-Assumptions!$C$29-$N689*Assumptions!$C$30</f>
        <v>104.1290715</v>
      </c>
      <c r="T689" s="139">
        <f>($O689*(1-(Assumptions!$C$25+0.06*(1-$J689))-Assumptions!$C$27)-Assumptions!$C$28)-MAX(0,($O689*(1-(Assumptions!$C$25+0.06*(1-$J689))-Assumptions!$C$27)-Assumptions!$C$28)*Assumptions!$C$31)+Assumptions!$C$28-Assumptions!$C$29-$O689*Assumptions!$C$30</f>
        <v>110.2638138</v>
      </c>
      <c r="U689" s="139">
        <f>($P689*(1-(Assumptions!$C$25+0.06*(1-$K689))-Assumptions!$C$27)-Assumptions!$C$28)-MAX(0,($P689*(1-(Assumptions!$C$25+0.06*(1-$K689))-Assumptions!$C$27)-Assumptions!$C$28)*Assumptions!$C$31)+Assumptions!$C$28-Assumptions!$C$29-$P689*Assumptions!$C$30</f>
        <v>41.43707381</v>
      </c>
      <c r="V689" s="143">
        <f>(($Q689/(1+$D689)^1+$R689/(1+$D689)^2+$S689/(1+$D689)^3+$T689/(1+$D689)^4+$U689/(1+$D689)^5+$U689*(1+$E689)/($D689-$E689)/(1+$D689)^5)-Assumptions!$C$37)/Assumptions!$C$40/Assumptions!$C$38</f>
        <v>-0.1231112607</v>
      </c>
    </row>
    <row r="690" ht="12.0" customHeight="1">
      <c r="B690" s="139">
        <v>638.0</v>
      </c>
      <c r="C690" s="140">
        <f t="shared" si="6"/>
        <v>0.2324247769</v>
      </c>
      <c r="D690" s="141">
        <f t="shared" si="7"/>
        <v>0.09387648576</v>
      </c>
      <c r="E690" s="141">
        <f t="shared" si="8"/>
        <v>0.01492786288</v>
      </c>
      <c r="F690" s="140">
        <f t="shared" si="9"/>
        <v>0.9085033437</v>
      </c>
      <c r="G690" s="141">
        <f t="shared" si="10"/>
        <v>0.07716668471</v>
      </c>
      <c r="H690" s="142">
        <f t="shared" si="11"/>
        <v>1</v>
      </c>
      <c r="I690" s="142">
        <f t="shared" si="12"/>
        <v>1</v>
      </c>
      <c r="J690" s="142">
        <f t="shared" si="13"/>
        <v>0</v>
      </c>
      <c r="K690" s="142">
        <f t="shared" si="14"/>
        <v>1</v>
      </c>
      <c r="L690" s="139">
        <f>Assumptions!$C$6*Assumptions!$C$7*(1+$G690-0.05*(1-1))^1+Assumptions!$C$6*Assumptions!$C$8*(1+Assumptions!$C$11)^1+Assumptions!$C$16*1+Assumptions!$C$6*Assumptions!$C$9*(1+Assumptions!$C$12)^1</f>
        <v>752.4423061</v>
      </c>
      <c r="M690" s="139">
        <f>Assumptions!$C$6*Assumptions!$C$7*(1+$G690-0.05*(1-$H690))^2+Assumptions!$C$6*Assumptions!$C$8*(1+Assumptions!$C$11)^2+Assumptions!$C$16*$H690+Assumptions!$C$6*Assumptions!$C$9*(1+Assumptions!$C$12)^2</f>
        <v>787.0183232</v>
      </c>
      <c r="N690" s="139">
        <f>Assumptions!$C$6*Assumptions!$C$7*(1+$G690-0.05*(1-$I690))^3+Assumptions!$C$6*Assumptions!$C$8*(1+Assumptions!$C$11)^3+Assumptions!$C$16*$I690+Assumptions!$C$6*Assumptions!$C$9*(1+Assumptions!$C$12)^3</f>
        <v>823.8853078</v>
      </c>
      <c r="O690" s="139">
        <f>Assumptions!$C$6*Assumptions!$C$7*(1+$G690-0.05*(1-$J690))^4+Assumptions!$C$6*Assumptions!$C$8*(1+Assumptions!$C$11)^4+Assumptions!$C$16*$J690+Assumptions!$C$6*Assumptions!$C$9*(1+Assumptions!$C$12)^4</f>
        <v>724.7534861</v>
      </c>
      <c r="P690" s="139">
        <f>Assumptions!$C$6*Assumptions!$C$7*(1+$G690-0.05*(1-$K690))^5+Assumptions!$C$6*Assumptions!$C$8*(1+Assumptions!$C$11)^5+Assumptions!$C$16*$K690+Assumptions!$C$6*Assumptions!$C$9*(1+Assumptions!$C$12)^5</f>
        <v>905.1820618</v>
      </c>
      <c r="Q690" s="139">
        <f>($L690*(1-(Assumptions!$C$25+0.06*(1-1))-Assumptions!$C$27)-Assumptions!$C$28)-MAX(0,($L690*(1-(Assumptions!$C$25+0.06*(1-1))-Assumptions!$C$27)-Assumptions!$C$28)*Assumptions!$C$31)+Assumptions!$C$28-Assumptions!$C$29-$L690*Assumptions!$C$30</f>
        <v>94.27509581</v>
      </c>
      <c r="R690" s="139">
        <f>($M690*(1-(Assumptions!$C$25+0.06*(1-$H690))-Assumptions!$C$27)-Assumptions!$C$28)-MAX(0,($M690*(1-(Assumptions!$C$25+0.06*(1-$H690))-Assumptions!$C$27)-Assumptions!$C$28)*Assumptions!$C$31)+Assumptions!$C$28-Assumptions!$C$29-$M690*Assumptions!$C$30</f>
        <v>101.7089395</v>
      </c>
      <c r="S690" s="139">
        <f>($N690*(1-(Assumptions!$C$25+0.06*(1-$I690))-Assumptions!$C$27)-Assumptions!$C$28)-MAX(0,($N690*(1-(Assumptions!$C$25+0.06*(1-$I690))-Assumptions!$C$27)-Assumptions!$C$28)*Assumptions!$C$31)+Assumptions!$C$28-Assumptions!$C$29-$N690*Assumptions!$C$30</f>
        <v>109.6353412</v>
      </c>
      <c r="T690" s="139">
        <f>($O690*(1-(Assumptions!$C$25+0.06*(1-$J690))-Assumptions!$C$27)-Assumptions!$C$28)-MAX(0,($O690*(1-(Assumptions!$C$25+0.06*(1-$J690))-Assumptions!$C$27)-Assumptions!$C$28)*Assumptions!$C$31)+Assumptions!$C$28-Assumptions!$C$29-$O690*Assumptions!$C$30</f>
        <v>46.6933018</v>
      </c>
      <c r="U690" s="139">
        <f>($P690*(1-(Assumptions!$C$25+0.06*(1-$K690))-Assumptions!$C$27)-Assumptions!$C$28)-MAX(0,($P690*(1-(Assumptions!$C$25+0.06*(1-$K690))-Assumptions!$C$27)-Assumptions!$C$28)*Assumptions!$C$31)+Assumptions!$C$28-Assumptions!$C$29-$P690*Assumptions!$C$30</f>
        <v>127.1141433</v>
      </c>
      <c r="V690" s="143">
        <f>(($Q690/(1+$D690)^1+$R690/(1+$D690)^2+$S690/(1+$D690)^3+$T690/(1+$D690)^4+$U690/(1+$D690)^5+$U690*(1+$E690)/($D690-$E690)/(1+$D690)^5)-Assumptions!$C$37)/Assumptions!$C$40/Assumptions!$C$38</f>
        <v>5.621994901</v>
      </c>
    </row>
    <row r="691" ht="12.0" customHeight="1">
      <c r="B691" s="139">
        <v>639.0</v>
      </c>
      <c r="C691" s="140">
        <f t="shared" si="6"/>
        <v>0.4808714545</v>
      </c>
      <c r="D691" s="141">
        <f t="shared" si="7"/>
        <v>0.09793450516</v>
      </c>
      <c r="E691" s="141">
        <f t="shared" si="8"/>
        <v>0.01302988485</v>
      </c>
      <c r="F691" s="140">
        <f t="shared" si="9"/>
        <v>0.816333957</v>
      </c>
      <c r="G691" s="141">
        <f t="shared" si="10"/>
        <v>0.07181762179</v>
      </c>
      <c r="H691" s="142">
        <f t="shared" si="11"/>
        <v>1</v>
      </c>
      <c r="I691" s="142">
        <f t="shared" si="12"/>
        <v>0</v>
      </c>
      <c r="J691" s="142">
        <f t="shared" si="13"/>
        <v>1</v>
      </c>
      <c r="K691" s="142">
        <f t="shared" si="14"/>
        <v>1</v>
      </c>
      <c r="L691" s="139">
        <f>Assumptions!$C$6*Assumptions!$C$7*(1+$G691-0.05*(1-1))^1+Assumptions!$C$6*Assumptions!$C$8*(1+Assumptions!$C$11)^1+Assumptions!$C$16*1+Assumptions!$C$6*Assumptions!$C$9*(1+Assumptions!$C$12)^1</f>
        <v>750.6418115</v>
      </c>
      <c r="M691" s="139">
        <f>Assumptions!$C$6*Assumptions!$C$7*(1+$G691-0.05*(1-$H691))^2+Assumptions!$C$6*Assumptions!$C$8*(1+Assumptions!$C$11)^2+Assumptions!$C$16*$H691+Assumptions!$C$6*Assumptions!$C$9*(1+Assumptions!$C$12)^2</f>
        <v>783.1490886</v>
      </c>
      <c r="N691" s="139">
        <f>Assumptions!$C$6*Assumptions!$C$7*(1+$G691-0.05*(1-$I691))^3+Assumptions!$C$6*Assumptions!$C$8*(1+Assumptions!$C$11)^3+Assumptions!$C$16*$I691+Assumptions!$C$6*Assumptions!$C$9*(1+Assumptions!$C$12)^3</f>
        <v>702.3102709</v>
      </c>
      <c r="O691" s="139">
        <f>Assumptions!$C$6*Assumptions!$C$7*(1+$G691-0.05*(1-$J691))^4+Assumptions!$C$6*Assumptions!$C$8*(1+Assumptions!$C$11)^4+Assumptions!$C$16*$J691+Assumptions!$C$6*Assumptions!$C$9*(1+Assumptions!$C$12)^4</f>
        <v>854.2781268</v>
      </c>
      <c r="P691" s="139">
        <f>Assumptions!$C$6*Assumptions!$C$7*(1+$G691-0.05*(1-$K691))^5+Assumptions!$C$6*Assumptions!$C$8*(1+Assumptions!$C$11)^5+Assumptions!$C$16*$K691+Assumptions!$C$6*Assumptions!$C$9*(1+Assumptions!$C$12)^5</f>
        <v>893.1820908</v>
      </c>
      <c r="Q691" s="139">
        <f>($L691*(1-(Assumptions!$C$25+0.06*(1-1))-Assumptions!$C$27)-Assumptions!$C$28)-MAX(0,($L691*(1-(Assumptions!$C$25+0.06*(1-1))-Assumptions!$C$27)-Assumptions!$C$28)*Assumptions!$C$31)+Assumptions!$C$28-Assumptions!$C$29-$L691*Assumptions!$C$30</f>
        <v>93.88798947</v>
      </c>
      <c r="R691" s="139">
        <f>($M691*(1-(Assumptions!$C$25+0.06*(1-$H691))-Assumptions!$C$27)-Assumptions!$C$28)-MAX(0,($M691*(1-(Assumptions!$C$25+0.06*(1-$H691))-Assumptions!$C$27)-Assumptions!$C$28)*Assumptions!$C$31)+Assumptions!$C$28-Assumptions!$C$29-$M691*Assumptions!$C$30</f>
        <v>100.8770541</v>
      </c>
      <c r="S691" s="139">
        <f>($N691*(1-(Assumptions!$C$25+0.06*(1-$I691))-Assumptions!$C$27)-Assumptions!$C$28)-MAX(0,($N691*(1-(Assumptions!$C$25+0.06*(1-$I691))-Assumptions!$C$27)-Assumptions!$C$28)*Assumptions!$C$31)+Assumptions!$C$28-Assumptions!$C$29-$N691*Assumptions!$C$30</f>
        <v>41.53136231</v>
      </c>
      <c r="T691" s="139">
        <f>($O691*(1-(Assumptions!$C$25+0.06*(1-$J691))-Assumptions!$C$27)-Assumptions!$C$28)-MAX(0,($O691*(1-(Assumptions!$C$25+0.06*(1-$J691))-Assumptions!$C$27)-Assumptions!$C$28)*Assumptions!$C$31)+Assumptions!$C$28-Assumptions!$C$29-$O691*Assumptions!$C$30</f>
        <v>116.1697973</v>
      </c>
      <c r="U691" s="139">
        <f>($P691*(1-(Assumptions!$C$25+0.06*(1-$K691))-Assumptions!$C$27)-Assumptions!$C$28)-MAX(0,($P691*(1-(Assumptions!$C$25+0.06*(1-$K691))-Assumptions!$C$27)-Assumptions!$C$28)*Assumptions!$C$31)+Assumptions!$C$28-Assumptions!$C$29-$P691*Assumptions!$C$30</f>
        <v>124.5341495</v>
      </c>
      <c r="V691" s="143">
        <f>(($Q691/(1+$D691)^1+$R691/(1+$D691)^2+$S691/(1+$D691)^3+$T691/(1+$D691)^4+$U691/(1+$D691)^5+$U691*(1+$E691)/($D691-$E691)/(1+$D691)^5)-Assumptions!$C$37)/Assumptions!$C$40/Assumptions!$C$38</f>
        <v>4.66827631</v>
      </c>
    </row>
    <row r="692" ht="12.0" customHeight="1">
      <c r="B692" s="139">
        <v>640.0</v>
      </c>
      <c r="C692" s="140">
        <f t="shared" si="6"/>
        <v>0.7607230311</v>
      </c>
      <c r="D692" s="141">
        <f t="shared" si="7"/>
        <v>0.1034140439</v>
      </c>
      <c r="E692" s="141">
        <f t="shared" si="8"/>
        <v>0.02917523724</v>
      </c>
      <c r="F692" s="140">
        <f t="shared" si="9"/>
        <v>0.09095772156</v>
      </c>
      <c r="G692" s="141">
        <f t="shared" si="10"/>
        <v>0.04279546399</v>
      </c>
      <c r="H692" s="142">
        <f t="shared" si="11"/>
        <v>1</v>
      </c>
      <c r="I692" s="142">
        <f t="shared" si="12"/>
        <v>1</v>
      </c>
      <c r="J692" s="142">
        <f t="shared" si="13"/>
        <v>0</v>
      </c>
      <c r="K692" s="142">
        <f t="shared" si="14"/>
        <v>0</v>
      </c>
      <c r="L692" s="139">
        <f>Assumptions!$C$6*Assumptions!$C$7*(1+$G692-0.05*(1-1))^1+Assumptions!$C$6*Assumptions!$C$8*(1+Assumptions!$C$11)^1+Assumptions!$C$16*1+Assumptions!$C$6*Assumptions!$C$9*(1+Assumptions!$C$12)^1</f>
        <v>740.8729532</v>
      </c>
      <c r="M692" s="139">
        <f>Assumptions!$C$6*Assumptions!$C$7*(1+$G692-0.05*(1-$H692))^2+Assumptions!$C$6*Assumptions!$C$8*(1+Assumptions!$C$11)^2+Assumptions!$C$16*$H692+Assumptions!$C$6*Assumptions!$C$9*(1+Assumptions!$C$12)^2</f>
        <v>762.491733</v>
      </c>
      <c r="N692" s="139">
        <f>Assumptions!$C$6*Assumptions!$C$7*(1+$G692-0.05*(1-$I692))^3+Assumptions!$C$6*Assumptions!$C$8*(1+Assumptions!$C$11)^3+Assumptions!$C$16*$I692+Assumptions!$C$6*Assumptions!$C$9*(1+Assumptions!$C$12)^3</f>
        <v>784.8853087</v>
      </c>
      <c r="O692" s="139">
        <f>Assumptions!$C$6*Assumptions!$C$7*(1+$G692-0.05*(1-$J692))^4+Assumptions!$C$6*Assumptions!$C$8*(1+Assumptions!$C$11)^4+Assumptions!$C$16*$J692+Assumptions!$C$6*Assumptions!$C$9*(1+Assumptions!$C$12)^4</f>
        <v>677.0626987</v>
      </c>
      <c r="P692" s="139">
        <f>Assumptions!$C$6*Assumptions!$C$7*(1+$G692-0.05*(1-$K692))^5+Assumptions!$C$6*Assumptions!$C$8*(1+Assumptions!$C$11)^5+Assumptions!$C$16*$K692+Assumptions!$C$6*Assumptions!$C$9*(1+Assumptions!$C$12)^5</f>
        <v>681.7079568</v>
      </c>
      <c r="Q692" s="139">
        <f>($L692*(1-(Assumptions!$C$25+0.06*(1-1))-Assumptions!$C$27)-Assumptions!$C$28)-MAX(0,($L692*(1-(Assumptions!$C$25+0.06*(1-1))-Assumptions!$C$27)-Assumptions!$C$28)*Assumptions!$C$31)+Assumptions!$C$28-Assumptions!$C$29-$L692*Assumptions!$C$30</f>
        <v>91.78768493</v>
      </c>
      <c r="R692" s="139">
        <f>($M692*(1-(Assumptions!$C$25+0.06*(1-$H692))-Assumptions!$C$27)-Assumptions!$C$28)-MAX(0,($M692*(1-(Assumptions!$C$25+0.06*(1-$H692))-Assumptions!$C$27)-Assumptions!$C$28)*Assumptions!$C$31)+Assumptions!$C$28-Assumptions!$C$29-$M692*Assumptions!$C$30</f>
        <v>96.4357226</v>
      </c>
      <c r="S692" s="139">
        <f>($N692*(1-(Assumptions!$C$25+0.06*(1-$I692))-Assumptions!$C$27)-Assumptions!$C$28)-MAX(0,($N692*(1-(Assumptions!$C$25+0.06*(1-$I692))-Assumptions!$C$27)-Assumptions!$C$28)*Assumptions!$C$31)+Assumptions!$C$28-Assumptions!$C$29-$N692*Assumptions!$C$30</f>
        <v>101.2503414</v>
      </c>
      <c r="T692" s="139">
        <f>($O692*(1-(Assumptions!$C$25+0.06*(1-$J692))-Assumptions!$C$27)-Assumptions!$C$28)-MAX(0,($O692*(1-(Assumptions!$C$25+0.06*(1-$J692))-Assumptions!$C$27)-Assumptions!$C$28)*Assumptions!$C$31)+Assumptions!$C$28-Assumptions!$C$29-$O692*Assumptions!$C$30</f>
        <v>35.7244207</v>
      </c>
      <c r="U692" s="139">
        <f>($P692*(1-(Assumptions!$C$25+0.06*(1-$K692))-Assumptions!$C$27)-Assumptions!$C$28)-MAX(0,($P692*(1-(Assumptions!$C$25+0.06*(1-$K692))-Assumptions!$C$27)-Assumptions!$C$28)*Assumptions!$C$31)+Assumptions!$C$28-Assumptions!$C$29-$P692*Assumptions!$C$30</f>
        <v>36.79283007</v>
      </c>
      <c r="V692" s="143">
        <f>(($Q692/(1+$D692)^1+$R692/(1+$D692)^2+$S692/(1+$D692)^3+$T692/(1+$D692)^4+$U692/(1+$D692)^5+$U692*(1+$E692)/($D692-$E692)/(1+$D692)^5)-Assumptions!$C$37)/Assumptions!$C$40/Assumptions!$C$38</f>
        <v>-0.7453527293</v>
      </c>
    </row>
    <row r="693" ht="12.0" customHeight="1">
      <c r="B693" s="139">
        <v>641.0</v>
      </c>
      <c r="C693" s="140">
        <f t="shared" si="6"/>
        <v>0.4095997507</v>
      </c>
      <c r="D693" s="141">
        <f t="shared" si="7"/>
        <v>0.09680069947</v>
      </c>
      <c r="E693" s="141">
        <f t="shared" si="8"/>
        <v>0.01699380977</v>
      </c>
      <c r="F693" s="140">
        <f t="shared" si="9"/>
        <v>0.9913840592</v>
      </c>
      <c r="G693" s="141">
        <f t="shared" si="10"/>
        <v>0.08606189216</v>
      </c>
      <c r="H693" s="142">
        <f t="shared" si="11"/>
        <v>1</v>
      </c>
      <c r="I693" s="142">
        <f t="shared" si="12"/>
        <v>1</v>
      </c>
      <c r="J693" s="142">
        <f t="shared" si="13"/>
        <v>0</v>
      </c>
      <c r="K693" s="142">
        <f t="shared" si="14"/>
        <v>0</v>
      </c>
      <c r="L693" s="139">
        <f>Assumptions!$C$6*Assumptions!$C$7*(1+$G693-0.05*(1-1))^1+Assumptions!$C$6*Assumptions!$C$8*(1+Assumptions!$C$11)^1+Assumptions!$C$16*1+Assumptions!$C$6*Assumptions!$C$9*(1+Assumptions!$C$12)^1</f>
        <v>755.4364329</v>
      </c>
      <c r="M693" s="139">
        <f>Assumptions!$C$6*Assumptions!$C$7*(1+$G693-0.05*(1-$H693))^2+Assumptions!$C$6*Assumptions!$C$8*(1+Assumptions!$C$11)^2+Assumptions!$C$16*$H693+Assumptions!$C$6*Assumptions!$C$9*(1+Assumptions!$C$12)^2</f>
        <v>793.4953039</v>
      </c>
      <c r="N693" s="139">
        <f>Assumptions!$C$6*Assumptions!$C$7*(1+$G693-0.05*(1-$I693))^3+Assumptions!$C$6*Assumptions!$C$8*(1+Assumptions!$C$11)^3+Assumptions!$C$16*$I693+Assumptions!$C$6*Assumptions!$C$9*(1+Assumptions!$C$12)^3</f>
        <v>834.3937594</v>
      </c>
      <c r="O693" s="139">
        <f>Assumptions!$C$6*Assumptions!$C$7*(1+$G693-0.05*(1-$J693))^4+Assumptions!$C$6*Assumptions!$C$8*(1+Assumptions!$C$11)^4+Assumptions!$C$16*$J693+Assumptions!$C$6*Assumptions!$C$9*(1+Assumptions!$C$12)^4</f>
        <v>737.9024127</v>
      </c>
      <c r="P693" s="139">
        <f>Assumptions!$C$6*Assumptions!$C$7*(1+$G693-0.05*(1-$K693))^5+Assumptions!$C$6*Assumptions!$C$8*(1+Assumptions!$C$11)^5+Assumptions!$C$16*$K693+Assumptions!$C$6*Assumptions!$C$9*(1+Assumptions!$C$12)^5</f>
        <v>758.8899671</v>
      </c>
      <c r="Q693" s="139">
        <f>($L693*(1-(Assumptions!$C$25+0.06*(1-1))-Assumptions!$C$27)-Assumptions!$C$28)-MAX(0,($L693*(1-(Assumptions!$C$25+0.06*(1-1))-Assumptions!$C$27)-Assumptions!$C$28)*Assumptions!$C$31)+Assumptions!$C$28-Assumptions!$C$29-$L693*Assumptions!$C$30</f>
        <v>94.91883307</v>
      </c>
      <c r="R693" s="139">
        <f>($M693*(1-(Assumptions!$C$25+0.06*(1-$H693))-Assumptions!$C$27)-Assumptions!$C$28)-MAX(0,($M693*(1-(Assumptions!$C$25+0.06*(1-$H693))-Assumptions!$C$27)-Assumptions!$C$28)*Assumptions!$C$31)+Assumptions!$C$28-Assumptions!$C$29-$M693*Assumptions!$C$30</f>
        <v>103.1014903</v>
      </c>
      <c r="S693" s="139">
        <f>($N693*(1-(Assumptions!$C$25+0.06*(1-$I693))-Assumptions!$C$27)-Assumptions!$C$28)-MAX(0,($N693*(1-(Assumptions!$C$25+0.06*(1-$I693))-Assumptions!$C$27)-Assumptions!$C$28)*Assumptions!$C$31)+Assumptions!$C$28-Assumptions!$C$29-$N693*Assumptions!$C$30</f>
        <v>111.8946583</v>
      </c>
      <c r="T693" s="139">
        <f>($O693*(1-(Assumptions!$C$25+0.06*(1-$J693))-Assumptions!$C$27)-Assumptions!$C$28)-MAX(0,($O693*(1-(Assumptions!$C$25+0.06*(1-$J693))-Assumptions!$C$27)-Assumptions!$C$28)*Assumptions!$C$31)+Assumptions!$C$28-Assumptions!$C$29-$O693*Assumptions!$C$30</f>
        <v>49.71755493</v>
      </c>
      <c r="U693" s="139">
        <f>($P693*(1-(Assumptions!$C$25+0.06*(1-$K693))-Assumptions!$C$27)-Assumptions!$C$28)-MAX(0,($P693*(1-(Assumptions!$C$25+0.06*(1-$K693))-Assumptions!$C$27)-Assumptions!$C$28)*Assumptions!$C$31)+Assumptions!$C$28-Assumptions!$C$29-$P693*Assumptions!$C$30</f>
        <v>54.54469244</v>
      </c>
      <c r="V693" s="143">
        <f>(($Q693/(1+$D693)^1+$R693/(1+$D693)^2+$S693/(1+$D693)^3+$T693/(1+$D693)^4+$U693/(1+$D693)^5+$U693*(1+$E693)/($D693-$E693)/(1+$D693)^5)-Assumptions!$C$37)/Assumptions!$C$40/Assumptions!$C$38</f>
        <v>0.5618126463</v>
      </c>
    </row>
    <row r="694" ht="12.0" customHeight="1">
      <c r="B694" s="139">
        <v>642.0</v>
      </c>
      <c r="C694" s="140">
        <f t="shared" si="6"/>
        <v>0.7563843058</v>
      </c>
      <c r="D694" s="141">
        <f t="shared" si="7"/>
        <v>0.1033094737</v>
      </c>
      <c r="E694" s="141">
        <f t="shared" si="8"/>
        <v>0.01797032719</v>
      </c>
      <c r="F694" s="140">
        <f t="shared" si="9"/>
        <v>0.1732089264</v>
      </c>
      <c r="G694" s="141">
        <f t="shared" si="10"/>
        <v>0.04765718175</v>
      </c>
      <c r="H694" s="142">
        <f t="shared" si="11"/>
        <v>1</v>
      </c>
      <c r="I694" s="142">
        <f t="shared" si="12"/>
        <v>0</v>
      </c>
      <c r="J694" s="142">
        <f t="shared" si="13"/>
        <v>1</v>
      </c>
      <c r="K694" s="142">
        <f t="shared" si="14"/>
        <v>1</v>
      </c>
      <c r="L694" s="139">
        <f>Assumptions!$C$6*Assumptions!$C$7*(1+$G694-0.05*(1-1))^1+Assumptions!$C$6*Assumptions!$C$8*(1+Assumptions!$C$11)^1+Assumptions!$C$16*1+Assumptions!$C$6*Assumptions!$C$9*(1+Assumptions!$C$12)^1</f>
        <v>742.5094074</v>
      </c>
      <c r="M694" s="139">
        <f>Assumptions!$C$6*Assumptions!$C$7*(1+$G694-0.05*(1-$H694))^2+Assumptions!$C$6*Assumptions!$C$8*(1+Assumptions!$C$11)^2+Assumptions!$C$16*$H694+Assumptions!$C$6*Assumptions!$C$9*(1+Assumptions!$C$12)^2</f>
        <v>765.912663</v>
      </c>
      <c r="N694" s="139">
        <f>Assumptions!$C$6*Assumptions!$C$7*(1+$G694-0.05*(1-$I694))^3+Assumptions!$C$6*Assumptions!$C$8*(1+Assumptions!$C$11)^3+Assumptions!$C$16*$I694+Assumptions!$C$6*Assumptions!$C$9*(1+Assumptions!$C$12)^3</f>
        <v>677.4344276</v>
      </c>
      <c r="O694" s="139">
        <f>Assumptions!$C$6*Assumptions!$C$7*(1+$G694-0.05*(1-$J694))^4+Assumptions!$C$6*Assumptions!$C$8*(1+Assumptions!$C$11)^4+Assumptions!$C$16*$J694+Assumptions!$C$6*Assumptions!$C$9*(1+Assumptions!$C$12)^4</f>
        <v>815.5585894</v>
      </c>
      <c r="P694" s="139">
        <f>Assumptions!$C$6*Assumptions!$C$7*(1+$G694-0.05*(1-$K694))^5+Assumptions!$C$6*Assumptions!$C$8*(1+Assumptions!$C$11)^5+Assumptions!$C$16*$K694+Assumptions!$C$6*Assumptions!$C$9*(1+Assumptions!$C$12)^5</f>
        <v>841.8847492</v>
      </c>
      <c r="Q694" s="139">
        <f>($L694*(1-(Assumptions!$C$25+0.06*(1-1))-Assumptions!$C$27)-Assumptions!$C$28)-MAX(0,($L694*(1-(Assumptions!$C$25+0.06*(1-1))-Assumptions!$C$27)-Assumptions!$C$28)*Assumptions!$C$31)+Assumptions!$C$28-Assumptions!$C$29-$L694*Assumptions!$C$30</f>
        <v>92.13952259</v>
      </c>
      <c r="R694" s="139">
        <f>($M694*(1-(Assumptions!$C$25+0.06*(1-$H694))-Assumptions!$C$27)-Assumptions!$C$28)-MAX(0,($M694*(1-(Assumptions!$C$25+0.06*(1-$H694))-Assumptions!$C$27)-Assumptions!$C$28)*Assumptions!$C$31)+Assumptions!$C$28-Assumptions!$C$29-$M694*Assumptions!$C$30</f>
        <v>97.17122255</v>
      </c>
      <c r="S694" s="139">
        <f>($N694*(1-(Assumptions!$C$25+0.06*(1-$I694))-Assumptions!$C$27)-Assumptions!$C$28)-MAX(0,($N694*(1-(Assumptions!$C$25+0.06*(1-$I694))-Assumptions!$C$27)-Assumptions!$C$28)*Assumptions!$C$31)+Assumptions!$C$28-Assumptions!$C$29-$N694*Assumptions!$C$30</f>
        <v>35.80991835</v>
      </c>
      <c r="T694" s="139">
        <f>($O694*(1-(Assumptions!$C$25+0.06*(1-$J694))-Assumptions!$C$27)-Assumptions!$C$28)-MAX(0,($O694*(1-(Assumptions!$C$25+0.06*(1-$J694))-Assumptions!$C$27)-Assumptions!$C$28)*Assumptions!$C$31)+Assumptions!$C$28-Assumptions!$C$29-$O694*Assumptions!$C$30</f>
        <v>107.8450967</v>
      </c>
      <c r="U694" s="139">
        <f>($P694*(1-(Assumptions!$C$25+0.06*(1-$K694))-Assumptions!$C$27)-Assumptions!$C$28)-MAX(0,($P694*(1-(Assumptions!$C$25+0.06*(1-$K694))-Assumptions!$C$27)-Assumptions!$C$28)*Assumptions!$C$31)+Assumptions!$C$28-Assumptions!$C$29-$P694*Assumptions!$C$30</f>
        <v>113.5052211</v>
      </c>
      <c r="V694" s="143">
        <f>(($Q694/(1+$D694)^1+$R694/(1+$D694)^2+$S694/(1+$D694)^3+$T694/(1+$D694)^4+$U694/(1+$D694)^5+$U694*(1+$E694)/($D694-$E694)/(1+$D694)^5)-Assumptions!$C$37)/Assumptions!$C$40/Assumptions!$C$38</f>
        <v>3.657491528</v>
      </c>
    </row>
    <row r="695" ht="12.0" customHeight="1">
      <c r="B695" s="139">
        <v>643.0</v>
      </c>
      <c r="C695" s="140">
        <f t="shared" si="6"/>
        <v>0.6380337841</v>
      </c>
      <c r="D695" s="141">
        <f t="shared" si="7"/>
        <v>0.1007499808</v>
      </c>
      <c r="E695" s="141">
        <f t="shared" si="8"/>
        <v>0.01860193126</v>
      </c>
      <c r="F695" s="140">
        <f t="shared" si="9"/>
        <v>0.6830261774</v>
      </c>
      <c r="G695" s="141">
        <f t="shared" si="10"/>
        <v>0.06611375122</v>
      </c>
      <c r="H695" s="142">
        <f t="shared" si="11"/>
        <v>0</v>
      </c>
      <c r="I695" s="142">
        <f t="shared" si="12"/>
        <v>0</v>
      </c>
      <c r="J695" s="142">
        <f t="shared" si="13"/>
        <v>1</v>
      </c>
      <c r="K695" s="142">
        <f t="shared" si="14"/>
        <v>0</v>
      </c>
      <c r="L695" s="139">
        <f>Assumptions!$C$6*Assumptions!$C$7*(1+$G695-0.05*(1-1))^1+Assumptions!$C$6*Assumptions!$C$8*(1+Assumptions!$C$11)^1+Assumptions!$C$16*1+Assumptions!$C$6*Assumptions!$C$9*(1+Assumptions!$C$12)^1</f>
        <v>748.7218887</v>
      </c>
      <c r="M695" s="139">
        <f>Assumptions!$C$6*Assumptions!$C$7*(1+$G695-0.05*(1-$H695))^2+Assumptions!$C$6*Assumptions!$C$8*(1+Assumptions!$C$11)^2+Assumptions!$C$16*$H695+Assumptions!$C$6*Assumptions!$C$9*(1+Assumptions!$C$12)^2</f>
        <v>684.0005365</v>
      </c>
      <c r="N695" s="139">
        <f>Assumptions!$C$6*Assumptions!$C$7*(1+$G695-0.05*(1-$I695))^3+Assumptions!$C$6*Assumptions!$C$8*(1+Assumptions!$C$11)^3+Assumptions!$C$16*$I695+Assumptions!$C$6*Assumptions!$C$9*(1+Assumptions!$C$12)^3</f>
        <v>696.3299391</v>
      </c>
      <c r="O695" s="139">
        <f>Assumptions!$C$6*Assumptions!$C$7*(1+$G695-0.05*(1-$J695))^4+Assumptions!$C$6*Assumptions!$C$8*(1+Assumptions!$C$11)^4+Assumptions!$C$16*$J695+Assumptions!$C$6*Assumptions!$C$9*(1+Assumptions!$C$12)^4</f>
        <v>844.8973641</v>
      </c>
      <c r="P695" s="139">
        <f>Assumptions!$C$6*Assumptions!$C$7*(1+$G695-0.05*(1-$K695))^5+Assumptions!$C$6*Assumptions!$C$8*(1+Assumptions!$C$11)^5+Assumptions!$C$16*$K695+Assumptions!$C$6*Assumptions!$C$9*(1+Assumptions!$C$12)^5</f>
        <v>721.6673641</v>
      </c>
      <c r="Q695" s="139">
        <f>($L695*(1-(Assumptions!$C$25+0.06*(1-1))-Assumptions!$C$27)-Assumptions!$C$28)-MAX(0,($L695*(1-(Assumptions!$C$25+0.06*(1-1))-Assumptions!$C$27)-Assumptions!$C$28)*Assumptions!$C$31)+Assumptions!$C$28-Assumptions!$C$29-$L695*Assumptions!$C$30</f>
        <v>93.47520606</v>
      </c>
      <c r="R695" s="139">
        <f>($M695*(1-(Assumptions!$C$25+0.06*(1-$H695))-Assumptions!$C$27)-Assumptions!$C$28)-MAX(0,($M695*(1-(Assumptions!$C$25+0.06*(1-$H695))-Assumptions!$C$27)-Assumptions!$C$28)*Assumptions!$C$31)+Assumptions!$C$28-Assumptions!$C$29-$M695*Assumptions!$C$30</f>
        <v>37.3201234</v>
      </c>
      <c r="S695" s="139">
        <f>($N695*(1-(Assumptions!$C$25+0.06*(1-$I695))-Assumptions!$C$27)-Assumptions!$C$28)-MAX(0,($N695*(1-(Assumptions!$C$25+0.06*(1-$I695))-Assumptions!$C$27)-Assumptions!$C$28)*Assumptions!$C$31)+Assumptions!$C$28-Assumptions!$C$29-$N695*Assumptions!$C$30</f>
        <v>40.15588599</v>
      </c>
      <c r="T695" s="139">
        <f>($O695*(1-(Assumptions!$C$25+0.06*(1-$J695))-Assumptions!$C$27)-Assumptions!$C$28)-MAX(0,($O695*(1-(Assumptions!$C$25+0.06*(1-$J695))-Assumptions!$C$27)-Assumptions!$C$28)*Assumptions!$C$31)+Assumptions!$C$28-Assumptions!$C$29-$O695*Assumptions!$C$30</f>
        <v>114.1529333</v>
      </c>
      <c r="U695" s="139">
        <f>($P695*(1-(Assumptions!$C$25+0.06*(1-$K695))-Assumptions!$C$27)-Assumptions!$C$28)-MAX(0,($P695*(1-(Assumptions!$C$25+0.06*(1-$K695))-Assumptions!$C$27)-Assumptions!$C$28)*Assumptions!$C$31)+Assumptions!$C$28-Assumptions!$C$29-$P695*Assumptions!$C$30</f>
        <v>45.98349374</v>
      </c>
      <c r="V695" s="143">
        <f>(($Q695/(1+$D695)^1+$R695/(1+$D695)^2+$S695/(1+$D695)^3+$T695/(1+$D695)^4+$U695/(1+$D695)^5+$U695*(1+$E695)/($D695-$E695)/(1+$D695)^5)-Assumptions!$C$37)/Assumptions!$C$40/Assumptions!$C$38</f>
        <v>-0.6776210374</v>
      </c>
    </row>
    <row r="696" ht="12.0" customHeight="1">
      <c r="B696" s="139">
        <v>644.0</v>
      </c>
      <c r="C696" s="140">
        <f t="shared" si="6"/>
        <v>0.02165226314</v>
      </c>
      <c r="D696" s="141">
        <f t="shared" si="7"/>
        <v>0.08770926507</v>
      </c>
      <c r="E696" s="141">
        <f t="shared" si="8"/>
        <v>0.02133139027</v>
      </c>
      <c r="F696" s="140">
        <f t="shared" si="9"/>
        <v>0.09419889227</v>
      </c>
      <c r="G696" s="141">
        <f t="shared" si="10"/>
        <v>0.04302144409</v>
      </c>
      <c r="H696" s="142">
        <f t="shared" si="11"/>
        <v>0</v>
      </c>
      <c r="I696" s="142">
        <f t="shared" si="12"/>
        <v>1</v>
      </c>
      <c r="J696" s="142">
        <f t="shared" si="13"/>
        <v>0</v>
      </c>
      <c r="K696" s="142">
        <f t="shared" si="14"/>
        <v>1</v>
      </c>
      <c r="L696" s="139">
        <f>Assumptions!$C$6*Assumptions!$C$7*(1+$G696-0.05*(1-1))^1+Assumptions!$C$6*Assumptions!$C$8*(1+Assumptions!$C$11)^1+Assumptions!$C$16*1+Assumptions!$C$6*Assumptions!$C$9*(1+Assumptions!$C$12)^1</f>
        <v>740.9490181</v>
      </c>
      <c r="M696" s="139">
        <f>Assumptions!$C$6*Assumptions!$C$7*(1+$G696-0.05*(1-$H696))^2+Assumptions!$C$6*Assumptions!$C$8*(1+Assumptions!$C$11)^2+Assumptions!$C$16*$H696+Assumptions!$C$6*Assumptions!$C$9*(1+Assumptions!$C$12)^2</f>
        <v>668.3837887</v>
      </c>
      <c r="N696" s="139">
        <f>Assumptions!$C$6*Assumptions!$C$7*(1+$G696-0.05*(1-$I696))^3+Assumptions!$C$6*Assumptions!$C$8*(1+Assumptions!$C$11)^3+Assumptions!$C$16*$I696+Assumptions!$C$6*Assumptions!$C$9*(1+Assumptions!$C$12)^3</f>
        <v>785.1335065</v>
      </c>
      <c r="O696" s="139">
        <f>Assumptions!$C$6*Assumptions!$C$7*(1+$G696-0.05*(1-$J696))^4+Assumptions!$C$6*Assumptions!$C$8*(1+Assumptions!$C$11)^4+Assumptions!$C$16*$J696+Assumptions!$C$6*Assumptions!$C$9*(1+Assumptions!$C$12)^4</f>
        <v>677.3605311</v>
      </c>
      <c r="P696" s="139">
        <f>Assumptions!$C$6*Assumptions!$C$7*(1+$G696-0.05*(1-$K696))^5+Assumptions!$C$6*Assumptions!$C$8*(1+Assumptions!$C$11)^5+Assumptions!$C$16*$K696+Assumptions!$C$6*Assumptions!$C$9*(1+Assumptions!$C$12)^5</f>
        <v>832.5686013</v>
      </c>
      <c r="Q696" s="139">
        <f>($L696*(1-(Assumptions!$C$25+0.06*(1-1))-Assumptions!$C$27)-Assumptions!$C$28)-MAX(0,($L696*(1-(Assumptions!$C$25+0.06*(1-1))-Assumptions!$C$27)-Assumptions!$C$28)*Assumptions!$C$31)+Assumptions!$C$28-Assumptions!$C$29-$L696*Assumptions!$C$30</f>
        <v>91.80403889</v>
      </c>
      <c r="R696" s="139">
        <f>($M696*(1-(Assumptions!$C$25+0.06*(1-$H696))-Assumptions!$C$27)-Assumptions!$C$28)-MAX(0,($M696*(1-(Assumptions!$C$25+0.06*(1-$H696))-Assumptions!$C$27)-Assumptions!$C$28)*Assumptions!$C$31)+Assumptions!$C$28-Assumptions!$C$29-$M696*Assumptions!$C$30</f>
        <v>33.72827139</v>
      </c>
      <c r="S696" s="139">
        <f>($N696*(1-(Assumptions!$C$25+0.06*(1-$I696))-Assumptions!$C$27)-Assumptions!$C$28)-MAX(0,($N696*(1-(Assumptions!$C$25+0.06*(1-$I696))-Assumptions!$C$27)-Assumptions!$C$28)*Assumptions!$C$31)+Assumptions!$C$28-Assumptions!$C$29-$N696*Assumptions!$C$30</f>
        <v>101.3037039</v>
      </c>
      <c r="T696" s="139">
        <f>($O696*(1-(Assumptions!$C$25+0.06*(1-$J696))-Assumptions!$C$27)-Assumptions!$C$28)-MAX(0,($O696*(1-(Assumptions!$C$25+0.06*(1-$J696))-Assumptions!$C$27)-Assumptions!$C$28)*Assumptions!$C$31)+Assumptions!$C$28-Assumptions!$C$29-$O696*Assumptions!$C$30</f>
        <v>35.79292215</v>
      </c>
      <c r="U696" s="139">
        <f>($P696*(1-(Assumptions!$C$25+0.06*(1-$K696))-Assumptions!$C$27)-Assumptions!$C$28)-MAX(0,($P696*(1-(Assumptions!$C$25+0.06*(1-$K696))-Assumptions!$C$27)-Assumptions!$C$28)*Assumptions!$C$31)+Assumptions!$C$28-Assumptions!$C$29-$P696*Assumptions!$C$30</f>
        <v>111.5022493</v>
      </c>
      <c r="V696" s="143">
        <f>(($Q696/(1+$D696)^1+$R696/(1+$D696)^2+$S696/(1+$D696)^3+$T696/(1+$D696)^4+$U696/(1+$D696)^5+$U696*(1+$E696)/($D696-$E696)/(1+$D696)^5)-Assumptions!$C$37)/Assumptions!$C$40/Assumptions!$C$38</f>
        <v>5.662378648</v>
      </c>
    </row>
    <row r="697" ht="12.0" customHeight="1">
      <c r="B697" s="139">
        <v>645.0</v>
      </c>
      <c r="C697" s="140">
        <f t="shared" si="6"/>
        <v>0.0930769947</v>
      </c>
      <c r="D697" s="141">
        <f t="shared" si="7"/>
        <v>0.09061721472</v>
      </c>
      <c r="E697" s="141">
        <f t="shared" si="8"/>
        <v>0.02584024856</v>
      </c>
      <c r="F697" s="140">
        <f t="shared" si="9"/>
        <v>0.2507619243</v>
      </c>
      <c r="G697" s="141">
        <f t="shared" si="10"/>
        <v>0.05124550455</v>
      </c>
      <c r="H697" s="142">
        <f t="shared" si="11"/>
        <v>1</v>
      </c>
      <c r="I697" s="142">
        <f t="shared" si="12"/>
        <v>0</v>
      </c>
      <c r="J697" s="142">
        <f t="shared" si="13"/>
        <v>1</v>
      </c>
      <c r="K697" s="142">
        <f t="shared" si="14"/>
        <v>0</v>
      </c>
      <c r="L697" s="139">
        <f>Assumptions!$C$6*Assumptions!$C$7*(1+$G697-0.05*(1-1))^1+Assumptions!$C$6*Assumptions!$C$8*(1+Assumptions!$C$11)^1+Assumptions!$C$16*1+Assumptions!$C$6*Assumptions!$C$9*(1+Assumptions!$C$12)^1</f>
        <v>743.7172368</v>
      </c>
      <c r="M697" s="139">
        <f>Assumptions!$C$6*Assumptions!$C$7*(1+$G697-0.05*(1-$H697))^2+Assumptions!$C$6*Assumptions!$C$8*(1+Assumptions!$C$11)^2+Assumptions!$C$16*$H697+Assumptions!$C$6*Assumptions!$C$9*(1+Assumptions!$C$12)^2</f>
        <v>768.4477795</v>
      </c>
      <c r="N697" s="139">
        <f>Assumptions!$C$6*Assumptions!$C$7*(1+$G697-0.05*(1-$I697))^3+Assumptions!$C$6*Assumptions!$C$8*(1+Assumptions!$C$11)^3+Assumptions!$C$16*$I697+Assumptions!$C$6*Assumptions!$C$9*(1+Assumptions!$C$12)^3</f>
        <v>681.0539448</v>
      </c>
      <c r="O697" s="139">
        <f>Assumptions!$C$6*Assumptions!$C$7*(1+$G697-0.05*(1-$J697))^4+Assumptions!$C$6*Assumptions!$C$8*(1+Assumptions!$C$11)^4+Assumptions!$C$16*$J697+Assumptions!$C$6*Assumptions!$C$9*(1+Assumptions!$C$12)^4</f>
        <v>821.1426973</v>
      </c>
      <c r="P697" s="139">
        <f>Assumptions!$C$6*Assumptions!$C$7*(1+$G697-0.05*(1-$K697))^5+Assumptions!$C$6*Assumptions!$C$8*(1+Assumptions!$C$11)^5+Assumptions!$C$16*$K697+Assumptions!$C$6*Assumptions!$C$9*(1+Assumptions!$C$12)^5</f>
        <v>695.761144</v>
      </c>
      <c r="Q697" s="139">
        <f>($L697*(1-(Assumptions!$C$25+0.06*(1-1))-Assumptions!$C$27)-Assumptions!$C$28)-MAX(0,($L697*(1-(Assumptions!$C$25+0.06*(1-1))-Assumptions!$C$27)-Assumptions!$C$28)*Assumptions!$C$31)+Assumptions!$C$28-Assumptions!$C$29-$L697*Assumptions!$C$30</f>
        <v>92.39920592</v>
      </c>
      <c r="R697" s="139">
        <f>($M697*(1-(Assumptions!$C$25+0.06*(1-$H697))-Assumptions!$C$27)-Assumptions!$C$28)-MAX(0,($M697*(1-(Assumptions!$C$25+0.06*(1-$H697))-Assumptions!$C$27)-Assumptions!$C$28)*Assumptions!$C$31)+Assumptions!$C$28-Assumptions!$C$29-$M697*Assumptions!$C$30</f>
        <v>97.71627259</v>
      </c>
      <c r="S697" s="139">
        <f>($N697*(1-(Assumptions!$C$25+0.06*(1-$I697))-Assumptions!$C$27)-Assumptions!$C$28)-MAX(0,($N697*(1-(Assumptions!$C$25+0.06*(1-$I697))-Assumptions!$C$27)-Assumptions!$C$28)*Assumptions!$C$31)+Assumptions!$C$28-Assumptions!$C$29-$N697*Assumptions!$C$30</f>
        <v>36.64240731</v>
      </c>
      <c r="T697" s="139">
        <f>($O697*(1-(Assumptions!$C$25+0.06*(1-$J697))-Assumptions!$C$27)-Assumptions!$C$28)-MAX(0,($O697*(1-(Assumptions!$C$25+0.06*(1-$J697))-Assumptions!$C$27)-Assumptions!$C$28)*Assumptions!$C$31)+Assumptions!$C$28-Assumptions!$C$29-$O697*Assumptions!$C$30</f>
        <v>109.0456799</v>
      </c>
      <c r="U697" s="139">
        <f>($P697*(1-(Assumptions!$C$25+0.06*(1-$K697))-Assumptions!$C$27)-Assumptions!$C$28)-MAX(0,($P697*(1-(Assumptions!$C$25+0.06*(1-$K697))-Assumptions!$C$27)-Assumptions!$C$28)*Assumptions!$C$31)+Assumptions!$C$28-Assumptions!$C$29-$P697*Assumptions!$C$30</f>
        <v>40.02506313</v>
      </c>
      <c r="V697" s="143">
        <f>(($Q697/(1+$D697)^1+$R697/(1+$D697)^2+$S697/(1+$D697)^3+$T697/(1+$D697)^4+$U697/(1+$D697)^5+$U697*(1+$E697)/($D697-$E697)/(1+$D697)^5)-Assumptions!$C$37)/Assumptions!$C$40/Assumptions!$C$38</f>
        <v>0.1345121927</v>
      </c>
    </row>
    <row r="698" ht="12.0" customHeight="1">
      <c r="B698" s="139">
        <v>646.0</v>
      </c>
      <c r="C698" s="140">
        <f t="shared" si="6"/>
        <v>0.7659551626</v>
      </c>
      <c r="D698" s="141">
        <f t="shared" si="7"/>
        <v>0.1035414157</v>
      </c>
      <c r="E698" s="141">
        <f t="shared" si="8"/>
        <v>0.01717651784</v>
      </c>
      <c r="F698" s="140">
        <f t="shared" si="9"/>
        <v>0.2804468868</v>
      </c>
      <c r="G698" s="141">
        <f t="shared" si="10"/>
        <v>0.05246785251</v>
      </c>
      <c r="H698" s="142">
        <f t="shared" si="11"/>
        <v>1</v>
      </c>
      <c r="I698" s="142">
        <f t="shared" si="12"/>
        <v>0</v>
      </c>
      <c r="J698" s="142">
        <f t="shared" si="13"/>
        <v>1</v>
      </c>
      <c r="K698" s="142">
        <f t="shared" si="14"/>
        <v>0</v>
      </c>
      <c r="L698" s="139">
        <f>Assumptions!$C$6*Assumptions!$C$7*(1+$G698-0.05*(1-1))^1+Assumptions!$C$6*Assumptions!$C$8*(1+Assumptions!$C$11)^1+Assumptions!$C$16*1+Assumptions!$C$6*Assumptions!$C$9*(1+Assumptions!$C$12)^1</f>
        <v>744.1286792</v>
      </c>
      <c r="M698" s="139">
        <f>Assumptions!$C$6*Assumptions!$C$7*(1+$G698-0.05*(1-$H698))^2+Assumptions!$C$6*Assumptions!$C$8*(1+Assumptions!$C$11)^2+Assumptions!$C$16*$H698+Assumptions!$C$6*Assumptions!$C$9*(1+Assumptions!$C$12)^2</f>
        <v>769.3133362</v>
      </c>
      <c r="N698" s="139">
        <f>Assumptions!$C$6*Assumptions!$C$7*(1+$G698-0.05*(1-$I698))^3+Assumptions!$C$6*Assumptions!$C$8*(1+Assumptions!$C$11)^3+Assumptions!$C$16*$I698+Assumptions!$C$6*Assumptions!$C$9*(1+Assumptions!$C$12)^3</f>
        <v>682.2928597</v>
      </c>
      <c r="O698" s="139">
        <f>Assumptions!$C$6*Assumptions!$C$7*(1+$G698-0.05*(1-$J698))^4+Assumptions!$C$6*Assumptions!$C$8*(1+Assumptions!$C$11)^4+Assumptions!$C$16*$J698+Assumptions!$C$6*Assumptions!$C$9*(1+Assumptions!$C$12)^4</f>
        <v>823.0580061</v>
      </c>
      <c r="P698" s="139">
        <f>Assumptions!$C$6*Assumptions!$C$7*(1+$G698-0.05*(1-$K698))^5+Assumptions!$C$6*Assumptions!$C$8*(1+Assumptions!$C$11)^5+Assumptions!$C$16*$K698+Assumptions!$C$6*Assumptions!$C$9*(1+Assumptions!$C$12)^5</f>
        <v>697.8336781</v>
      </c>
      <c r="Q698" s="139">
        <f>($L698*(1-(Assumptions!$C$25+0.06*(1-1))-Assumptions!$C$27)-Assumptions!$C$28)-MAX(0,($L698*(1-(Assumptions!$C$25+0.06*(1-1))-Assumptions!$C$27)-Assumptions!$C$28)*Assumptions!$C$31)+Assumptions!$C$28-Assumptions!$C$29-$L698*Assumptions!$C$30</f>
        <v>92.48766602</v>
      </c>
      <c r="R698" s="139">
        <f>($M698*(1-(Assumptions!$C$25+0.06*(1-$H698))-Assumptions!$C$27)-Assumptions!$C$28)-MAX(0,($M698*(1-(Assumptions!$C$25+0.06*(1-$H698))-Assumptions!$C$27)-Assumptions!$C$28)*Assumptions!$C$31)+Assumptions!$C$28-Assumptions!$C$29-$M698*Assumptions!$C$30</f>
        <v>97.90236729</v>
      </c>
      <c r="S698" s="139">
        <f>($N698*(1-(Assumptions!$C$25+0.06*(1-$I698))-Assumptions!$C$27)-Assumptions!$C$28)-MAX(0,($N698*(1-(Assumptions!$C$25+0.06*(1-$I698))-Assumptions!$C$27)-Assumptions!$C$28)*Assumptions!$C$31)+Assumptions!$C$28-Assumptions!$C$29-$N698*Assumptions!$C$30</f>
        <v>36.92735773</v>
      </c>
      <c r="T698" s="139">
        <f>($O698*(1-(Assumptions!$C$25+0.06*(1-$J698))-Assumptions!$C$27)-Assumptions!$C$28)-MAX(0,($O698*(1-(Assumptions!$C$25+0.06*(1-$J698))-Assumptions!$C$27)-Assumptions!$C$28)*Assumptions!$C$31)+Assumptions!$C$28-Assumptions!$C$29-$O698*Assumptions!$C$30</f>
        <v>109.4574713</v>
      </c>
      <c r="U698" s="139">
        <f>($P698*(1-(Assumptions!$C$25+0.06*(1-$K698))-Assumptions!$C$27)-Assumptions!$C$28)-MAX(0,($P698*(1-(Assumptions!$C$25+0.06*(1-$K698))-Assumptions!$C$27)-Assumptions!$C$28)*Assumptions!$C$31)+Assumptions!$C$28-Assumptions!$C$29-$P698*Assumptions!$C$30</f>
        <v>40.50174597</v>
      </c>
      <c r="V698" s="143">
        <f>(($Q698/(1+$D698)^1+$R698/(1+$D698)^2+$S698/(1+$D698)^3+$T698/(1+$D698)^4+$U698/(1+$D698)^5+$U698*(1+$E698)/($D698-$E698)/(1+$D698)^5)-Assumptions!$C$37)/Assumptions!$C$40/Assumptions!$C$38</f>
        <v>-0.8584302901</v>
      </c>
    </row>
    <row r="699" ht="12.0" customHeight="1">
      <c r="B699" s="139">
        <v>647.0</v>
      </c>
      <c r="C699" s="140">
        <f t="shared" si="6"/>
        <v>0.5178101094</v>
      </c>
      <c r="D699" s="141">
        <f t="shared" si="7"/>
        <v>0.09855285652</v>
      </c>
      <c r="E699" s="141">
        <f t="shared" si="8"/>
        <v>0.0117328071</v>
      </c>
      <c r="F699" s="140">
        <f t="shared" si="9"/>
        <v>0.4764977274</v>
      </c>
      <c r="G699" s="141">
        <f t="shared" si="10"/>
        <v>0.05928644583</v>
      </c>
      <c r="H699" s="142">
        <f t="shared" si="11"/>
        <v>1</v>
      </c>
      <c r="I699" s="142">
        <f t="shared" si="12"/>
        <v>0</v>
      </c>
      <c r="J699" s="142">
        <f t="shared" si="13"/>
        <v>0</v>
      </c>
      <c r="K699" s="142">
        <f t="shared" si="14"/>
        <v>1</v>
      </c>
      <c r="L699" s="139">
        <f>Assumptions!$C$6*Assumptions!$C$7*(1+$G699-0.05*(1-1))^1+Assumptions!$C$6*Assumptions!$C$8*(1+Assumptions!$C$11)^1+Assumptions!$C$16*1+Assumptions!$C$6*Assumptions!$C$9*(1+Assumptions!$C$12)^1</f>
        <v>746.4238177</v>
      </c>
      <c r="M699" s="139">
        <f>Assumptions!$C$6*Assumptions!$C$7*(1+$G699-0.05*(1-$H699))^2+Assumptions!$C$6*Assumptions!$C$8*(1+Assumptions!$C$11)^2+Assumptions!$C$16*$H699+Assumptions!$C$6*Assumptions!$C$9*(1+Assumptions!$C$12)^2</f>
        <v>774.1601048</v>
      </c>
      <c r="N699" s="139">
        <f>Assumptions!$C$6*Assumptions!$C$7*(1+$G699-0.05*(1-$I699))^3+Assumptions!$C$6*Assumptions!$C$8*(1+Assumptions!$C$11)^3+Assumptions!$C$16*$I699+Assumptions!$C$6*Assumptions!$C$9*(1+Assumptions!$C$12)^3</f>
        <v>689.259473</v>
      </c>
      <c r="O699" s="139">
        <f>Assumptions!$C$6*Assumptions!$C$7*(1+$G699-0.05*(1-$J699))^4+Assumptions!$C$6*Assumptions!$C$8*(1+Assumptions!$C$11)^4+Assumptions!$C$16*$J699+Assumptions!$C$6*Assumptions!$C$9*(1+Assumptions!$C$12)^4</f>
        <v>699.3370784</v>
      </c>
      <c r="P699" s="139">
        <f>Assumptions!$C$6*Assumptions!$C$7*(1+$G699-0.05*(1-$K699))^5+Assumptions!$C$6*Assumptions!$C$8*(1+Assumptions!$C$11)^5+Assumptions!$C$16*$K699+Assumptions!$C$6*Assumptions!$C$9*(1+Assumptions!$C$12)^5</f>
        <v>865.9923777</v>
      </c>
      <c r="Q699" s="139">
        <f>($L699*(1-(Assumptions!$C$25+0.06*(1-1))-Assumptions!$C$27)-Assumptions!$C$28)-MAX(0,($L699*(1-(Assumptions!$C$25+0.06*(1-1))-Assumptions!$C$27)-Assumptions!$C$28)*Assumptions!$C$31)+Assumptions!$C$28-Assumptions!$C$29-$L699*Assumptions!$C$30</f>
        <v>92.9811208</v>
      </c>
      <c r="R699" s="139">
        <f>($M699*(1-(Assumptions!$C$25+0.06*(1-$H699))-Assumptions!$C$27)-Assumptions!$C$28)-MAX(0,($M699*(1-(Assumptions!$C$25+0.06*(1-$H699))-Assumptions!$C$27)-Assumptions!$C$28)*Assumptions!$C$31)+Assumptions!$C$28-Assumptions!$C$29-$M699*Assumptions!$C$30</f>
        <v>98.94442254</v>
      </c>
      <c r="S699" s="139">
        <f>($N699*(1-(Assumptions!$C$25+0.06*(1-$I699))-Assumptions!$C$27)-Assumptions!$C$28)-MAX(0,($N699*(1-(Assumptions!$C$25+0.06*(1-$I699))-Assumptions!$C$27)-Assumptions!$C$28)*Assumptions!$C$31)+Assumptions!$C$28-Assumptions!$C$29-$N699*Assumptions!$C$30</f>
        <v>38.52967878</v>
      </c>
      <c r="T699" s="139">
        <f>($O699*(1-(Assumptions!$C$25+0.06*(1-$J699))-Assumptions!$C$27)-Assumptions!$C$28)-MAX(0,($O699*(1-(Assumptions!$C$25+0.06*(1-$J699))-Assumptions!$C$27)-Assumptions!$C$28)*Assumptions!$C$31)+Assumptions!$C$28-Assumptions!$C$29-$O699*Assumptions!$C$30</f>
        <v>40.84752803</v>
      </c>
      <c r="U699" s="139">
        <f>($P699*(1-(Assumptions!$C$25+0.06*(1-$K699))-Assumptions!$C$27)-Assumptions!$C$28)-MAX(0,($P699*(1-(Assumptions!$C$25+0.06*(1-$K699))-Assumptions!$C$27)-Assumptions!$C$28)*Assumptions!$C$31)+Assumptions!$C$28-Assumptions!$C$29-$P699*Assumptions!$C$30</f>
        <v>118.6883612</v>
      </c>
      <c r="V699" s="143">
        <f>(($Q699/(1+$D699)^1+$R699/(1+$D699)^2+$S699/(1+$D699)^3+$T699/(1+$D699)^4+$U699/(1+$D699)^5+$U699*(1+$E699)/($D699-$E699)/(1+$D699)^5)-Assumptions!$C$37)/Assumptions!$C$40/Assumptions!$C$38</f>
        <v>3.67323185</v>
      </c>
    </row>
    <row r="700" ht="12.0" customHeight="1">
      <c r="B700" s="139">
        <v>648.0</v>
      </c>
      <c r="C700" s="140">
        <f t="shared" si="6"/>
        <v>0.02652817008</v>
      </c>
      <c r="D700" s="141">
        <f t="shared" si="7"/>
        <v>0.08799884139</v>
      </c>
      <c r="E700" s="141">
        <f t="shared" si="8"/>
        <v>0.02645942517</v>
      </c>
      <c r="F700" s="140">
        <f t="shared" si="9"/>
        <v>0.3167688705</v>
      </c>
      <c r="G700" s="141">
        <f t="shared" si="10"/>
        <v>0.05387852522</v>
      </c>
      <c r="H700" s="142">
        <f t="shared" si="11"/>
        <v>0</v>
      </c>
      <c r="I700" s="142">
        <f t="shared" si="12"/>
        <v>0</v>
      </c>
      <c r="J700" s="142">
        <f t="shared" si="13"/>
        <v>1</v>
      </c>
      <c r="K700" s="142">
        <f t="shared" si="14"/>
        <v>1</v>
      </c>
      <c r="L700" s="139">
        <f>Assumptions!$C$6*Assumptions!$C$7*(1+$G700-0.05*(1-1))^1+Assumptions!$C$6*Assumptions!$C$8*(1+Assumptions!$C$11)^1+Assumptions!$C$16*1+Assumptions!$C$6*Assumptions!$C$9*(1+Assumptions!$C$12)^1</f>
        <v>744.6035116</v>
      </c>
      <c r="M700" s="139">
        <f>Assumptions!$C$6*Assumptions!$C$7*(1+$G700-0.05*(1-$H700))^2+Assumptions!$C$6*Assumptions!$C$8*(1+Assumptions!$C$11)^2+Assumptions!$C$16*$H700+Assumptions!$C$6*Assumptions!$C$9*(1+Assumptions!$C$12)^2</f>
        <v>675.6814466</v>
      </c>
      <c r="N700" s="139">
        <f>Assumptions!$C$6*Assumptions!$C$7*(1+$G700-0.05*(1-$I700))^3+Assumptions!$C$6*Assumptions!$C$8*(1+Assumptions!$C$11)^3+Assumptions!$C$16*$I700+Assumptions!$C$6*Assumptions!$C$9*(1+Assumptions!$C$12)^3</f>
        <v>683.726412</v>
      </c>
      <c r="O700" s="139">
        <f>Assumptions!$C$6*Assumptions!$C$7*(1+$G700-0.05*(1-$J700))^4+Assumptions!$C$6*Assumptions!$C$8*(1+Assumptions!$C$11)^4+Assumptions!$C$16*$J700+Assumptions!$C$6*Assumptions!$C$9*(1+Assumptions!$C$12)^4</f>
        <v>825.2767131</v>
      </c>
      <c r="P700" s="139">
        <f>Assumptions!$C$6*Assumptions!$C$7*(1+$G700-0.05*(1-$K700))^5+Assumptions!$C$6*Assumptions!$C$8*(1+Assumptions!$C$11)^5+Assumptions!$C$16*$K700+Assumptions!$C$6*Assumptions!$C$9*(1+Assumptions!$C$12)^5</f>
        <v>854.649226</v>
      </c>
      <c r="Q700" s="139">
        <f>($L700*(1-(Assumptions!$C$25+0.06*(1-1))-Assumptions!$C$27)-Assumptions!$C$28)-MAX(0,($L700*(1-(Assumptions!$C$25+0.06*(1-1))-Assumptions!$C$27)-Assumptions!$C$28)*Assumptions!$C$31)+Assumptions!$C$28-Assumptions!$C$29-$L700*Assumptions!$C$30</f>
        <v>92.58975499</v>
      </c>
      <c r="R700" s="139">
        <f>($M700*(1-(Assumptions!$C$25+0.06*(1-$H700))-Assumptions!$C$27)-Assumptions!$C$28)-MAX(0,($M700*(1-(Assumptions!$C$25+0.06*(1-$H700))-Assumptions!$C$27)-Assumptions!$C$28)*Assumptions!$C$31)+Assumptions!$C$28-Assumptions!$C$29-$M700*Assumptions!$C$30</f>
        <v>35.40673273</v>
      </c>
      <c r="S700" s="139">
        <f>($N700*(1-(Assumptions!$C$25+0.06*(1-$I700))-Assumptions!$C$27)-Assumptions!$C$28)-MAX(0,($N700*(1-(Assumptions!$C$25+0.06*(1-$I700))-Assumptions!$C$27)-Assumptions!$C$28)*Assumptions!$C$31)+Assumptions!$C$28-Assumptions!$C$29-$N700*Assumptions!$C$30</f>
        <v>37.25707476</v>
      </c>
      <c r="T700" s="139">
        <f>($O700*(1-(Assumptions!$C$25+0.06*(1-$J700))-Assumptions!$C$27)-Assumptions!$C$28)-MAX(0,($O700*(1-(Assumptions!$C$25+0.06*(1-$J700))-Assumptions!$C$27)-Assumptions!$C$28)*Assumptions!$C$31)+Assumptions!$C$28-Assumptions!$C$29-$O700*Assumptions!$C$30</f>
        <v>109.9344933</v>
      </c>
      <c r="U700" s="139">
        <f>($P700*(1-(Assumptions!$C$25+0.06*(1-$K700))-Assumptions!$C$27)-Assumptions!$C$28)-MAX(0,($P700*(1-(Assumptions!$C$25+0.06*(1-$K700))-Assumptions!$C$27)-Assumptions!$C$28)*Assumptions!$C$31)+Assumptions!$C$28-Assumptions!$C$29-$P700*Assumptions!$C$30</f>
        <v>116.2495836</v>
      </c>
      <c r="V700" s="143">
        <f>(($Q700/(1+$D700)^1+$R700/(1+$D700)^2+$S700/(1+$D700)^3+$T700/(1+$D700)^4+$U700/(1+$D700)^5+$U700*(1+$E700)/($D700-$E700)/(1+$D700)^5)-Assumptions!$C$37)/Assumptions!$C$40/Assumptions!$C$38</f>
        <v>6.858138841</v>
      </c>
    </row>
    <row r="701" ht="12.0" customHeight="1">
      <c r="B701" s="139">
        <v>649.0</v>
      </c>
      <c r="C701" s="140">
        <f t="shared" si="6"/>
        <v>0.7953074407</v>
      </c>
      <c r="D701" s="141">
        <f t="shared" si="7"/>
        <v>0.1042840061</v>
      </c>
      <c r="E701" s="141">
        <f t="shared" si="8"/>
        <v>0.02602747089</v>
      </c>
      <c r="F701" s="140">
        <f t="shared" si="9"/>
        <v>0.146645214</v>
      </c>
      <c r="G701" s="141">
        <f t="shared" si="10"/>
        <v>0.04624688848</v>
      </c>
      <c r="H701" s="142">
        <f t="shared" si="11"/>
        <v>1</v>
      </c>
      <c r="I701" s="142">
        <f t="shared" si="12"/>
        <v>1</v>
      </c>
      <c r="J701" s="142">
        <f t="shared" si="13"/>
        <v>1</v>
      </c>
      <c r="K701" s="142">
        <f t="shared" si="14"/>
        <v>0</v>
      </c>
      <c r="L701" s="139">
        <f>Assumptions!$C$6*Assumptions!$C$7*(1+$G701-0.05*(1-1))^1+Assumptions!$C$6*Assumptions!$C$8*(1+Assumptions!$C$11)^1+Assumptions!$C$16*1+Assumptions!$C$6*Assumptions!$C$9*(1+Assumptions!$C$12)^1</f>
        <v>742.0347027</v>
      </c>
      <c r="M701" s="139">
        <f>Assumptions!$C$6*Assumptions!$C$7*(1+$G701-0.05*(1-$H701))^2+Assumptions!$C$6*Assumptions!$C$8*(1+Assumptions!$C$11)^2+Assumptions!$C$16*$H701+Assumptions!$C$6*Assumptions!$C$9*(1+Assumptions!$C$12)^2</f>
        <v>764.9186769</v>
      </c>
      <c r="N701" s="139">
        <f>Assumptions!$C$6*Assumptions!$C$7*(1+$G701-0.05*(1-$I701))^3+Assumptions!$C$6*Assumptions!$C$8*(1+Assumptions!$C$11)^3+Assumptions!$C$16*$I701+Assumptions!$C$6*Assumptions!$C$9*(1+Assumptions!$C$12)^3</f>
        <v>788.6878035</v>
      </c>
      <c r="O701" s="139">
        <f>Assumptions!$C$6*Assumptions!$C$7*(1+$G701-0.05*(1-$J701))^4+Assumptions!$C$6*Assumptions!$C$8*(1+Assumptions!$C$11)^4+Assumptions!$C$16*$J701+Assumptions!$C$6*Assumptions!$C$9*(1+Assumptions!$C$12)^4</f>
        <v>813.379555</v>
      </c>
      <c r="P701" s="139">
        <f>Assumptions!$C$6*Assumptions!$C$7*(1+$G701-0.05*(1-$K701))^5+Assumptions!$C$6*Assumptions!$C$8*(1+Assumptions!$C$11)^5+Assumptions!$C$16*$K701+Assumptions!$C$6*Assumptions!$C$9*(1+Assumptions!$C$12)^5</f>
        <v>687.3904804</v>
      </c>
      <c r="Q701" s="139">
        <f>($L701*(1-(Assumptions!$C$25+0.06*(1-1))-Assumptions!$C$27)-Assumptions!$C$28)-MAX(0,($L701*(1-(Assumptions!$C$25+0.06*(1-1))-Assumptions!$C$27)-Assumptions!$C$28)*Assumptions!$C$31)+Assumptions!$C$28-Assumptions!$C$29-$L701*Assumptions!$C$30</f>
        <v>92.03746107</v>
      </c>
      <c r="R701" s="139">
        <f>($M701*(1-(Assumptions!$C$25+0.06*(1-$H701))-Assumptions!$C$27)-Assumptions!$C$28)-MAX(0,($M701*(1-(Assumptions!$C$25+0.06*(1-$H701))-Assumptions!$C$27)-Assumptions!$C$28)*Assumptions!$C$31)+Assumptions!$C$28-Assumptions!$C$29-$M701*Assumptions!$C$30</f>
        <v>96.95751553</v>
      </c>
      <c r="S701" s="139">
        <f>($N701*(1-(Assumptions!$C$25+0.06*(1-$I701))-Assumptions!$C$27)-Assumptions!$C$28)-MAX(0,($N701*(1-(Assumptions!$C$25+0.06*(1-$I701))-Assumptions!$C$27)-Assumptions!$C$28)*Assumptions!$C$31)+Assumptions!$C$28-Assumptions!$C$29-$N701*Assumptions!$C$30</f>
        <v>102.0678778</v>
      </c>
      <c r="T701" s="139">
        <f>($O701*(1-(Assumptions!$C$25+0.06*(1-$J701))-Assumptions!$C$27)-Assumptions!$C$28)-MAX(0,($O701*(1-(Assumptions!$C$25+0.06*(1-$J701))-Assumptions!$C$27)-Assumptions!$C$28)*Assumptions!$C$31)+Assumptions!$C$28-Assumptions!$C$29-$O701*Assumptions!$C$30</f>
        <v>107.3766043</v>
      </c>
      <c r="U701" s="139">
        <f>($P701*(1-(Assumptions!$C$25+0.06*(1-$K701))-Assumptions!$C$27)-Assumptions!$C$28)-MAX(0,($P701*(1-(Assumptions!$C$25+0.06*(1-$K701))-Assumptions!$C$27)-Assumptions!$C$28)*Assumptions!$C$31)+Assumptions!$C$28-Assumptions!$C$29-$P701*Assumptions!$C$30</f>
        <v>38.09981049</v>
      </c>
      <c r="V701" s="143">
        <f>(($Q701/(1+$D701)^1+$R701/(1+$D701)^2+$S701/(1+$D701)^3+$T701/(1+$D701)^4+$U701/(1+$D701)^5+$U701*(1+$E701)/($D701-$E701)/(1+$D701)^5)-Assumptions!$C$37)/Assumptions!$C$40/Assumptions!$C$38</f>
        <v>-0.417043323</v>
      </c>
    </row>
    <row r="702" ht="12.0" customHeight="1">
      <c r="B702" s="139">
        <v>650.0</v>
      </c>
      <c r="C702" s="140">
        <f t="shared" si="6"/>
        <v>0.9882647012</v>
      </c>
      <c r="D702" s="141">
        <f t="shared" si="7"/>
        <v>0.1124341663</v>
      </c>
      <c r="E702" s="141">
        <f t="shared" si="8"/>
        <v>0.02025582982</v>
      </c>
      <c r="F702" s="140">
        <f t="shared" si="9"/>
        <v>0.3435514821</v>
      </c>
      <c r="G702" s="141">
        <f t="shared" si="10"/>
        <v>0.05486750224</v>
      </c>
      <c r="H702" s="142">
        <f t="shared" si="11"/>
        <v>1</v>
      </c>
      <c r="I702" s="142">
        <f t="shared" si="12"/>
        <v>1</v>
      </c>
      <c r="J702" s="142">
        <f t="shared" si="13"/>
        <v>1</v>
      </c>
      <c r="K702" s="142">
        <f t="shared" si="14"/>
        <v>0</v>
      </c>
      <c r="L702" s="139">
        <f>Assumptions!$C$6*Assumptions!$C$7*(1+$G702-0.05*(1-1))^1+Assumptions!$C$6*Assumptions!$C$8*(1+Assumptions!$C$11)^1+Assumptions!$C$16*1+Assumptions!$C$6*Assumptions!$C$9*(1+Assumptions!$C$12)^1</f>
        <v>744.9364013</v>
      </c>
      <c r="M702" s="139">
        <f>Assumptions!$C$6*Assumptions!$C$7*(1+$G702-0.05*(1-$H702))^2+Assumptions!$C$6*Assumptions!$C$8*(1+Assumptions!$C$11)^2+Assumptions!$C$16*$H702+Assumptions!$C$6*Assumptions!$C$9*(1+Assumptions!$C$12)^2</f>
        <v>771.0154776</v>
      </c>
      <c r="N702" s="139">
        <f>Assumptions!$C$6*Assumptions!$C$7*(1+$G702-0.05*(1-$I702))^3+Assumptions!$C$6*Assumptions!$C$8*(1+Assumptions!$C$11)^3+Assumptions!$C$16*$I702+Assumptions!$C$6*Assumptions!$C$9*(1+Assumptions!$C$12)^3</f>
        <v>798.2954142</v>
      </c>
      <c r="O702" s="139">
        <f>Assumptions!$C$6*Assumptions!$C$7*(1+$G702-0.05*(1-$J702))^4+Assumptions!$C$6*Assumptions!$C$8*(1+Assumptions!$C$11)^4+Assumptions!$C$16*$J702+Assumptions!$C$6*Assumptions!$C$9*(1+Assumptions!$C$12)^4</f>
        <v>826.8374986</v>
      </c>
      <c r="P702" s="139">
        <f>Assumptions!$C$6*Assumptions!$C$7*(1+$G702-0.05*(1-$K702))^5+Assumptions!$C$6*Assumptions!$C$8*(1+Assumptions!$C$11)^5+Assumptions!$C$16*$K702+Assumptions!$C$6*Assumptions!$C$9*(1+Assumptions!$C$12)^5</f>
        <v>701.9318764</v>
      </c>
      <c r="Q702" s="139">
        <f>($L702*(1-(Assumptions!$C$25+0.06*(1-1))-Assumptions!$C$27)-Assumptions!$C$28)-MAX(0,($L702*(1-(Assumptions!$C$25+0.06*(1-1))-Assumptions!$C$27)-Assumptions!$C$28)*Assumptions!$C$31)+Assumptions!$C$28-Assumptions!$C$29-$L702*Assumptions!$C$30</f>
        <v>92.66132627</v>
      </c>
      <c r="R702" s="139">
        <f>($M702*(1-(Assumptions!$C$25+0.06*(1-$H702))-Assumptions!$C$27)-Assumptions!$C$28)-MAX(0,($M702*(1-(Assumptions!$C$25+0.06*(1-$H702))-Assumptions!$C$27)-Assumptions!$C$28)*Assumptions!$C$31)+Assumptions!$C$28-Assumptions!$C$29-$M702*Assumptions!$C$30</f>
        <v>98.26832767</v>
      </c>
      <c r="S702" s="139">
        <f>($N702*(1-(Assumptions!$C$25+0.06*(1-$I702))-Assumptions!$C$27)-Assumptions!$C$28)-MAX(0,($N702*(1-(Assumptions!$C$25+0.06*(1-$I702))-Assumptions!$C$27)-Assumptions!$C$28)*Assumptions!$C$31)+Assumptions!$C$28-Assumptions!$C$29-$N702*Assumptions!$C$30</f>
        <v>104.133514</v>
      </c>
      <c r="T702" s="139">
        <f>($O702*(1-(Assumptions!$C$25+0.06*(1-$J702))-Assumptions!$C$27)-Assumptions!$C$28)-MAX(0,($O702*(1-(Assumptions!$C$25+0.06*(1-$J702))-Assumptions!$C$27)-Assumptions!$C$28)*Assumptions!$C$31)+Assumptions!$C$28-Assumptions!$C$29-$O702*Assumptions!$C$30</f>
        <v>110.2700622</v>
      </c>
      <c r="U702" s="139">
        <f>($P702*(1-(Assumptions!$C$25+0.06*(1-$K702))-Assumptions!$C$27)-Assumptions!$C$28)-MAX(0,($P702*(1-(Assumptions!$C$25+0.06*(1-$K702))-Assumptions!$C$27)-Assumptions!$C$28)*Assumptions!$C$31)+Assumptions!$C$28-Assumptions!$C$29-$P702*Assumptions!$C$30</f>
        <v>41.44433157</v>
      </c>
      <c r="V702" s="143">
        <f>(($Q702/(1+$D702)^1+$R702/(1+$D702)^2+$S702/(1+$D702)^3+$T702/(1+$D702)^4+$U702/(1+$D702)^5+$U702*(1+$E702)/($D702-$E702)/(1+$D702)^5)-Assumptions!$C$37)/Assumptions!$C$40/Assumptions!$C$38</f>
        <v>-0.6848758035</v>
      </c>
    </row>
    <row r="703" ht="12.0" customHeight="1">
      <c r="B703" s="139">
        <v>651.0</v>
      </c>
      <c r="C703" s="140">
        <f t="shared" si="6"/>
        <v>0.06134244982</v>
      </c>
      <c r="D703" s="141">
        <f t="shared" si="7"/>
        <v>0.08956016343</v>
      </c>
      <c r="E703" s="141">
        <f t="shared" si="8"/>
        <v>0.01206876617</v>
      </c>
      <c r="F703" s="140">
        <f t="shared" si="9"/>
        <v>0.2464238125</v>
      </c>
      <c r="G703" s="141">
        <f t="shared" si="10"/>
        <v>0.05106093214</v>
      </c>
      <c r="H703" s="142">
        <f t="shared" si="11"/>
        <v>0</v>
      </c>
      <c r="I703" s="142">
        <f t="shared" si="12"/>
        <v>0</v>
      </c>
      <c r="J703" s="142">
        <f t="shared" si="13"/>
        <v>1</v>
      </c>
      <c r="K703" s="142">
        <f t="shared" si="14"/>
        <v>0</v>
      </c>
      <c r="L703" s="139">
        <f>Assumptions!$C$6*Assumptions!$C$7*(1+$G703-0.05*(1-1))^1+Assumptions!$C$6*Assumptions!$C$8*(1+Assumptions!$C$11)^1+Assumptions!$C$16*1+Assumptions!$C$6*Assumptions!$C$9*(1+Assumptions!$C$12)^1</f>
        <v>743.6551098</v>
      </c>
      <c r="M703" s="139">
        <f>Assumptions!$C$6*Assumptions!$C$7*(1+$G703-0.05*(1-$H703))^2+Assumptions!$C$6*Assumptions!$C$8*(1+Assumptions!$C$11)^2+Assumptions!$C$16*$H703+Assumptions!$C$6*Assumptions!$C$9*(1+Assumptions!$C$12)^2</f>
        <v>673.7799584</v>
      </c>
      <c r="N703" s="139">
        <f>Assumptions!$C$6*Assumptions!$C$7*(1+$G703-0.05*(1-$I703))^3+Assumptions!$C$6*Assumptions!$C$8*(1+Assumptions!$C$11)^3+Assumptions!$C$16*$I703+Assumptions!$C$6*Assumptions!$C$9*(1+Assumptions!$C$12)^3</f>
        <v>680.8671335</v>
      </c>
      <c r="O703" s="139">
        <f>Assumptions!$C$6*Assumptions!$C$7*(1+$G703-0.05*(1-$J703))^4+Assumptions!$C$6*Assumptions!$C$8*(1+Assumptions!$C$11)^4+Assumptions!$C$16*$J703+Assumptions!$C$6*Assumptions!$C$9*(1+Assumptions!$C$12)^4</f>
        <v>820.8540689</v>
      </c>
      <c r="P703" s="139">
        <f>Assumptions!$C$6*Assumptions!$C$7*(1+$G703-0.05*(1-$K703))^5+Assumptions!$C$6*Assumptions!$C$8*(1+Assumptions!$C$11)^5+Assumptions!$C$16*$K703+Assumptions!$C$6*Assumptions!$C$9*(1+Assumptions!$C$12)^5</f>
        <v>695.4490733</v>
      </c>
      <c r="Q703" s="139">
        <f>($L703*(1-(Assumptions!$C$25+0.06*(1-1))-Assumptions!$C$27)-Assumptions!$C$28)-MAX(0,($L703*(1-(Assumptions!$C$25+0.06*(1-1))-Assumptions!$C$27)-Assumptions!$C$28)*Assumptions!$C$31)+Assumptions!$C$28-Assumptions!$C$29-$L703*Assumptions!$C$30</f>
        <v>92.3858486</v>
      </c>
      <c r="R703" s="139">
        <f>($M703*(1-(Assumptions!$C$25+0.06*(1-$H703))-Assumptions!$C$27)-Assumptions!$C$28)-MAX(0,($M703*(1-(Assumptions!$C$25+0.06*(1-$H703))-Assumptions!$C$27)-Assumptions!$C$28)*Assumptions!$C$31)+Assumptions!$C$28-Assumptions!$C$29-$M703*Assumptions!$C$30</f>
        <v>34.96939043</v>
      </c>
      <c r="S703" s="139">
        <f>($N703*(1-(Assumptions!$C$25+0.06*(1-$I703))-Assumptions!$C$27)-Assumptions!$C$28)-MAX(0,($N703*(1-(Assumptions!$C$25+0.06*(1-$I703))-Assumptions!$C$27)-Assumptions!$C$28)*Assumptions!$C$31)+Assumptions!$C$28-Assumptions!$C$29-$N703*Assumptions!$C$30</f>
        <v>36.5994407</v>
      </c>
      <c r="T703" s="139">
        <f>($O703*(1-(Assumptions!$C$25+0.06*(1-$J703))-Assumptions!$C$27)-Assumptions!$C$28)-MAX(0,($O703*(1-(Assumptions!$C$25+0.06*(1-$J703))-Assumptions!$C$27)-Assumptions!$C$28)*Assumptions!$C$31)+Assumptions!$C$28-Assumptions!$C$29-$O703*Assumptions!$C$30</f>
        <v>108.9836248</v>
      </c>
      <c r="U703" s="139">
        <f>($P703*(1-(Assumptions!$C$25+0.06*(1-$K703))-Assumptions!$C$27)-Assumptions!$C$28)-MAX(0,($P703*(1-(Assumptions!$C$25+0.06*(1-$K703))-Assumptions!$C$27)-Assumptions!$C$28)*Assumptions!$C$31)+Assumptions!$C$28-Assumptions!$C$29-$P703*Assumptions!$C$30</f>
        <v>39.95328685</v>
      </c>
      <c r="V703" s="143">
        <f>(($Q703/(1+$D703)^1+$R703/(1+$D703)^2+$S703/(1+$D703)^3+$T703/(1+$D703)^4+$U703/(1+$D703)^5+$U703*(1+$E703)/($D703-$E703)/(1+$D703)^5)-Assumptions!$C$37)/Assumptions!$C$40/Assumptions!$C$38</f>
        <v>-0.8270766834</v>
      </c>
    </row>
    <row r="704" ht="12.0" customHeight="1">
      <c r="B704" s="139">
        <v>652.0</v>
      </c>
      <c r="C704" s="140">
        <f t="shared" si="6"/>
        <v>0.7876300036</v>
      </c>
      <c r="D704" s="141">
        <f t="shared" si="7"/>
        <v>0.1040848927</v>
      </c>
      <c r="E704" s="141">
        <f t="shared" si="8"/>
        <v>0.01224909339</v>
      </c>
      <c r="F704" s="140">
        <f t="shared" si="9"/>
        <v>0.06659223859</v>
      </c>
      <c r="G704" s="141">
        <f t="shared" si="10"/>
        <v>0.04094833455</v>
      </c>
      <c r="H704" s="142">
        <f t="shared" si="11"/>
        <v>1</v>
      </c>
      <c r="I704" s="142">
        <f t="shared" si="12"/>
        <v>0</v>
      </c>
      <c r="J704" s="142">
        <f t="shared" si="13"/>
        <v>0</v>
      </c>
      <c r="K704" s="142">
        <f t="shared" si="14"/>
        <v>0</v>
      </c>
      <c r="L704" s="139">
        <f>Assumptions!$C$6*Assumptions!$C$7*(1+$G704-0.05*(1-1))^1+Assumptions!$C$6*Assumptions!$C$8*(1+Assumptions!$C$11)^1+Assumptions!$C$16*1+Assumptions!$C$6*Assumptions!$C$9*(1+Assumptions!$C$12)^1</f>
        <v>740.2512094</v>
      </c>
      <c r="M704" s="139">
        <f>Assumptions!$C$6*Assumptions!$C$7*(1+$G704-0.05*(1-$H704))^2+Assumptions!$C$6*Assumptions!$C$8*(1+Assumptions!$C$11)^2+Assumptions!$C$16*$H704+Assumptions!$C$6*Assumptions!$C$9*(1+Assumptions!$C$12)^2</f>
        <v>761.1961783</v>
      </c>
      <c r="N704" s="139">
        <f>Assumptions!$C$6*Assumptions!$C$7*(1+$G704-0.05*(1-$I704))^3+Assumptions!$C$6*Assumptions!$C$8*(1+Assumptions!$C$11)^3+Assumptions!$C$16*$I704+Assumptions!$C$6*Assumptions!$C$9*(1+Assumptions!$C$12)^3</f>
        <v>670.7367814</v>
      </c>
      <c r="O704" s="139">
        <f>Assumptions!$C$6*Assumptions!$C$7*(1+$G704-0.05*(1-$J704))^4+Assumptions!$C$6*Assumptions!$C$8*(1+Assumptions!$C$11)^4+Assumptions!$C$16*$J704+Assumptions!$C$6*Assumptions!$C$9*(1+Assumptions!$C$12)^4</f>
        <v>674.6358731</v>
      </c>
      <c r="P704" s="139">
        <f>Assumptions!$C$6*Assumptions!$C$7*(1+$G704-0.05*(1-$K704))^5+Assumptions!$C$6*Assumptions!$C$8*(1+Assumptions!$C$11)^5+Assumptions!$C$16*$K704+Assumptions!$C$6*Assumptions!$C$9*(1+Assumptions!$C$12)^5</f>
        <v>678.6990791</v>
      </c>
      <c r="Q704" s="139">
        <f>($L704*(1-(Assumptions!$C$25+0.06*(1-1))-Assumptions!$C$27)-Assumptions!$C$28)-MAX(0,($L704*(1-(Assumptions!$C$25+0.06*(1-1))-Assumptions!$C$27)-Assumptions!$C$28)*Assumptions!$C$31)+Assumptions!$C$28-Assumptions!$C$29-$L704*Assumptions!$C$30</f>
        <v>91.65401002</v>
      </c>
      <c r="R704" s="139">
        <f>($M704*(1-(Assumptions!$C$25+0.06*(1-$H704))-Assumptions!$C$27)-Assumptions!$C$28)-MAX(0,($M704*(1-(Assumptions!$C$25+0.06*(1-$H704))-Assumptions!$C$27)-Assumptions!$C$28)*Assumptions!$C$31)+Assumptions!$C$28-Assumptions!$C$29-$M704*Assumptions!$C$30</f>
        <v>96.15717833</v>
      </c>
      <c r="S704" s="139">
        <f>($N704*(1-(Assumptions!$C$25+0.06*(1-$I704))-Assumptions!$C$27)-Assumptions!$C$28)-MAX(0,($N704*(1-(Assumptions!$C$25+0.06*(1-$I704))-Assumptions!$C$27)-Assumptions!$C$28)*Assumptions!$C$31)+Assumptions!$C$28-Assumptions!$C$29-$N704*Assumptions!$C$30</f>
        <v>34.26945972</v>
      </c>
      <c r="T704" s="139">
        <f>($O704*(1-(Assumptions!$C$25+0.06*(1-$J704))-Assumptions!$C$27)-Assumptions!$C$28)-MAX(0,($O704*(1-(Assumptions!$C$25+0.06*(1-$J704))-Assumptions!$C$27)-Assumptions!$C$28)*Assumptions!$C$31)+Assumptions!$C$28-Assumptions!$C$29-$O704*Assumptions!$C$30</f>
        <v>35.16625081</v>
      </c>
      <c r="U704" s="139">
        <f>($P704*(1-(Assumptions!$C$25+0.06*(1-$K704))-Assumptions!$C$27)-Assumptions!$C$28)-MAX(0,($P704*(1-(Assumptions!$C$25+0.06*(1-$K704))-Assumptions!$C$27)-Assumptions!$C$28)*Assumptions!$C$31)+Assumptions!$C$28-Assumptions!$C$29-$P704*Assumptions!$C$30</f>
        <v>36.10078818</v>
      </c>
      <c r="V704" s="143">
        <f>(($Q704/(1+$D704)^1+$R704/(1+$D704)^2+$S704/(1+$D704)^3+$T704/(1+$D704)^4+$U704/(1+$D704)^5+$U704*(1+$E704)/($D704-$E704)/(1+$D704)^5)-Assumptions!$C$37)/Assumptions!$C$40/Assumptions!$C$38</f>
        <v>-1.686706652</v>
      </c>
    </row>
    <row r="705" ht="12.0" customHeight="1">
      <c r="B705" s="139">
        <v>653.0</v>
      </c>
      <c r="C705" s="140">
        <f t="shared" si="6"/>
        <v>0.6869501338</v>
      </c>
      <c r="D705" s="141">
        <f t="shared" si="7"/>
        <v>0.1017477936</v>
      </c>
      <c r="E705" s="141">
        <f t="shared" si="8"/>
        <v>0.02959486264</v>
      </c>
      <c r="F705" s="140">
        <f t="shared" si="9"/>
        <v>0.4866455522</v>
      </c>
      <c r="G705" s="141">
        <f t="shared" si="10"/>
        <v>0.05959665511</v>
      </c>
      <c r="H705" s="142">
        <f t="shared" si="11"/>
        <v>1</v>
      </c>
      <c r="I705" s="142">
        <f t="shared" si="12"/>
        <v>1</v>
      </c>
      <c r="J705" s="142">
        <f t="shared" si="13"/>
        <v>0</v>
      </c>
      <c r="K705" s="142">
        <f t="shared" si="14"/>
        <v>1</v>
      </c>
      <c r="L705" s="139">
        <f>Assumptions!$C$6*Assumptions!$C$7*(1+$G705-0.05*(1-1))^1+Assumptions!$C$6*Assumptions!$C$8*(1+Assumptions!$C$11)^1+Assumptions!$C$16*1+Assumptions!$C$6*Assumptions!$C$9*(1+Assumptions!$C$12)^1</f>
        <v>746.5282341</v>
      </c>
      <c r="M705" s="139">
        <f>Assumptions!$C$6*Assumptions!$C$7*(1+$G705-0.05*(1-$H705))^2+Assumptions!$C$6*Assumptions!$C$8*(1+Assumptions!$C$11)^2+Assumptions!$C$16*$H705+Assumptions!$C$6*Assumptions!$C$9*(1+Assumptions!$C$12)^2</f>
        <v>774.3813511</v>
      </c>
      <c r="N705" s="139">
        <f>Assumptions!$C$6*Assumptions!$C$7*(1+$G705-0.05*(1-$I705))^3+Assumptions!$C$6*Assumptions!$C$8*(1+Assumptions!$C$11)^3+Assumptions!$C$16*$I705+Assumptions!$C$6*Assumptions!$C$9*(1+Assumptions!$C$12)^3</f>
        <v>803.6331873</v>
      </c>
      <c r="O705" s="139">
        <f>Assumptions!$C$6*Assumptions!$C$7*(1+$G705-0.05*(1-$J705))^4+Assumptions!$C$6*Assumptions!$C$8*(1+Assumptions!$C$11)^4+Assumptions!$C$16*$J705+Assumptions!$C$6*Assumptions!$C$9*(1+Assumptions!$C$12)^4</f>
        <v>699.7666865</v>
      </c>
      <c r="P705" s="139">
        <f>Assumptions!$C$6*Assumptions!$C$7*(1+$G705-0.05*(1-$K705))^5+Assumptions!$C$6*Assumptions!$C$8*(1+Assumptions!$C$11)^5+Assumptions!$C$16*$K705+Assumptions!$C$6*Assumptions!$C$9*(1+Assumptions!$C$12)^5</f>
        <v>866.6501066</v>
      </c>
      <c r="Q705" s="139">
        <f>($L705*(1-(Assumptions!$C$25+0.06*(1-1))-Assumptions!$C$27)-Assumptions!$C$28)-MAX(0,($L705*(1-(Assumptions!$C$25+0.06*(1-1))-Assumptions!$C$27)-Assumptions!$C$28)*Assumptions!$C$31)+Assumptions!$C$28-Assumptions!$C$29-$L705*Assumptions!$C$30</f>
        <v>93.00357033</v>
      </c>
      <c r="R705" s="139">
        <f>($M705*(1-(Assumptions!$C$25+0.06*(1-$H705))-Assumptions!$C$27)-Assumptions!$C$28)-MAX(0,($M705*(1-(Assumptions!$C$25+0.06*(1-$H705))-Assumptions!$C$27)-Assumptions!$C$28)*Assumptions!$C$31)+Assumptions!$C$28-Assumptions!$C$29-$M705*Assumptions!$C$30</f>
        <v>98.99199048</v>
      </c>
      <c r="S705" s="139">
        <f>($N705*(1-(Assumptions!$C$25+0.06*(1-$I705))-Assumptions!$C$27)-Assumptions!$C$28)-MAX(0,($N705*(1-(Assumptions!$C$25+0.06*(1-$I705))-Assumptions!$C$27)-Assumptions!$C$28)*Assumptions!$C$31)+Assumptions!$C$28-Assumptions!$C$29-$N705*Assumptions!$C$30</f>
        <v>105.2811353</v>
      </c>
      <c r="T705" s="139">
        <f>($O705*(1-(Assumptions!$C$25+0.06*(1-$J705))-Assumptions!$C$27)-Assumptions!$C$28)-MAX(0,($O705*(1-(Assumptions!$C$25+0.06*(1-$J705))-Assumptions!$C$27)-Assumptions!$C$28)*Assumptions!$C$31)+Assumptions!$C$28-Assumptions!$C$29-$O705*Assumptions!$C$30</f>
        <v>40.94633789</v>
      </c>
      <c r="U705" s="139">
        <f>($P705*(1-(Assumptions!$C$25+0.06*(1-$K705))-Assumptions!$C$27)-Assumptions!$C$28)-MAX(0,($P705*(1-(Assumptions!$C$25+0.06*(1-$K705))-Assumptions!$C$27)-Assumptions!$C$28)*Assumptions!$C$31)+Assumptions!$C$28-Assumptions!$C$29-$P705*Assumptions!$C$30</f>
        <v>118.8297729</v>
      </c>
      <c r="V705" s="143">
        <f>(($Q705/(1+$D705)^1+$R705/(1+$D705)^2+$S705/(1+$D705)^3+$T705/(1+$D705)^4+$U705/(1+$D705)^5+$U705*(1+$E705)/($D705-$E705)/(1+$D705)^5)-Assumptions!$C$37)/Assumptions!$C$40/Assumptions!$C$38</f>
        <v>5.451260592</v>
      </c>
    </row>
    <row r="706" ht="12.0" customHeight="1">
      <c r="B706" s="139">
        <v>654.0</v>
      </c>
      <c r="C706" s="140">
        <f t="shared" si="6"/>
        <v>0.07819287409</v>
      </c>
      <c r="D706" s="141">
        <f t="shared" si="7"/>
        <v>0.09014853225</v>
      </c>
      <c r="E706" s="141">
        <f t="shared" si="8"/>
        <v>0.01093486558</v>
      </c>
      <c r="F706" s="140">
        <f t="shared" si="9"/>
        <v>0.4255246349</v>
      </c>
      <c r="G706" s="141">
        <f t="shared" si="10"/>
        <v>0.0576756995</v>
      </c>
      <c r="H706" s="142">
        <f t="shared" si="11"/>
        <v>0</v>
      </c>
      <c r="I706" s="142">
        <f t="shared" si="12"/>
        <v>1</v>
      </c>
      <c r="J706" s="142">
        <f t="shared" si="13"/>
        <v>0</v>
      </c>
      <c r="K706" s="142">
        <f t="shared" si="14"/>
        <v>0</v>
      </c>
      <c r="L706" s="139">
        <f>Assumptions!$C$6*Assumptions!$C$7*(1+$G706-0.05*(1-1))^1+Assumptions!$C$6*Assumptions!$C$8*(1+Assumptions!$C$11)^1+Assumptions!$C$16*1+Assumptions!$C$6*Assumptions!$C$9*(1+Assumptions!$C$12)^1</f>
        <v>745.8816405</v>
      </c>
      <c r="M706" s="139">
        <f>Assumptions!$C$6*Assumptions!$C$7*(1+$G706-0.05*(1-$H706))^2+Assumptions!$C$6*Assumptions!$C$8*(1+Assumptions!$C$11)^2+Assumptions!$C$16*$H706+Assumptions!$C$6*Assumptions!$C$9*(1+Assumptions!$C$12)^2</f>
        <v>678.2524722</v>
      </c>
      <c r="N706" s="139">
        <f>Assumptions!$C$6*Assumptions!$C$7*(1+$G706-0.05*(1-$I706))^3+Assumptions!$C$6*Assumptions!$C$8*(1+Assumptions!$C$11)^3+Assumptions!$C$16*$I706+Assumptions!$C$6*Assumptions!$C$9*(1+Assumptions!$C$12)^3</f>
        <v>801.4592536</v>
      </c>
      <c r="O706" s="139">
        <f>Assumptions!$C$6*Assumptions!$C$7*(1+$G706-0.05*(1-$J706))^4+Assumptions!$C$6*Assumptions!$C$8*(1+Assumptions!$C$11)^4+Assumptions!$C$16*$J706+Assumptions!$C$6*Assumptions!$C$9*(1+Assumptions!$C$12)^4</f>
        <v>697.1127199</v>
      </c>
      <c r="P706" s="139">
        <f>Assumptions!$C$6*Assumptions!$C$7*(1+$G706-0.05*(1-$K706))^5+Assumptions!$C$6*Assumptions!$C$8*(1+Assumptions!$C$11)^5+Assumptions!$C$16*$K706+Assumptions!$C$6*Assumptions!$C$9*(1+Assumptions!$C$12)^5</f>
        <v>706.7777745</v>
      </c>
      <c r="Q706" s="139">
        <f>($L706*(1-(Assumptions!$C$25+0.06*(1-1))-Assumptions!$C$27)-Assumptions!$C$28)-MAX(0,($L706*(1-(Assumptions!$C$25+0.06*(1-1))-Assumptions!$C$27)-Assumptions!$C$28)*Assumptions!$C$31)+Assumptions!$C$28-Assumptions!$C$29-$L706*Assumptions!$C$30</f>
        <v>92.8645527</v>
      </c>
      <c r="R706" s="139">
        <f>($M706*(1-(Assumptions!$C$25+0.06*(1-$H706))-Assumptions!$C$27)-Assumptions!$C$28)-MAX(0,($M706*(1-(Assumptions!$C$25+0.06*(1-$H706))-Assumptions!$C$27)-Assumptions!$C$28)*Assumptions!$C$31)+Assumptions!$C$28-Assumptions!$C$29-$M706*Assumptions!$C$30</f>
        <v>35.99806859</v>
      </c>
      <c r="S706" s="139">
        <f>($N706*(1-(Assumptions!$C$25+0.06*(1-$I706))-Assumptions!$C$27)-Assumptions!$C$28)-MAX(0,($N706*(1-(Assumptions!$C$25+0.06*(1-$I706))-Assumptions!$C$27)-Assumptions!$C$28)*Assumptions!$C$31)+Assumptions!$C$28-Assumptions!$C$29-$N706*Assumptions!$C$30</f>
        <v>104.8137395</v>
      </c>
      <c r="T706" s="139">
        <f>($O706*(1-(Assumptions!$C$25+0.06*(1-$J706))-Assumptions!$C$27)-Assumptions!$C$28)-MAX(0,($O706*(1-(Assumptions!$C$25+0.06*(1-$J706))-Assumptions!$C$27)-Assumptions!$C$28)*Assumptions!$C$31)+Assumptions!$C$28-Assumptions!$C$29-$O706*Assumptions!$C$30</f>
        <v>40.33592557</v>
      </c>
      <c r="U706" s="139">
        <f>($P706*(1-(Assumptions!$C$25+0.06*(1-$K706))-Assumptions!$C$27)-Assumptions!$C$28)-MAX(0,($P706*(1-(Assumptions!$C$25+0.06*(1-$K706))-Assumptions!$C$27)-Assumptions!$C$28)*Assumptions!$C$31)+Assumptions!$C$28-Assumptions!$C$29-$P706*Assumptions!$C$30</f>
        <v>42.55888814</v>
      </c>
      <c r="V706" s="143">
        <f>(($Q706/(1+$D706)^1+$R706/(1+$D706)^2+$S706/(1+$D706)^3+$T706/(1+$D706)^4+$U706/(1+$D706)^5+$U706*(1+$E706)/($D706-$E706)/(1+$D706)^5)-Assumptions!$C$37)/Assumptions!$C$40/Assumptions!$C$38</f>
        <v>-0.6739215474</v>
      </c>
    </row>
    <row r="707" ht="12.0" customHeight="1">
      <c r="B707" s="139">
        <v>655.0</v>
      </c>
      <c r="C707" s="140">
        <f t="shared" si="6"/>
        <v>0.3167973016</v>
      </c>
      <c r="D707" s="141">
        <f t="shared" si="7"/>
        <v>0.0953631214</v>
      </c>
      <c r="E707" s="141">
        <f t="shared" si="8"/>
        <v>0.01553863325</v>
      </c>
      <c r="F707" s="140">
        <f t="shared" si="9"/>
        <v>0.3031874771</v>
      </c>
      <c r="G707" s="141">
        <f t="shared" si="10"/>
        <v>0.05336102435</v>
      </c>
      <c r="H707" s="142">
        <f t="shared" si="11"/>
        <v>1</v>
      </c>
      <c r="I707" s="142">
        <f t="shared" si="12"/>
        <v>1</v>
      </c>
      <c r="J707" s="142">
        <f t="shared" si="13"/>
        <v>1</v>
      </c>
      <c r="K707" s="142">
        <f t="shared" si="14"/>
        <v>0</v>
      </c>
      <c r="L707" s="139">
        <f>Assumptions!$C$6*Assumptions!$C$7*(1+$G707-0.05*(1-1))^1+Assumptions!$C$6*Assumptions!$C$8*(1+Assumptions!$C$11)^1+Assumptions!$C$16*1+Assumptions!$C$6*Assumptions!$C$9*(1+Assumptions!$C$12)^1</f>
        <v>744.4293208</v>
      </c>
      <c r="M707" s="139">
        <f>Assumptions!$C$6*Assumptions!$C$7*(1+$G707-0.05*(1-$H707))^2+Assumptions!$C$6*Assumptions!$C$8*(1+Assumptions!$C$11)^2+Assumptions!$C$16*$H707+Assumptions!$C$6*Assumptions!$C$9*(1+Assumptions!$C$12)^2</f>
        <v>769.9464361</v>
      </c>
      <c r="N707" s="139">
        <f>Assumptions!$C$6*Assumptions!$C$7*(1+$G707-0.05*(1-$I707))^3+Assumptions!$C$6*Assumptions!$C$8*(1+Assumptions!$C$11)^3+Assumptions!$C$16*$I707+Assumptions!$C$6*Assumptions!$C$9*(1+Assumptions!$C$12)^3</f>
        <v>796.6050761</v>
      </c>
      <c r="O707" s="139">
        <f>Assumptions!$C$6*Assumptions!$C$7*(1+$G707-0.05*(1-$J707))^4+Assumptions!$C$6*Assumptions!$C$8*(1+Assumptions!$C$11)^4+Assumptions!$C$16*$J707+Assumptions!$C$6*Assumptions!$C$9*(1+Assumptions!$C$12)^4</f>
        <v>824.4617518</v>
      </c>
      <c r="P707" s="139">
        <f>Assumptions!$C$6*Assumptions!$C$7*(1+$G707-0.05*(1-$K707))^5+Assumptions!$C$6*Assumptions!$C$8*(1+Assumptions!$C$11)^5+Assumptions!$C$16*$K707+Assumptions!$C$6*Assumptions!$C$9*(1+Assumptions!$C$12)^5</f>
        <v>699.3544877</v>
      </c>
      <c r="Q707" s="139">
        <f>($L707*(1-(Assumptions!$C$25+0.06*(1-1))-Assumptions!$C$27)-Assumptions!$C$28)-MAX(0,($L707*(1-(Assumptions!$C$25+0.06*(1-1))-Assumptions!$C$27)-Assumptions!$C$28)*Assumptions!$C$31)+Assumptions!$C$28-Assumptions!$C$29-$L707*Assumptions!$C$30</f>
        <v>92.55230397</v>
      </c>
      <c r="R707" s="139">
        <f>($M707*(1-(Assumptions!$C$25+0.06*(1-$H707))-Assumptions!$C$27)-Assumptions!$C$28)-MAX(0,($M707*(1-(Assumptions!$C$25+0.06*(1-$H707))-Assumptions!$C$27)-Assumptions!$C$28)*Assumptions!$C$31)+Assumptions!$C$28-Assumptions!$C$29-$M707*Assumptions!$C$30</f>
        <v>98.03848376</v>
      </c>
      <c r="S707" s="139">
        <f>($N707*(1-(Assumptions!$C$25+0.06*(1-$I707))-Assumptions!$C$27)-Assumptions!$C$28)-MAX(0,($N707*(1-(Assumptions!$C$25+0.06*(1-$I707))-Assumptions!$C$27)-Assumptions!$C$28)*Assumptions!$C$31)+Assumptions!$C$28-Assumptions!$C$29-$N707*Assumptions!$C$30</f>
        <v>103.7700914</v>
      </c>
      <c r="T707" s="139">
        <f>($O707*(1-(Assumptions!$C$25+0.06*(1-$J707))-Assumptions!$C$27)-Assumptions!$C$28)-MAX(0,($O707*(1-(Assumptions!$C$25+0.06*(1-$J707))-Assumptions!$C$27)-Assumptions!$C$28)*Assumptions!$C$31)+Assumptions!$C$28-Assumptions!$C$29-$O707*Assumptions!$C$30</f>
        <v>109.7592766</v>
      </c>
      <c r="U707" s="139">
        <f>($P707*(1-(Assumptions!$C$25+0.06*(1-$K707))-Assumptions!$C$27)-Assumptions!$C$28)-MAX(0,($P707*(1-(Assumptions!$C$25+0.06*(1-$K707))-Assumptions!$C$27)-Assumptions!$C$28)*Assumptions!$C$31)+Assumptions!$C$28-Assumptions!$C$29-$P707*Assumptions!$C$30</f>
        <v>40.85153218</v>
      </c>
      <c r="V707" s="143">
        <f>(($Q707/(1+$D707)^1+$R707/(1+$D707)^2+$S707/(1+$D707)^3+$T707/(1+$D707)^4+$U707/(1+$D707)^5+$U707*(1+$E707)/($D707-$E707)/(1+$D707)^5)-Assumptions!$C$37)/Assumptions!$C$40/Assumptions!$C$38</f>
        <v>-0.1154317696</v>
      </c>
    </row>
    <row r="708" ht="12.0" customHeight="1">
      <c r="B708" s="139">
        <v>656.0</v>
      </c>
      <c r="C708" s="140">
        <f t="shared" si="6"/>
        <v>0.4184463651</v>
      </c>
      <c r="D708" s="141">
        <f t="shared" si="7"/>
        <v>0.09693756414</v>
      </c>
      <c r="E708" s="141">
        <f t="shared" si="8"/>
        <v>0.01455898706</v>
      </c>
      <c r="F708" s="140">
        <f t="shared" si="9"/>
        <v>0.068810139</v>
      </c>
      <c r="G708" s="141">
        <f t="shared" si="10"/>
        <v>0.04112916215</v>
      </c>
      <c r="H708" s="142">
        <f t="shared" si="11"/>
        <v>0</v>
      </c>
      <c r="I708" s="142">
        <f t="shared" si="12"/>
        <v>1</v>
      </c>
      <c r="J708" s="142">
        <f t="shared" si="13"/>
        <v>1</v>
      </c>
      <c r="K708" s="142">
        <f t="shared" si="14"/>
        <v>1</v>
      </c>
      <c r="L708" s="139">
        <f>Assumptions!$C$6*Assumptions!$C$7*(1+$G708-0.05*(1-1))^1+Assumptions!$C$6*Assumptions!$C$8*(1+Assumptions!$C$11)^1+Assumptions!$C$16*1+Assumptions!$C$6*Assumptions!$C$9*(1+Assumptions!$C$12)^1</f>
        <v>740.312076</v>
      </c>
      <c r="M708" s="139">
        <f>Assumptions!$C$6*Assumptions!$C$7*(1+$G708-0.05*(1-$H708))^2+Assumptions!$C$6*Assumptions!$C$8*(1+Assumptions!$C$11)^2+Assumptions!$C$16*$H708+Assumptions!$C$6*Assumptions!$C$9*(1+Assumptions!$C$12)^2</f>
        <v>667.1199996</v>
      </c>
      <c r="N708" s="139">
        <f>Assumptions!$C$6*Assumptions!$C$7*(1+$G708-0.05*(1-$I708))^3+Assumptions!$C$6*Assumptions!$C$8*(1+Assumptions!$C$11)^3+Assumptions!$C$16*$I708+Assumptions!$C$6*Assumptions!$C$9*(1+Assumptions!$C$12)^3</f>
        <v>783.0584996</v>
      </c>
      <c r="O708" s="139">
        <f>Assumptions!$C$6*Assumptions!$C$7*(1+$G708-0.05*(1-$J708))^4+Assumptions!$C$6*Assumptions!$C$8*(1+Assumptions!$C$11)^4+Assumptions!$C$16*$J708+Assumptions!$C$6*Assumptions!$C$9*(1+Assumptions!$C$12)^4</f>
        <v>805.5458741</v>
      </c>
      <c r="P708" s="139">
        <f>Assumptions!$C$6*Assumptions!$C$7*(1+$G708-0.05*(1-$K708))^5+Assumptions!$C$6*Assumptions!$C$8*(1+Assumptions!$C$11)^5+Assumptions!$C$16*$K708+Assumptions!$C$6*Assumptions!$C$9*(1+Assumptions!$C$12)^5</f>
        <v>828.8131072</v>
      </c>
      <c r="Q708" s="139">
        <f>($L708*(1-(Assumptions!$C$25+0.06*(1-1))-Assumptions!$C$27)-Assumptions!$C$28)-MAX(0,($L708*(1-(Assumptions!$C$25+0.06*(1-1))-Assumptions!$C$27)-Assumptions!$C$28)*Assumptions!$C$31)+Assumptions!$C$28-Assumptions!$C$29-$L708*Assumptions!$C$30</f>
        <v>91.66709634</v>
      </c>
      <c r="R708" s="139">
        <f>($M708*(1-(Assumptions!$C$25+0.06*(1-$H708))-Assumptions!$C$27)-Assumptions!$C$28)-MAX(0,($M708*(1-(Assumptions!$C$25+0.06*(1-$H708))-Assumptions!$C$27)-Assumptions!$C$28)*Assumptions!$C$31)+Assumptions!$C$28-Assumptions!$C$29-$M708*Assumptions!$C$30</f>
        <v>33.43759991</v>
      </c>
      <c r="S708" s="139">
        <f>($N708*(1-(Assumptions!$C$25+0.06*(1-$I708))-Assumptions!$C$27)-Assumptions!$C$28)-MAX(0,($N708*(1-(Assumptions!$C$25+0.06*(1-$I708))-Assumptions!$C$27)-Assumptions!$C$28)*Assumptions!$C$31)+Assumptions!$C$28-Assumptions!$C$29-$N708*Assumptions!$C$30</f>
        <v>100.8575774</v>
      </c>
      <c r="T708" s="139">
        <f>($O708*(1-(Assumptions!$C$25+0.06*(1-$J708))-Assumptions!$C$27)-Assumptions!$C$28)-MAX(0,($O708*(1-(Assumptions!$C$25+0.06*(1-$J708))-Assumptions!$C$27)-Assumptions!$C$28)*Assumptions!$C$31)+Assumptions!$C$28-Assumptions!$C$29-$O708*Assumptions!$C$30</f>
        <v>105.6923629</v>
      </c>
      <c r="U708" s="139">
        <f>($P708*(1-(Assumptions!$C$25+0.06*(1-$K708))-Assumptions!$C$27)-Assumptions!$C$28)-MAX(0,($P708*(1-(Assumptions!$C$25+0.06*(1-$K708))-Assumptions!$C$27)-Assumptions!$C$28)*Assumptions!$C$31)+Assumptions!$C$28-Assumptions!$C$29-$P708*Assumptions!$C$30</f>
        <v>110.694818</v>
      </c>
      <c r="V708" s="143">
        <f>(($Q708/(1+$D708)^1+$R708/(1+$D708)^2+$S708/(1+$D708)^3+$T708/(1+$D708)^4+$U708/(1+$D708)^5+$U708*(1+$E708)/($D708-$E708)/(1+$D708)^5)-Assumptions!$C$37)/Assumptions!$C$40/Assumptions!$C$38</f>
        <v>3.879711521</v>
      </c>
    </row>
    <row r="709" ht="12.0" customHeight="1">
      <c r="B709" s="139">
        <v>657.0</v>
      </c>
      <c r="C709" s="140">
        <f t="shared" si="6"/>
        <v>0.1518186844</v>
      </c>
      <c r="D709" s="141">
        <f t="shared" si="7"/>
        <v>0.09217401798</v>
      </c>
      <c r="E709" s="141">
        <f t="shared" si="8"/>
        <v>0.02584663211</v>
      </c>
      <c r="F709" s="140">
        <f t="shared" si="9"/>
        <v>0.2008676129</v>
      </c>
      <c r="G709" s="141">
        <f t="shared" si="10"/>
        <v>0.04901477592</v>
      </c>
      <c r="H709" s="142">
        <f t="shared" si="11"/>
        <v>1</v>
      </c>
      <c r="I709" s="142">
        <f t="shared" si="12"/>
        <v>1</v>
      </c>
      <c r="J709" s="142">
        <f t="shared" si="13"/>
        <v>1</v>
      </c>
      <c r="K709" s="142">
        <f t="shared" si="14"/>
        <v>1</v>
      </c>
      <c r="L709" s="139">
        <f>Assumptions!$C$6*Assumptions!$C$7*(1+$G709-0.05*(1-1))^1+Assumptions!$C$6*Assumptions!$C$8*(1+Assumptions!$C$11)^1+Assumptions!$C$16*1+Assumptions!$C$6*Assumptions!$C$9*(1+Assumptions!$C$12)^1</f>
        <v>742.9663736</v>
      </c>
      <c r="M709" s="139">
        <f>Assumptions!$C$6*Assumptions!$C$7*(1+$G709-0.05*(1-$H709))^2+Assumptions!$C$6*Assumptions!$C$8*(1+Assumptions!$C$11)^2+Assumptions!$C$16*$H709+Assumptions!$C$6*Assumptions!$C$9*(1+Assumptions!$C$12)^2</f>
        <v>766.8707712</v>
      </c>
      <c r="N709" s="139">
        <f>Assumptions!$C$6*Assumptions!$C$7*(1+$G709-0.05*(1-$I709))^3+Assumptions!$C$6*Assumptions!$C$8*(1+Assumptions!$C$11)^3+Assumptions!$C$16*$I709+Assumptions!$C$6*Assumptions!$C$9*(1+Assumptions!$C$12)^3</f>
        <v>791.7554167</v>
      </c>
      <c r="O709" s="139">
        <f>Assumptions!$C$6*Assumptions!$C$7*(1+$G709-0.05*(1-$J709))^4+Assumptions!$C$6*Assumptions!$C$8*(1+Assumptions!$C$11)^4+Assumptions!$C$16*$J709+Assumptions!$C$6*Assumptions!$C$9*(1+Assumptions!$C$12)^4</f>
        <v>817.6645281</v>
      </c>
      <c r="P709" s="139">
        <f>Assumptions!$C$6*Assumptions!$C$7*(1+$G709-0.05*(1-$K709))^5+Assumptions!$C$6*Assumptions!$C$8*(1+Assumptions!$C$11)^5+Assumptions!$C$16*$K709+Assumptions!$C$6*Assumptions!$C$9*(1+Assumptions!$C$12)^5</f>
        <v>844.6444144</v>
      </c>
      <c r="Q709" s="139">
        <f>($L709*(1-(Assumptions!$C$25+0.06*(1-1))-Assumptions!$C$27)-Assumptions!$C$28)-MAX(0,($L709*(1-(Assumptions!$C$25+0.06*(1-1))-Assumptions!$C$27)-Assumptions!$C$28)*Assumptions!$C$31)+Assumptions!$C$28-Assumptions!$C$29-$L709*Assumptions!$C$30</f>
        <v>92.23777032</v>
      </c>
      <c r="R709" s="139">
        <f>($M709*(1-(Assumptions!$C$25+0.06*(1-$H709))-Assumptions!$C$27)-Assumptions!$C$28)-MAX(0,($M709*(1-(Assumptions!$C$25+0.06*(1-$H709))-Assumptions!$C$27)-Assumptions!$C$28)*Assumptions!$C$31)+Assumptions!$C$28-Assumptions!$C$29-$M709*Assumptions!$C$30</f>
        <v>97.37721581</v>
      </c>
      <c r="S709" s="139">
        <f>($N709*(1-(Assumptions!$C$25+0.06*(1-$I709))-Assumptions!$C$27)-Assumptions!$C$28)-MAX(0,($N709*(1-(Assumptions!$C$25+0.06*(1-$I709))-Assumptions!$C$27)-Assumptions!$C$28)*Assumptions!$C$31)+Assumptions!$C$28-Assumptions!$C$29-$N709*Assumptions!$C$30</f>
        <v>102.7274146</v>
      </c>
      <c r="T709" s="139">
        <f>($O709*(1-(Assumptions!$C$25+0.06*(1-$J709))-Assumptions!$C$27)-Assumptions!$C$28)-MAX(0,($O709*(1-(Assumptions!$C$25+0.06*(1-$J709))-Assumptions!$C$27)-Assumptions!$C$28)*Assumptions!$C$31)+Assumptions!$C$28-Assumptions!$C$29-$O709*Assumptions!$C$30</f>
        <v>108.2978735</v>
      </c>
      <c r="U709" s="139">
        <f>($P709*(1-(Assumptions!$C$25+0.06*(1-$K709))-Assumptions!$C$27)-Assumptions!$C$28)-MAX(0,($P709*(1-(Assumptions!$C$25+0.06*(1-$K709))-Assumptions!$C$27)-Assumptions!$C$28)*Assumptions!$C$31)+Assumptions!$C$28-Assumptions!$C$29-$P709*Assumptions!$C$30</f>
        <v>114.0985491</v>
      </c>
      <c r="V709" s="143">
        <f>(($Q709/(1+$D709)^1+$R709/(1+$D709)^2+$S709/(1+$D709)^3+$T709/(1+$D709)^4+$U709/(1+$D709)^5+$U709*(1+$E709)/($D709-$E709)/(1+$D709)^5)-Assumptions!$C$37)/Assumptions!$C$40/Assumptions!$C$38</f>
        <v>6.542325043</v>
      </c>
    </row>
    <row r="710" ht="12.0" customHeight="1">
      <c r="B710" s="139">
        <v>658.0</v>
      </c>
      <c r="C710" s="140">
        <f t="shared" si="6"/>
        <v>0.2217614277</v>
      </c>
      <c r="D710" s="141">
        <f t="shared" si="7"/>
        <v>0.09367047427</v>
      </c>
      <c r="E710" s="141">
        <f t="shared" si="8"/>
        <v>0.01068422236</v>
      </c>
      <c r="F710" s="140">
        <f t="shared" si="9"/>
        <v>0.2578616593</v>
      </c>
      <c r="G710" s="141">
        <f t="shared" si="10"/>
        <v>0.05154416364</v>
      </c>
      <c r="H710" s="142">
        <f t="shared" si="11"/>
        <v>0</v>
      </c>
      <c r="I710" s="142">
        <f t="shared" si="12"/>
        <v>0</v>
      </c>
      <c r="J710" s="142">
        <f t="shared" si="13"/>
        <v>0</v>
      </c>
      <c r="K710" s="142">
        <f t="shared" si="14"/>
        <v>0</v>
      </c>
      <c r="L710" s="139">
        <f>Assumptions!$C$6*Assumptions!$C$7*(1+$G710-0.05*(1-1))^1+Assumptions!$C$6*Assumptions!$C$8*(1+Assumptions!$C$11)^1+Assumptions!$C$16*1+Assumptions!$C$6*Assumptions!$C$9*(1+Assumptions!$C$12)^1</f>
        <v>743.8177655</v>
      </c>
      <c r="M710" s="139">
        <f>Assumptions!$C$6*Assumptions!$C$7*(1+$G710-0.05*(1-$H710))^2+Assumptions!$C$6*Assumptions!$C$8*(1+Assumptions!$C$11)^2+Assumptions!$C$16*$H710+Assumptions!$C$6*Assumptions!$C$9*(1+Assumptions!$C$12)^2</f>
        <v>674.1056936</v>
      </c>
      <c r="N710" s="139">
        <f>Assumptions!$C$6*Assumptions!$C$7*(1+$G710-0.05*(1-$I710))^3+Assumptions!$C$6*Assumptions!$C$8*(1+Assumptions!$C$11)^3+Assumptions!$C$16*$I710+Assumptions!$C$6*Assumptions!$C$9*(1+Assumptions!$C$12)^3</f>
        <v>681.3563727</v>
      </c>
      <c r="O710" s="139">
        <f>Assumptions!$C$6*Assumptions!$C$7*(1+$G710-0.05*(1-$J710))^4+Assumptions!$C$6*Assumptions!$C$8*(1+Assumptions!$C$11)^4+Assumptions!$C$16*$J710+Assumptions!$C$6*Assumptions!$C$9*(1+Assumptions!$C$12)^4</f>
        <v>688.742443</v>
      </c>
      <c r="P710" s="139">
        <f>Assumptions!$C$6*Assumptions!$C$7*(1+$G710-0.05*(1-$K710))^5+Assumptions!$C$6*Assumptions!$C$8*(1+Assumptions!$C$11)^5+Assumptions!$C$16*$K710+Assumptions!$C$6*Assumptions!$C$9*(1+Assumptions!$C$12)^5</f>
        <v>696.2665976</v>
      </c>
      <c r="Q710" s="139">
        <f>($L710*(1-(Assumptions!$C$25+0.06*(1-1))-Assumptions!$C$27)-Assumptions!$C$28)-MAX(0,($L710*(1-(Assumptions!$C$25+0.06*(1-1))-Assumptions!$C$27)-Assumptions!$C$28)*Assumptions!$C$31)+Assumptions!$C$28-Assumptions!$C$29-$L710*Assumptions!$C$30</f>
        <v>92.42081958</v>
      </c>
      <c r="R710" s="139">
        <f>($M710*(1-(Assumptions!$C$25+0.06*(1-$H710))-Assumptions!$C$27)-Assumptions!$C$28)-MAX(0,($M710*(1-(Assumptions!$C$25+0.06*(1-$H710))-Assumptions!$C$27)-Assumptions!$C$28)*Assumptions!$C$31)+Assumptions!$C$28-Assumptions!$C$29-$M710*Assumptions!$C$30</f>
        <v>35.04430952</v>
      </c>
      <c r="S710" s="139">
        <f>($N710*(1-(Assumptions!$C$25+0.06*(1-$I710))-Assumptions!$C$27)-Assumptions!$C$28)-MAX(0,($N710*(1-(Assumptions!$C$25+0.06*(1-$I710))-Assumptions!$C$27)-Assumptions!$C$28)*Assumptions!$C$31)+Assumptions!$C$28-Assumptions!$C$29-$N710*Assumptions!$C$30</f>
        <v>36.71196572</v>
      </c>
      <c r="T710" s="139">
        <f>($O710*(1-(Assumptions!$C$25+0.06*(1-$J710))-Assumptions!$C$27)-Assumptions!$C$28)-MAX(0,($O710*(1-(Assumptions!$C$25+0.06*(1-$J710))-Assumptions!$C$27)-Assumptions!$C$28)*Assumptions!$C$31)+Assumptions!$C$28-Assumptions!$C$29-$O710*Assumptions!$C$30</f>
        <v>38.4107619</v>
      </c>
      <c r="U710" s="139">
        <f>($P710*(1-(Assumptions!$C$25+0.06*(1-$K710))-Assumptions!$C$27)-Assumptions!$C$28)-MAX(0,($P710*(1-(Assumptions!$C$25+0.06*(1-$K710))-Assumptions!$C$27)-Assumptions!$C$28)*Assumptions!$C$31)+Assumptions!$C$28-Assumptions!$C$29-$P710*Assumptions!$C$30</f>
        <v>40.14131745</v>
      </c>
      <c r="V710" s="143">
        <f>(($Q710/(1+$D710)^1+$R710/(1+$D710)^2+$S710/(1+$D710)^3+$T710/(1+$D710)^4+$U710/(1+$D710)^5+$U710*(1+$E710)/($D710-$E710)/(1+$D710)^5)-Assumptions!$C$37)/Assumptions!$C$40/Assumptions!$C$38</f>
        <v>-1.442868532</v>
      </c>
    </row>
    <row r="711" ht="12.0" customHeight="1">
      <c r="B711" s="139">
        <v>659.0</v>
      </c>
      <c r="C711" s="140">
        <f t="shared" si="6"/>
        <v>0.6593314772</v>
      </c>
      <c r="D711" s="141">
        <f t="shared" si="7"/>
        <v>0.1011755636</v>
      </c>
      <c r="E711" s="141">
        <f t="shared" si="8"/>
        <v>0.01999934229</v>
      </c>
      <c r="F711" s="140">
        <f t="shared" si="9"/>
        <v>0.07626156346</v>
      </c>
      <c r="G711" s="141">
        <f t="shared" si="10"/>
        <v>0.04171626281</v>
      </c>
      <c r="H711" s="142">
        <f t="shared" si="11"/>
        <v>0</v>
      </c>
      <c r="I711" s="142">
        <f t="shared" si="12"/>
        <v>1</v>
      </c>
      <c r="J711" s="142">
        <f t="shared" si="13"/>
        <v>1</v>
      </c>
      <c r="K711" s="142">
        <f t="shared" si="14"/>
        <v>1</v>
      </c>
      <c r="L711" s="139">
        <f>Assumptions!$C$6*Assumptions!$C$7*(1+$G711-0.05*(1-1))^1+Assumptions!$C$6*Assumptions!$C$8*(1+Assumptions!$C$11)^1+Assumptions!$C$16*1+Assumptions!$C$6*Assumptions!$C$9*(1+Assumptions!$C$12)^1</f>
        <v>740.5096941</v>
      </c>
      <c r="M711" s="139">
        <f>Assumptions!$C$6*Assumptions!$C$7*(1+$G711-0.05*(1-$H711))^2+Assumptions!$C$6*Assumptions!$C$8*(1+Assumptions!$C$11)^2+Assumptions!$C$16*$H711+Assumptions!$C$6*Assumptions!$C$9*(1+Assumptions!$C$12)^2</f>
        <v>667.5118457</v>
      </c>
      <c r="N711" s="139">
        <f>Assumptions!$C$6*Assumptions!$C$7*(1+$G711-0.05*(1-$I711))^3+Assumptions!$C$6*Assumptions!$C$8*(1+Assumptions!$C$11)^3+Assumptions!$C$16*$I711+Assumptions!$C$6*Assumptions!$C$9*(1+Assumptions!$C$12)^3</f>
        <v>783.7014864</v>
      </c>
      <c r="O711" s="139">
        <f>Assumptions!$C$6*Assumptions!$C$7*(1+$G711-0.05*(1-$J711))^4+Assumptions!$C$6*Assumptions!$C$8*(1+Assumptions!$C$11)^4+Assumptions!$C$16*$J711+Assumptions!$C$6*Assumptions!$C$9*(1+Assumptions!$C$12)^4</f>
        <v>806.4387022</v>
      </c>
      <c r="P711" s="139">
        <f>Assumptions!$C$6*Assumptions!$C$7*(1+$G711-0.05*(1-$K711))^5+Assumptions!$C$6*Assumptions!$C$8*(1+Assumptions!$C$11)^5+Assumptions!$C$16*$K711+Assumptions!$C$6*Assumptions!$C$9*(1+Assumptions!$C$12)^5</f>
        <v>829.9753716</v>
      </c>
      <c r="Q711" s="139">
        <f>($L711*(1-(Assumptions!$C$25+0.06*(1-1))-Assumptions!$C$27)-Assumptions!$C$28)-MAX(0,($L711*(1-(Assumptions!$C$25+0.06*(1-1))-Assumptions!$C$27)-Assumptions!$C$28)*Assumptions!$C$31)+Assumptions!$C$28-Assumptions!$C$29-$L711*Assumptions!$C$30</f>
        <v>91.70958422</v>
      </c>
      <c r="R711" s="139">
        <f>($M711*(1-(Assumptions!$C$25+0.06*(1-$H711))-Assumptions!$C$27)-Assumptions!$C$28)-MAX(0,($M711*(1-(Assumptions!$C$25+0.06*(1-$H711))-Assumptions!$C$27)-Assumptions!$C$28)*Assumptions!$C$31)+Assumptions!$C$28-Assumptions!$C$29-$M711*Assumptions!$C$30</f>
        <v>33.52772451</v>
      </c>
      <c r="S711" s="139">
        <f>($N711*(1-(Assumptions!$C$25+0.06*(1-$I711))-Assumptions!$C$27)-Assumptions!$C$28)-MAX(0,($N711*(1-(Assumptions!$C$25+0.06*(1-$I711))-Assumptions!$C$27)-Assumptions!$C$28)*Assumptions!$C$31)+Assumptions!$C$28-Assumptions!$C$29-$N711*Assumptions!$C$30</f>
        <v>100.9958196</v>
      </c>
      <c r="T711" s="139">
        <f>($O711*(1-(Assumptions!$C$25+0.06*(1-$J711))-Assumptions!$C$27)-Assumptions!$C$28)-MAX(0,($O711*(1-(Assumptions!$C$25+0.06*(1-$J711))-Assumptions!$C$27)-Assumptions!$C$28)*Assumptions!$C$31)+Assumptions!$C$28-Assumptions!$C$29-$O711*Assumptions!$C$30</f>
        <v>105.884321</v>
      </c>
      <c r="U711" s="139">
        <f>($P711*(1-(Assumptions!$C$25+0.06*(1-$K711))-Assumptions!$C$27)-Assumptions!$C$28)-MAX(0,($P711*(1-(Assumptions!$C$25+0.06*(1-$K711))-Assumptions!$C$27)-Assumptions!$C$28)*Assumptions!$C$31)+Assumptions!$C$28-Assumptions!$C$29-$P711*Assumptions!$C$30</f>
        <v>110.9447049</v>
      </c>
      <c r="V711" s="143">
        <f>(($Q711/(1+$D711)^1+$R711/(1+$D711)^2+$S711/(1+$D711)^3+$T711/(1+$D711)^4+$U711/(1+$D711)^5+$U711*(1+$E711)/($D711-$E711)/(1+$D711)^5)-Assumptions!$C$37)/Assumptions!$C$40/Assumptions!$C$38</f>
        <v>3.873782892</v>
      </c>
    </row>
    <row r="712" ht="12.0" customHeight="1">
      <c r="B712" s="139">
        <v>660.0</v>
      </c>
      <c r="C712" s="140">
        <f t="shared" si="6"/>
        <v>0.02983534671</v>
      </c>
      <c r="D712" s="141">
        <f t="shared" si="7"/>
        <v>0.08818028026</v>
      </c>
      <c r="E712" s="141">
        <f t="shared" si="8"/>
        <v>0.01652523554</v>
      </c>
      <c r="F712" s="140">
        <f t="shared" si="9"/>
        <v>0.7413541284</v>
      </c>
      <c r="G712" s="141">
        <f t="shared" si="10"/>
        <v>0.06842310103</v>
      </c>
      <c r="H712" s="142">
        <f t="shared" si="11"/>
        <v>1</v>
      </c>
      <c r="I712" s="142">
        <f t="shared" si="12"/>
        <v>0</v>
      </c>
      <c r="J712" s="142">
        <f t="shared" si="13"/>
        <v>1</v>
      </c>
      <c r="K712" s="142">
        <f t="shared" si="14"/>
        <v>1</v>
      </c>
      <c r="L712" s="139">
        <f>Assumptions!$C$6*Assumptions!$C$7*(1+$G712-0.05*(1-1))^1+Assumptions!$C$6*Assumptions!$C$8*(1+Assumptions!$C$11)^1+Assumptions!$C$16*1+Assumptions!$C$6*Assumptions!$C$9*(1+Assumptions!$C$12)^1</f>
        <v>749.4992158</v>
      </c>
      <c r="M712" s="139">
        <f>Assumptions!$C$6*Assumptions!$C$7*(1+$G712-0.05*(1-$H712))^2+Assumptions!$C$6*Assumptions!$C$8*(1+Assumptions!$C$11)^2+Assumptions!$C$16*$H712+Assumptions!$C$6*Assumptions!$C$9*(1+Assumptions!$C$12)^2</f>
        <v>780.7036588</v>
      </c>
      <c r="N712" s="139">
        <f>Assumptions!$C$6*Assumptions!$C$7*(1+$G712-0.05*(1-$I712))^3+Assumptions!$C$6*Assumptions!$C$8*(1+Assumptions!$C$11)^3+Assumptions!$C$16*$I712+Assumptions!$C$6*Assumptions!$C$9*(1+Assumptions!$C$12)^3</f>
        <v>698.7431563</v>
      </c>
      <c r="O712" s="139">
        <f>Assumptions!$C$6*Assumptions!$C$7*(1+$G712-0.05*(1-$J712))^4+Assumptions!$C$6*Assumptions!$C$8*(1+Assumptions!$C$11)^4+Assumptions!$C$16*$J712+Assumptions!$C$6*Assumptions!$C$9*(1+Assumptions!$C$12)^4</f>
        <v>848.6773077</v>
      </c>
      <c r="P712" s="139">
        <f>Assumptions!$C$6*Assumptions!$C$7*(1+$G712-0.05*(1-$K712))^5+Assumptions!$C$6*Assumptions!$C$8*(1+Assumptions!$C$11)^5+Assumptions!$C$16*$K712+Assumptions!$C$6*Assumptions!$C$9*(1+Assumptions!$C$12)^5</f>
        <v>885.6901337</v>
      </c>
      <c r="Q712" s="139">
        <f>($L712*(1-(Assumptions!$C$25+0.06*(1-1))-Assumptions!$C$27)-Assumptions!$C$28)-MAX(0,($L712*(1-(Assumptions!$C$25+0.06*(1-1))-Assumptions!$C$27)-Assumptions!$C$28)*Assumptions!$C$31)+Assumptions!$C$28-Assumptions!$C$29-$L712*Assumptions!$C$30</f>
        <v>93.6423314</v>
      </c>
      <c r="R712" s="139">
        <f>($M712*(1-(Assumptions!$C$25+0.06*(1-$H712))-Assumptions!$C$27)-Assumptions!$C$28)-MAX(0,($M712*(1-(Assumptions!$C$25+0.06*(1-$H712))-Assumptions!$C$27)-Assumptions!$C$28)*Assumptions!$C$31)+Assumptions!$C$28-Assumptions!$C$29-$M712*Assumptions!$C$30</f>
        <v>100.3512866</v>
      </c>
      <c r="S712" s="139">
        <f>($N712*(1-(Assumptions!$C$25+0.06*(1-$I712))-Assumptions!$C$27)-Assumptions!$C$28)-MAX(0,($N712*(1-(Assumptions!$C$25+0.06*(1-$I712))-Assumptions!$C$27)-Assumptions!$C$28)*Assumptions!$C$31)+Assumptions!$C$28-Assumptions!$C$29-$N712*Assumptions!$C$30</f>
        <v>40.71092594</v>
      </c>
      <c r="T712" s="139">
        <f>($O712*(1-(Assumptions!$C$25+0.06*(1-$J712))-Assumptions!$C$27)-Assumptions!$C$28)-MAX(0,($O712*(1-(Assumptions!$C$25+0.06*(1-$J712))-Assumptions!$C$27)-Assumptions!$C$28)*Assumptions!$C$31)+Assumptions!$C$28-Assumptions!$C$29-$O712*Assumptions!$C$30</f>
        <v>114.9656211</v>
      </c>
      <c r="U712" s="139">
        <f>($P712*(1-(Assumptions!$C$25+0.06*(1-$K712))-Assumptions!$C$27)-Assumptions!$C$28)-MAX(0,($P712*(1-(Assumptions!$C$25+0.06*(1-$K712))-Assumptions!$C$27)-Assumptions!$C$28)*Assumptions!$C$31)+Assumptions!$C$28-Assumptions!$C$29-$P712*Assumptions!$C$30</f>
        <v>122.9233788</v>
      </c>
      <c r="V712" s="143">
        <f>(($Q712/(1+$D712)^1+$R712/(1+$D712)^2+$S712/(1+$D712)^3+$T712/(1+$D712)^4+$U712/(1+$D712)^5+$U712*(1+$E712)/($D712-$E712)/(1+$D712)^5)-Assumptions!$C$37)/Assumptions!$C$40/Assumptions!$C$38</f>
        <v>6.369049806</v>
      </c>
    </row>
    <row r="713" ht="12.0" customHeight="1">
      <c r="B713" s="139">
        <v>661.0</v>
      </c>
      <c r="C713" s="140">
        <f t="shared" si="6"/>
        <v>0.2411955293</v>
      </c>
      <c r="D713" s="141">
        <f t="shared" si="7"/>
        <v>0.09404241585</v>
      </c>
      <c r="E713" s="141">
        <f t="shared" si="8"/>
        <v>0.0297781953</v>
      </c>
      <c r="F713" s="140">
        <f t="shared" si="9"/>
        <v>0.9334801467</v>
      </c>
      <c r="G713" s="141">
        <f t="shared" si="10"/>
        <v>0.07905761745</v>
      </c>
      <c r="H713" s="142">
        <f t="shared" si="11"/>
        <v>0</v>
      </c>
      <c r="I713" s="142">
        <f t="shared" si="12"/>
        <v>1</v>
      </c>
      <c r="J713" s="142">
        <f t="shared" si="13"/>
        <v>1</v>
      </c>
      <c r="K713" s="142">
        <f t="shared" si="14"/>
        <v>1</v>
      </c>
      <c r="L713" s="139">
        <f>Assumptions!$C$6*Assumptions!$C$7*(1+$G713-0.05*(1-1))^1+Assumptions!$C$6*Assumptions!$C$8*(1+Assumptions!$C$11)^1+Assumptions!$C$16*1+Assumptions!$C$6*Assumptions!$C$9*(1+Assumptions!$C$12)^1</f>
        <v>753.078794</v>
      </c>
      <c r="M713" s="139">
        <f>Assumptions!$C$6*Assumptions!$C$7*(1+$G713-0.05*(1-$H713))^2+Assumptions!$C$6*Assumptions!$C$8*(1+Assumptions!$C$11)^2+Assumptions!$C$16*$H713+Assumptions!$C$6*Assumptions!$C$9*(1+Assumptions!$C$12)^2</f>
        <v>692.9111546</v>
      </c>
      <c r="N713" s="139">
        <f>Assumptions!$C$6*Assumptions!$C$7*(1+$G713-0.05*(1-$I713))^3+Assumptions!$C$6*Assumptions!$C$8*(1+Assumptions!$C$11)^3+Assumptions!$C$16*$I713+Assumptions!$C$6*Assumptions!$C$9*(1+Assumptions!$C$12)^3</f>
        <v>826.1047275</v>
      </c>
      <c r="O713" s="139">
        <f>Assumptions!$C$6*Assumptions!$C$7*(1+$G713-0.05*(1-$J713))^4+Assumptions!$C$6*Assumptions!$C$8*(1+Assumptions!$C$11)^4+Assumptions!$C$16*$J713+Assumptions!$C$6*Assumptions!$C$9*(1+Assumptions!$C$12)^4</f>
        <v>866.4028826</v>
      </c>
      <c r="P713" s="139">
        <f>Assumptions!$C$6*Assumptions!$C$7*(1+$G713-0.05*(1-$K713))^5+Assumptions!$C$6*Assumptions!$C$8*(1+Assumptions!$C$11)^5+Assumptions!$C$16*$K713+Assumptions!$C$6*Assumptions!$C$9*(1+Assumptions!$C$12)^5</f>
        <v>909.4815487</v>
      </c>
      <c r="Q713" s="139">
        <f>($L713*(1-(Assumptions!$C$25+0.06*(1-1))-Assumptions!$C$27)-Assumptions!$C$28)-MAX(0,($L713*(1-(Assumptions!$C$25+0.06*(1-1))-Assumptions!$C$27)-Assumptions!$C$28)*Assumptions!$C$31)+Assumptions!$C$28-Assumptions!$C$29-$L713*Assumptions!$C$30</f>
        <v>94.41194072</v>
      </c>
      <c r="R713" s="139">
        <f>($M713*(1-(Assumptions!$C$25+0.06*(1-$H713))-Assumptions!$C$27)-Assumptions!$C$28)-MAX(0,($M713*(1-(Assumptions!$C$25+0.06*(1-$H713))-Assumptions!$C$27)-Assumptions!$C$28)*Assumptions!$C$31)+Assumptions!$C$28-Assumptions!$C$29-$M713*Assumptions!$C$30</f>
        <v>39.36956557</v>
      </c>
      <c r="S713" s="139">
        <f>($N713*(1-(Assumptions!$C$25+0.06*(1-$I713))-Assumptions!$C$27)-Assumptions!$C$28)-MAX(0,($N713*(1-(Assumptions!$C$25+0.06*(1-$I713))-Assumptions!$C$27)-Assumptions!$C$28)*Assumptions!$C$31)+Assumptions!$C$28-Assumptions!$C$29-$N713*Assumptions!$C$30</f>
        <v>110.1125164</v>
      </c>
      <c r="T713" s="139">
        <f>($O713*(1-(Assumptions!$C$25+0.06*(1-$J713))-Assumptions!$C$27)-Assumptions!$C$28)-MAX(0,($O713*(1-(Assumptions!$C$25+0.06*(1-$J713))-Assumptions!$C$27)-Assumptions!$C$28)*Assumptions!$C$31)+Assumptions!$C$28-Assumptions!$C$29-$O713*Assumptions!$C$30</f>
        <v>118.7766198</v>
      </c>
      <c r="U713" s="139">
        <f>($P713*(1-(Assumptions!$C$25+0.06*(1-$K713))-Assumptions!$C$27)-Assumptions!$C$28)-MAX(0,($P713*(1-(Assumptions!$C$25+0.06*(1-$K713))-Assumptions!$C$27)-Assumptions!$C$28)*Assumptions!$C$31)+Assumptions!$C$28-Assumptions!$C$29-$P713*Assumptions!$C$30</f>
        <v>128.038533</v>
      </c>
      <c r="V713" s="143">
        <f>(($Q713/(1+$D713)^1+$R713/(1+$D713)^2+$S713/(1+$D713)^3+$T713/(1+$D713)^4+$U713/(1+$D713)^5+$U713*(1+$E713)/($D713-$E713)/(1+$D713)^5)-Assumptions!$C$37)/Assumptions!$C$40/Assumptions!$C$38</f>
        <v>7.688376214</v>
      </c>
    </row>
    <row r="714" ht="12.0" customHeight="1">
      <c r="B714" s="139">
        <v>662.0</v>
      </c>
      <c r="C714" s="140">
        <f t="shared" si="6"/>
        <v>0.5717767401</v>
      </c>
      <c r="D714" s="141">
        <f t="shared" si="7"/>
        <v>0.09950054037</v>
      </c>
      <c r="E714" s="141">
        <f t="shared" si="8"/>
        <v>0.0287859097</v>
      </c>
      <c r="F714" s="140">
        <f t="shared" si="9"/>
        <v>0.4650926616</v>
      </c>
      <c r="G714" s="141">
        <f t="shared" si="10"/>
        <v>0.05893383471</v>
      </c>
      <c r="H714" s="142">
        <f t="shared" si="11"/>
        <v>1</v>
      </c>
      <c r="I714" s="142">
        <f t="shared" si="12"/>
        <v>0</v>
      </c>
      <c r="J714" s="142">
        <f t="shared" si="13"/>
        <v>0</v>
      </c>
      <c r="K714" s="142">
        <f t="shared" si="14"/>
        <v>1</v>
      </c>
      <c r="L714" s="139">
        <f>Assumptions!$C$6*Assumptions!$C$7*(1+$G714-0.05*(1-1))^1+Assumptions!$C$6*Assumptions!$C$8*(1+Assumptions!$C$11)^1+Assumptions!$C$16*1+Assumptions!$C$6*Assumptions!$C$9*(1+Assumptions!$C$12)^1</f>
        <v>746.3051288</v>
      </c>
      <c r="M714" s="139">
        <f>Assumptions!$C$6*Assumptions!$C$7*(1+$G714-0.05*(1-$H714))^2+Assumptions!$C$6*Assumptions!$C$8*(1+Assumptions!$C$11)^2+Assumptions!$C$16*$H714+Assumptions!$C$6*Assumptions!$C$9*(1+Assumptions!$C$12)^2</f>
        <v>773.9086956</v>
      </c>
      <c r="N714" s="139">
        <f>Assumptions!$C$6*Assumptions!$C$7*(1+$G714-0.05*(1-$I714))^3+Assumptions!$C$6*Assumptions!$C$8*(1+Assumptions!$C$11)^3+Assumptions!$C$16*$I714+Assumptions!$C$6*Assumptions!$C$9*(1+Assumptions!$C$12)^3</f>
        <v>688.8968891</v>
      </c>
      <c r="O714" s="139">
        <f>Assumptions!$C$6*Assumptions!$C$7*(1+$G714-0.05*(1-$J714))^4+Assumptions!$C$6*Assumptions!$C$8*(1+Assumptions!$C$11)^4+Assumptions!$C$16*$J714+Assumptions!$C$6*Assumptions!$C$9*(1+Assumptions!$C$12)^4</f>
        <v>698.8492289</v>
      </c>
      <c r="P714" s="139">
        <f>Assumptions!$C$6*Assumptions!$C$7*(1+$G714-0.05*(1-$K714))^5+Assumptions!$C$6*Assumptions!$C$8*(1+Assumptions!$C$11)^5+Assumptions!$C$16*$K714+Assumptions!$C$6*Assumptions!$C$9*(1+Assumptions!$C$12)^5</f>
        <v>865.2456803</v>
      </c>
      <c r="Q714" s="139">
        <f>($L714*(1-(Assumptions!$C$25+0.06*(1-1))-Assumptions!$C$27)-Assumptions!$C$28)-MAX(0,($L714*(1-(Assumptions!$C$25+0.06*(1-1))-Assumptions!$C$27)-Assumptions!$C$28)*Assumptions!$C$31)+Assumptions!$C$28-Assumptions!$C$29-$L714*Assumptions!$C$30</f>
        <v>92.95560268</v>
      </c>
      <c r="R714" s="139">
        <f>($M714*(1-(Assumptions!$C$25+0.06*(1-$H714))-Assumptions!$C$27)-Assumptions!$C$28)-MAX(0,($M714*(1-(Assumptions!$C$25+0.06*(1-$H714))-Assumptions!$C$27)-Assumptions!$C$28)*Assumptions!$C$31)+Assumptions!$C$28-Assumptions!$C$29-$M714*Assumptions!$C$30</f>
        <v>98.89036955</v>
      </c>
      <c r="S714" s="139">
        <f>($N714*(1-(Assumptions!$C$25+0.06*(1-$I714))-Assumptions!$C$27)-Assumptions!$C$28)-MAX(0,($N714*(1-(Assumptions!$C$25+0.06*(1-$I714))-Assumptions!$C$27)-Assumptions!$C$28)*Assumptions!$C$31)+Assumptions!$C$28-Assumptions!$C$29-$N714*Assumptions!$C$30</f>
        <v>38.44628449</v>
      </c>
      <c r="T714" s="139">
        <f>($O714*(1-(Assumptions!$C$25+0.06*(1-$J714))-Assumptions!$C$27)-Assumptions!$C$28)-MAX(0,($O714*(1-(Assumptions!$C$25+0.06*(1-$J714))-Assumptions!$C$27)-Assumptions!$C$28)*Assumptions!$C$31)+Assumptions!$C$28-Assumptions!$C$29-$O714*Assumptions!$C$30</f>
        <v>40.73532265</v>
      </c>
      <c r="U714" s="139">
        <f>($P714*(1-(Assumptions!$C$25+0.06*(1-$K714))-Assumptions!$C$27)-Assumptions!$C$28)-MAX(0,($P714*(1-(Assumptions!$C$25+0.06*(1-$K714))-Assumptions!$C$27)-Assumptions!$C$28)*Assumptions!$C$31)+Assumptions!$C$28-Assumptions!$C$29-$P714*Assumptions!$C$30</f>
        <v>118.5278213</v>
      </c>
      <c r="V714" s="143">
        <f>(($Q714/(1+$D714)^1+$R714/(1+$D714)^2+$S714/(1+$D714)^3+$T714/(1+$D714)^4+$U714/(1+$D714)^5+$U714*(1+$E714)/($D714-$E714)/(1+$D714)^5)-Assumptions!$C$37)/Assumptions!$C$40/Assumptions!$C$38</f>
        <v>5.293843141</v>
      </c>
    </row>
    <row r="715" ht="12.0" customHeight="1">
      <c r="B715" s="139">
        <v>663.0</v>
      </c>
      <c r="C715" s="140">
        <f t="shared" si="6"/>
        <v>0.9665182456</v>
      </c>
      <c r="D715" s="141">
        <f t="shared" si="7"/>
        <v>0.1106660337</v>
      </c>
      <c r="E715" s="141">
        <f t="shared" si="8"/>
        <v>0.01864913167</v>
      </c>
      <c r="F715" s="140">
        <f t="shared" si="9"/>
        <v>0.7040523132</v>
      </c>
      <c r="G715" s="141">
        <f t="shared" si="10"/>
        <v>0.06691957894</v>
      </c>
      <c r="H715" s="142">
        <f t="shared" si="11"/>
        <v>0</v>
      </c>
      <c r="I715" s="142">
        <f t="shared" si="12"/>
        <v>0</v>
      </c>
      <c r="J715" s="142">
        <f t="shared" si="13"/>
        <v>0</v>
      </c>
      <c r="K715" s="142">
        <f t="shared" si="14"/>
        <v>1</v>
      </c>
      <c r="L715" s="139">
        <f>Assumptions!$C$6*Assumptions!$C$7*(1+$G715-0.05*(1-1))^1+Assumptions!$C$6*Assumptions!$C$8*(1+Assumptions!$C$11)^1+Assumptions!$C$16*1+Assumptions!$C$6*Assumptions!$C$9*(1+Assumptions!$C$12)^1</f>
        <v>748.9931303</v>
      </c>
      <c r="M715" s="139">
        <f>Assumptions!$C$6*Assumptions!$C$7*(1+$G715-0.05*(1-$H715))^2+Assumptions!$C$6*Assumptions!$C$8*(1+Assumptions!$C$11)^2+Assumptions!$C$16*$H715+Assumptions!$C$6*Assumptions!$C$9*(1+Assumptions!$C$12)^2</f>
        <v>684.5519797</v>
      </c>
      <c r="N715" s="139">
        <f>Assumptions!$C$6*Assumptions!$C$7*(1+$G715-0.05*(1-$I715))^3+Assumptions!$C$6*Assumptions!$C$8*(1+Assumptions!$C$11)^3+Assumptions!$C$16*$I715+Assumptions!$C$6*Assumptions!$C$9*(1+Assumptions!$C$12)^3</f>
        <v>697.170766</v>
      </c>
      <c r="O715" s="139">
        <f>Assumptions!$C$6*Assumptions!$C$7*(1+$G715-0.05*(1-$J715))^4+Assumptions!$C$6*Assumptions!$C$8*(1+Assumptions!$C$11)^4+Assumptions!$C$16*$J715+Assumptions!$C$6*Assumptions!$C$9*(1+Assumptions!$C$12)^4</f>
        <v>710.0237859</v>
      </c>
      <c r="P715" s="139">
        <f>Assumptions!$C$6*Assumptions!$C$7*(1+$G715-0.05*(1-$K715))^5+Assumptions!$C$6*Assumptions!$C$8*(1+Assumptions!$C$11)^5+Assumptions!$C$16*$K715+Assumptions!$C$6*Assumptions!$C$9*(1+Assumptions!$C$12)^5</f>
        <v>882.4020361</v>
      </c>
      <c r="Q715" s="139">
        <f>($L715*(1-(Assumptions!$C$25+0.06*(1-1))-Assumptions!$C$27)-Assumptions!$C$28)-MAX(0,($L715*(1-(Assumptions!$C$25+0.06*(1-1))-Assumptions!$C$27)-Assumptions!$C$28)*Assumptions!$C$31)+Assumptions!$C$28-Assumptions!$C$29-$L715*Assumptions!$C$30</f>
        <v>93.53352301</v>
      </c>
      <c r="R715" s="139">
        <f>($M715*(1-(Assumptions!$C$25+0.06*(1-$H715))-Assumptions!$C$27)-Assumptions!$C$28)-MAX(0,($M715*(1-(Assumptions!$C$25+0.06*(1-$H715))-Assumptions!$C$27)-Assumptions!$C$28)*Assumptions!$C$31)+Assumptions!$C$28-Assumptions!$C$29-$M715*Assumptions!$C$30</f>
        <v>37.44695534</v>
      </c>
      <c r="S715" s="139">
        <f>($N715*(1-(Assumptions!$C$25+0.06*(1-$I715))-Assumptions!$C$27)-Assumptions!$C$28)-MAX(0,($N715*(1-(Assumptions!$C$25+0.06*(1-$I715))-Assumptions!$C$27)-Assumptions!$C$28)*Assumptions!$C$31)+Assumptions!$C$28-Assumptions!$C$29-$N715*Assumptions!$C$30</f>
        <v>40.34927618</v>
      </c>
      <c r="T715" s="139">
        <f>($O715*(1-(Assumptions!$C$25+0.06*(1-$J715))-Assumptions!$C$27)-Assumptions!$C$28)-MAX(0,($O715*(1-(Assumptions!$C$25+0.06*(1-$J715))-Assumptions!$C$27)-Assumptions!$C$28)*Assumptions!$C$31)+Assumptions!$C$28-Assumptions!$C$29-$O715*Assumptions!$C$30</f>
        <v>43.30547075</v>
      </c>
      <c r="U715" s="139">
        <f>($P715*(1-(Assumptions!$C$25+0.06*(1-$K715))-Assumptions!$C$27)-Assumptions!$C$28)-MAX(0,($P715*(1-(Assumptions!$C$25+0.06*(1-$K715))-Assumptions!$C$27)-Assumptions!$C$28)*Assumptions!$C$31)+Assumptions!$C$28-Assumptions!$C$29-$P715*Assumptions!$C$30</f>
        <v>122.2164378</v>
      </c>
      <c r="V715" s="143">
        <f>(($Q715/(1+$D715)^1+$R715/(1+$D715)^2+$S715/(1+$D715)^3+$T715/(1+$D715)^4+$U715/(1+$D715)^5+$U715*(1+$E715)/($D715-$E715)/(1+$D715)^5)-Assumptions!$C$37)/Assumptions!$C$40/Assumptions!$C$38</f>
        <v>2.759523173</v>
      </c>
    </row>
    <row r="716" ht="12.0" customHeight="1">
      <c r="B716" s="139">
        <v>664.0</v>
      </c>
      <c r="C716" s="140">
        <f t="shared" si="6"/>
        <v>0.9285462176</v>
      </c>
      <c r="D716" s="141">
        <f t="shared" si="7"/>
        <v>0.1086686832</v>
      </c>
      <c r="E716" s="141">
        <f t="shared" si="8"/>
        <v>0.02847939488</v>
      </c>
      <c r="F716" s="140">
        <f t="shared" si="9"/>
        <v>0.8154838922</v>
      </c>
      <c r="G716" s="141">
        <f t="shared" si="10"/>
        <v>0.07177559345</v>
      </c>
      <c r="H716" s="142">
        <f t="shared" si="11"/>
        <v>1</v>
      </c>
      <c r="I716" s="142">
        <f t="shared" si="12"/>
        <v>1</v>
      </c>
      <c r="J716" s="142">
        <f t="shared" si="13"/>
        <v>0</v>
      </c>
      <c r="K716" s="142">
        <f t="shared" si="14"/>
        <v>1</v>
      </c>
      <c r="L716" s="139">
        <f>Assumptions!$C$6*Assumptions!$C$7*(1+$G716-0.05*(1-1))^1+Assumptions!$C$6*Assumptions!$C$8*(1+Assumptions!$C$11)^1+Assumptions!$C$16*1+Assumptions!$C$6*Assumptions!$C$9*(1+Assumptions!$C$12)^1</f>
        <v>750.6276648</v>
      </c>
      <c r="M716" s="139">
        <f>Assumptions!$C$6*Assumptions!$C$7*(1+$G716-0.05*(1-$H716))^2+Assumptions!$C$6*Assumptions!$C$8*(1+Assumptions!$C$11)^2+Assumptions!$C$16*$H716+Assumptions!$C$6*Assumptions!$C$9*(1+Assumptions!$C$12)^2</f>
        <v>783.1187638</v>
      </c>
      <c r="N716" s="139">
        <f>Assumptions!$C$6*Assumptions!$C$7*(1+$G716-0.05*(1-$I716))^3+Assumptions!$C$6*Assumptions!$C$8*(1+Assumptions!$C$11)^3+Assumptions!$C$16*$I716+Assumptions!$C$6*Assumptions!$C$9*(1+Assumptions!$C$12)^3</f>
        <v>817.6003485</v>
      </c>
      <c r="O716" s="139">
        <f>Assumptions!$C$6*Assumptions!$C$7*(1+$G716-0.05*(1-$J716))^4+Assumptions!$C$6*Assumptions!$C$8*(1+Assumptions!$C$11)^4+Assumptions!$C$16*$J716+Assumptions!$C$6*Assumptions!$C$9*(1+Assumptions!$C$12)^4</f>
        <v>716.9488443</v>
      </c>
      <c r="P716" s="139">
        <f>Assumptions!$C$6*Assumptions!$C$7*(1+$G716-0.05*(1-$K716))^5+Assumptions!$C$6*Assumptions!$C$8*(1+Assumptions!$C$11)^5+Assumptions!$C$16*$K716+Assumptions!$C$6*Assumptions!$C$9*(1+Assumptions!$C$12)^5</f>
        <v>893.0887491</v>
      </c>
      <c r="Q716" s="139">
        <f>($L716*(1-(Assumptions!$C$25+0.06*(1-1))-Assumptions!$C$27)-Assumptions!$C$28)-MAX(0,($L716*(1-(Assumptions!$C$25+0.06*(1-1))-Assumptions!$C$27)-Assumptions!$C$28)*Assumptions!$C$31)+Assumptions!$C$28-Assumptions!$C$29-$L716*Assumptions!$C$30</f>
        <v>93.88494792</v>
      </c>
      <c r="R716" s="139">
        <f>($M716*(1-(Assumptions!$C$25+0.06*(1-$H716))-Assumptions!$C$27)-Assumptions!$C$28)-MAX(0,($M716*(1-(Assumptions!$C$25+0.06*(1-$H716))-Assumptions!$C$27)-Assumptions!$C$28)*Assumptions!$C$31)+Assumptions!$C$28-Assumptions!$C$29-$M716*Assumptions!$C$30</f>
        <v>100.8705342</v>
      </c>
      <c r="S716" s="139">
        <f>($N716*(1-(Assumptions!$C$25+0.06*(1-$I716))-Assumptions!$C$27)-Assumptions!$C$28)-MAX(0,($N716*(1-(Assumptions!$C$25+0.06*(1-$I716))-Assumptions!$C$27)-Assumptions!$C$28)*Assumptions!$C$31)+Assumptions!$C$28-Assumptions!$C$29-$N716*Assumptions!$C$30</f>
        <v>108.2840749</v>
      </c>
      <c r="T716" s="139">
        <f>($O716*(1-(Assumptions!$C$25+0.06*(1-$J716))-Assumptions!$C$27)-Assumptions!$C$28)-MAX(0,($O716*(1-(Assumptions!$C$25+0.06*(1-$J716))-Assumptions!$C$27)-Assumptions!$C$28)*Assumptions!$C$31)+Assumptions!$C$28-Assumptions!$C$29-$O716*Assumptions!$C$30</f>
        <v>44.89823418</v>
      </c>
      <c r="U716" s="139">
        <f>($P716*(1-(Assumptions!$C$25+0.06*(1-$K716))-Assumptions!$C$27)-Assumptions!$C$28)-MAX(0,($P716*(1-(Assumptions!$C$25+0.06*(1-$K716))-Assumptions!$C$27)-Assumptions!$C$28)*Assumptions!$C$31)+Assumptions!$C$28-Assumptions!$C$29-$P716*Assumptions!$C$30</f>
        <v>124.514081</v>
      </c>
      <c r="V716" s="143">
        <f>(($Q716/(1+$D716)^1+$R716/(1+$D716)^2+$S716/(1+$D716)^3+$T716/(1+$D716)^4+$U716/(1+$D716)^5+$U716*(1+$E716)/($D716-$E716)/(1+$D716)^5)-Assumptions!$C$37)/Assumptions!$C$40/Assumptions!$C$38</f>
        <v>4.775995111</v>
      </c>
    </row>
    <row r="717" ht="12.0" customHeight="1">
      <c r="B717" s="139">
        <v>665.0</v>
      </c>
      <c r="C717" s="140">
        <f t="shared" si="6"/>
        <v>0.9215129624</v>
      </c>
      <c r="D717" s="141">
        <f t="shared" si="7"/>
        <v>0.1083643969</v>
      </c>
      <c r="E717" s="141">
        <f t="shared" si="8"/>
        <v>0.02700099393</v>
      </c>
      <c r="F717" s="140">
        <f t="shared" si="9"/>
        <v>0.9634202351</v>
      </c>
      <c r="G717" s="141">
        <f t="shared" si="10"/>
        <v>0.08188559449</v>
      </c>
      <c r="H717" s="142">
        <f t="shared" si="11"/>
        <v>1</v>
      </c>
      <c r="I717" s="142">
        <f t="shared" si="12"/>
        <v>1</v>
      </c>
      <c r="J717" s="142">
        <f t="shared" si="13"/>
        <v>1</v>
      </c>
      <c r="K717" s="142">
        <f t="shared" si="14"/>
        <v>0</v>
      </c>
      <c r="L717" s="139">
        <f>Assumptions!$C$6*Assumptions!$C$7*(1+$G717-0.05*(1-1))^1+Assumptions!$C$6*Assumptions!$C$8*(1+Assumptions!$C$11)^1+Assumptions!$C$16*1+Assumptions!$C$6*Assumptions!$C$9*(1+Assumptions!$C$12)^1</f>
        <v>754.0306911</v>
      </c>
      <c r="M717" s="139">
        <f>Assumptions!$C$6*Assumptions!$C$7*(1+$G717-0.05*(1-$H717))^2+Assumptions!$C$6*Assumptions!$C$8*(1+Assumptions!$C$11)^2+Assumptions!$C$16*$H717+Assumptions!$C$6*Assumptions!$C$9*(1+Assumptions!$C$12)^2</f>
        <v>790.4477296</v>
      </c>
      <c r="N717" s="139">
        <f>Assumptions!$C$6*Assumptions!$C$7*(1+$G717-0.05*(1-$I717))^3+Assumptions!$C$6*Assumptions!$C$8*(1+Assumptions!$C$11)^3+Assumptions!$C$16*$I717+Assumptions!$C$6*Assumptions!$C$9*(1+Assumptions!$C$12)^3</f>
        <v>829.4385173</v>
      </c>
      <c r="O717" s="139">
        <f>Assumptions!$C$6*Assumptions!$C$7*(1+$G717-0.05*(1-$J717))^4+Assumptions!$C$6*Assumptions!$C$8*(1+Assumptions!$C$11)^4+Assumptions!$C$16*$J717+Assumptions!$C$6*Assumptions!$C$9*(1+Assumptions!$C$12)^4</f>
        <v>871.2056417</v>
      </c>
      <c r="P717" s="139">
        <f>Assumptions!$C$6*Assumptions!$C$7*(1+$G717-0.05*(1-$K717))^5+Assumptions!$C$6*Assumptions!$C$8*(1+Assumptions!$C$11)^5+Assumptions!$C$16*$K717+Assumptions!$C$6*Assumptions!$C$9*(1+Assumptions!$C$12)^5</f>
        <v>750.8562387</v>
      </c>
      <c r="Q717" s="139">
        <f>($L717*(1-(Assumptions!$C$25+0.06*(1-1))-Assumptions!$C$27)-Assumptions!$C$28)-MAX(0,($L717*(1-(Assumptions!$C$25+0.06*(1-1))-Assumptions!$C$27)-Assumptions!$C$28)*Assumptions!$C$31)+Assumptions!$C$28-Assumptions!$C$29-$L717*Assumptions!$C$30</f>
        <v>94.61659859</v>
      </c>
      <c r="R717" s="139">
        <f>($M717*(1-(Assumptions!$C$25+0.06*(1-$H717))-Assumptions!$C$27)-Assumptions!$C$28)-MAX(0,($M717*(1-(Assumptions!$C$25+0.06*(1-$H717))-Assumptions!$C$27)-Assumptions!$C$28)*Assumptions!$C$31)+Assumptions!$C$28-Assumptions!$C$29-$M717*Assumptions!$C$30</f>
        <v>102.4462619</v>
      </c>
      <c r="S717" s="139">
        <f>($N717*(1-(Assumptions!$C$25+0.06*(1-$I717))-Assumptions!$C$27)-Assumptions!$C$28)-MAX(0,($N717*(1-(Assumptions!$C$25+0.06*(1-$I717))-Assumptions!$C$27)-Assumptions!$C$28)*Assumptions!$C$31)+Assumptions!$C$28-Assumptions!$C$29-$N717*Assumptions!$C$30</f>
        <v>110.8292812</v>
      </c>
      <c r="T717" s="139">
        <f>($O717*(1-(Assumptions!$C$25+0.06*(1-$J717))-Assumptions!$C$27)-Assumptions!$C$28)-MAX(0,($O717*(1-(Assumptions!$C$25+0.06*(1-$J717))-Assumptions!$C$27)-Assumptions!$C$28)*Assumptions!$C$31)+Assumptions!$C$28-Assumptions!$C$29-$O717*Assumptions!$C$30</f>
        <v>119.809213</v>
      </c>
      <c r="U717" s="139">
        <f>($P717*(1-(Assumptions!$C$25+0.06*(1-$K717))-Assumptions!$C$27)-Assumptions!$C$28)-MAX(0,($P717*(1-(Assumptions!$C$25+0.06*(1-$K717))-Assumptions!$C$27)-Assumptions!$C$28)*Assumptions!$C$31)+Assumptions!$C$28-Assumptions!$C$29-$P717*Assumptions!$C$30</f>
        <v>52.6969349</v>
      </c>
      <c r="V717" s="143">
        <f>(($Q717/(1+$D717)^1+$R717/(1+$D717)^2+$S717/(1+$D717)^3+$T717/(1+$D717)^4+$U717/(1+$D717)^5+$U717*(1+$E717)/($D717-$E717)/(1+$D717)^5)-Assumptions!$C$37)/Assumptions!$C$40/Assumptions!$C$38</f>
        <v>0.5229556213</v>
      </c>
    </row>
    <row r="718" ht="12.0" customHeight="1">
      <c r="B718" s="139">
        <v>666.0</v>
      </c>
      <c r="C718" s="140">
        <f t="shared" si="6"/>
        <v>0.005014313933</v>
      </c>
      <c r="D718" s="141">
        <f t="shared" si="7"/>
        <v>0.08630378389</v>
      </c>
      <c r="E718" s="141">
        <f t="shared" si="8"/>
        <v>0.02072246776</v>
      </c>
      <c r="F718" s="140">
        <f t="shared" si="9"/>
        <v>0.9288585297</v>
      </c>
      <c r="G718" s="141">
        <f t="shared" si="10"/>
        <v>0.0786838767</v>
      </c>
      <c r="H718" s="142">
        <f t="shared" si="11"/>
        <v>1</v>
      </c>
      <c r="I718" s="142">
        <f t="shared" si="12"/>
        <v>0</v>
      </c>
      <c r="J718" s="142">
        <f t="shared" si="13"/>
        <v>0</v>
      </c>
      <c r="K718" s="142">
        <f t="shared" si="14"/>
        <v>1</v>
      </c>
      <c r="L718" s="139">
        <f>Assumptions!$C$6*Assumptions!$C$7*(1+$G718-0.05*(1-1))^1+Assumptions!$C$6*Assumptions!$C$8*(1+Assumptions!$C$11)^1+Assumptions!$C$16*1+Assumptions!$C$6*Assumptions!$C$9*(1+Assumptions!$C$12)^1</f>
        <v>752.9529929</v>
      </c>
      <c r="M718" s="139">
        <f>Assumptions!$C$6*Assumptions!$C$7*(1+$G718-0.05*(1-$H718))^2+Assumptions!$C$6*Assumptions!$C$8*(1+Assumptions!$C$11)^2+Assumptions!$C$16*$H718+Assumptions!$C$6*Assumptions!$C$9*(1+Assumptions!$C$12)^2</f>
        <v>788.1192877</v>
      </c>
      <c r="N718" s="139">
        <f>Assumptions!$C$6*Assumptions!$C$7*(1+$G718-0.05*(1-$I718))^3+Assumptions!$C$6*Assumptions!$C$8*(1+Assumptions!$C$11)^3+Assumptions!$C$16*$I718+Assumptions!$C$6*Assumptions!$C$9*(1+Assumptions!$C$12)^3</f>
        <v>709.5984176</v>
      </c>
      <c r="O718" s="139">
        <f>Assumptions!$C$6*Assumptions!$C$7*(1+$G718-0.05*(1-$J718))^4+Assumptions!$C$6*Assumptions!$C$8*(1+Assumptions!$C$11)^4+Assumptions!$C$16*$J718+Assumptions!$C$6*Assumptions!$C$9*(1+Assumptions!$C$12)^4</f>
        <v>726.9721909</v>
      </c>
      <c r="P718" s="139">
        <f>Assumptions!$C$6*Assumptions!$C$7*(1+$G718-0.05*(1-$K718))^5+Assumptions!$C$6*Assumptions!$C$8*(1+Assumptions!$C$11)^5+Assumptions!$C$16*$K718+Assumptions!$C$6*Assumptions!$C$9*(1+Assumptions!$C$12)^5</f>
        <v>908.6293669</v>
      </c>
      <c r="Q718" s="139">
        <f>($L718*(1-(Assumptions!$C$25+0.06*(1-1))-Assumptions!$C$27)-Assumptions!$C$28)-MAX(0,($L718*(1-(Assumptions!$C$25+0.06*(1-1))-Assumptions!$C$27)-Assumptions!$C$28)*Assumptions!$C$31)+Assumptions!$C$28-Assumptions!$C$29-$L718*Assumptions!$C$30</f>
        <v>94.38489347</v>
      </c>
      <c r="R718" s="139">
        <f>($M718*(1-(Assumptions!$C$25+0.06*(1-$H718))-Assumptions!$C$27)-Assumptions!$C$28)-MAX(0,($M718*(1-(Assumptions!$C$25+0.06*(1-$H718))-Assumptions!$C$27)-Assumptions!$C$28)*Assumptions!$C$31)+Assumptions!$C$28-Assumptions!$C$29-$M718*Assumptions!$C$30</f>
        <v>101.9456469</v>
      </c>
      <c r="S718" s="139">
        <f>($N718*(1-(Assumptions!$C$25+0.06*(1-$I718))-Assumptions!$C$27)-Assumptions!$C$28)-MAX(0,($N718*(1-(Assumptions!$C$25+0.06*(1-$I718))-Assumptions!$C$27)-Assumptions!$C$28)*Assumptions!$C$31)+Assumptions!$C$28-Assumptions!$C$29-$N718*Assumptions!$C$30</f>
        <v>43.20763604</v>
      </c>
      <c r="T718" s="139">
        <f>($O718*(1-(Assumptions!$C$25+0.06*(1-$J718))-Assumptions!$C$27)-Assumptions!$C$28)-MAX(0,($O718*(1-(Assumptions!$C$25+0.06*(1-$J718))-Assumptions!$C$27)-Assumptions!$C$28)*Assumptions!$C$31)+Assumptions!$C$28-Assumptions!$C$29-$O718*Assumptions!$C$30</f>
        <v>47.20360391</v>
      </c>
      <c r="U718" s="139">
        <f>($P718*(1-(Assumptions!$C$25+0.06*(1-$K718))-Assumptions!$C$27)-Assumptions!$C$28)-MAX(0,($P718*(1-(Assumptions!$C$25+0.06*(1-$K718))-Assumptions!$C$27)-Assumptions!$C$28)*Assumptions!$C$31)+Assumptions!$C$28-Assumptions!$C$29-$P718*Assumptions!$C$30</f>
        <v>127.8553139</v>
      </c>
      <c r="V718" s="143">
        <f>(($Q718/(1+$D718)^1+$R718/(1+$D718)^2+$S718/(1+$D718)^3+$T718/(1+$D718)^4+$U718/(1+$D718)^5+$U718*(1+$E718)/($D718-$E718)/(1+$D718)^5)-Assumptions!$C$37)/Assumptions!$C$40/Assumptions!$C$38</f>
        <v>7.407507451</v>
      </c>
    </row>
    <row r="719" ht="12.0" customHeight="1">
      <c r="B719" s="139">
        <v>667.0</v>
      </c>
      <c r="C719" s="140">
        <f t="shared" si="6"/>
        <v>0.702633925</v>
      </c>
      <c r="D719" s="141">
        <f t="shared" si="7"/>
        <v>0.1020840266</v>
      </c>
      <c r="E719" s="141">
        <f t="shared" si="8"/>
        <v>0.01078420586</v>
      </c>
      <c r="F719" s="140">
        <f t="shared" si="9"/>
        <v>0.4843853455</v>
      </c>
      <c r="G719" s="141">
        <f t="shared" si="10"/>
        <v>0.05952784486</v>
      </c>
      <c r="H719" s="142">
        <f t="shared" si="11"/>
        <v>0</v>
      </c>
      <c r="I719" s="142">
        <f t="shared" si="12"/>
        <v>1</v>
      </c>
      <c r="J719" s="142">
        <f t="shared" si="13"/>
        <v>1</v>
      </c>
      <c r="K719" s="142">
        <f t="shared" si="14"/>
        <v>1</v>
      </c>
      <c r="L719" s="139">
        <f>Assumptions!$C$6*Assumptions!$C$7*(1+$G719-0.05*(1-1))^1+Assumptions!$C$6*Assumptions!$C$8*(1+Assumptions!$C$11)^1+Assumptions!$C$16*1+Assumptions!$C$6*Assumptions!$C$9*(1+Assumptions!$C$12)^1</f>
        <v>746.5050726</v>
      </c>
      <c r="M719" s="139">
        <f>Assumptions!$C$6*Assumptions!$C$7*(1+$G719-0.05*(1-$H719))^2+Assumptions!$C$6*Assumptions!$C$8*(1+Assumptions!$C$11)^2+Assumptions!$C$16*$H719+Assumptions!$C$6*Assumptions!$C$9*(1+Assumptions!$C$12)^2</f>
        <v>679.5100616</v>
      </c>
      <c r="N719" s="139">
        <f>Assumptions!$C$6*Assumptions!$C$7*(1+$G719-0.05*(1-$I719))^3+Assumptions!$C$6*Assumptions!$C$8*(1+Assumptions!$C$11)^3+Assumptions!$C$16*$I719+Assumptions!$C$6*Assumptions!$C$9*(1+Assumptions!$C$12)^3</f>
        <v>803.5551788</v>
      </c>
      <c r="O719" s="139">
        <f>Assumptions!$C$6*Assumptions!$C$7*(1+$G719-0.05*(1-$J719))^4+Assumptions!$C$6*Assumptions!$C$8*(1+Assumptions!$C$11)^4+Assumptions!$C$16*$J719+Assumptions!$C$6*Assumptions!$C$9*(1+Assumptions!$C$12)^4</f>
        <v>834.2516706</v>
      </c>
      <c r="P719" s="139">
        <f>Assumptions!$C$6*Assumptions!$C$7*(1+$G719-0.05*(1-$K719))^5+Assumptions!$C$6*Assumptions!$C$8*(1+Assumptions!$C$11)^5+Assumptions!$C$16*$K719+Assumptions!$C$6*Assumptions!$C$9*(1+Assumptions!$C$12)^5</f>
        <v>866.5041435</v>
      </c>
      <c r="Q719" s="139">
        <f>($L719*(1-(Assumptions!$C$25+0.06*(1-1))-Assumptions!$C$27)-Assumptions!$C$28)-MAX(0,($L719*(1-(Assumptions!$C$25+0.06*(1-1))-Assumptions!$C$27)-Assumptions!$C$28)*Assumptions!$C$31)+Assumptions!$C$28-Assumptions!$C$29-$L719*Assumptions!$C$30</f>
        <v>92.9985906</v>
      </c>
      <c r="R719" s="139">
        <f>($M719*(1-(Assumptions!$C$25+0.06*(1-$H719))-Assumptions!$C$27)-Assumptions!$C$28)-MAX(0,($M719*(1-(Assumptions!$C$25+0.06*(1-$H719))-Assumptions!$C$27)-Assumptions!$C$28)*Assumptions!$C$31)+Assumptions!$C$28-Assumptions!$C$29-$M719*Assumptions!$C$30</f>
        <v>36.28731418</v>
      </c>
      <c r="S719" s="139">
        <f>($N719*(1-(Assumptions!$C$25+0.06*(1-$I719))-Assumptions!$C$27)-Assumptions!$C$28)-MAX(0,($N719*(1-(Assumptions!$C$25+0.06*(1-$I719))-Assumptions!$C$27)-Assumptions!$C$28)*Assumptions!$C$31)+Assumptions!$C$28-Assumptions!$C$29-$N719*Assumptions!$C$30</f>
        <v>105.2643634</v>
      </c>
      <c r="T719" s="139">
        <f>($O719*(1-(Assumptions!$C$25+0.06*(1-$J719))-Assumptions!$C$27)-Assumptions!$C$28)-MAX(0,($O719*(1-(Assumptions!$C$25+0.06*(1-$J719))-Assumptions!$C$27)-Assumptions!$C$28)*Assumptions!$C$31)+Assumptions!$C$28-Assumptions!$C$29-$O719*Assumptions!$C$30</f>
        <v>111.8641092</v>
      </c>
      <c r="U719" s="139">
        <f>($P719*(1-(Assumptions!$C$25+0.06*(1-$K719))-Assumptions!$C$27)-Assumptions!$C$28)-MAX(0,($P719*(1-(Assumptions!$C$25+0.06*(1-$K719))-Assumptions!$C$27)-Assumptions!$C$28)*Assumptions!$C$31)+Assumptions!$C$28-Assumptions!$C$29-$P719*Assumptions!$C$30</f>
        <v>118.7983908</v>
      </c>
      <c r="V719" s="143">
        <f>(($Q719/(1+$D719)^1+$R719/(1+$D719)^2+$S719/(1+$D719)^3+$T719/(1+$D719)^4+$U719/(1+$D719)^5+$U719*(1+$E719)/($D719-$E719)/(1+$D719)^5)-Assumptions!$C$37)/Assumptions!$C$40/Assumptions!$C$38</f>
        <v>3.582445924</v>
      </c>
    </row>
    <row r="720" ht="12.0" customHeight="1">
      <c r="B720" s="139">
        <v>668.0</v>
      </c>
      <c r="C720" s="140">
        <f t="shared" si="6"/>
        <v>0.9281916058</v>
      </c>
      <c r="D720" s="141">
        <f t="shared" si="7"/>
        <v>0.1086529921</v>
      </c>
      <c r="E720" s="141">
        <f t="shared" si="8"/>
        <v>0.02819762331</v>
      </c>
      <c r="F720" s="140">
        <f t="shared" si="9"/>
        <v>0.568409453</v>
      </c>
      <c r="G720" s="141">
        <f t="shared" si="10"/>
        <v>0.06212773808</v>
      </c>
      <c r="H720" s="142">
        <f t="shared" si="11"/>
        <v>1</v>
      </c>
      <c r="I720" s="142">
        <f t="shared" si="12"/>
        <v>0</v>
      </c>
      <c r="J720" s="142">
        <f t="shared" si="13"/>
        <v>1</v>
      </c>
      <c r="K720" s="142">
        <f t="shared" si="14"/>
        <v>0</v>
      </c>
      <c r="L720" s="139">
        <f>Assumptions!$C$6*Assumptions!$C$7*(1+$G720-0.05*(1-1))^1+Assumptions!$C$6*Assumptions!$C$8*(1+Assumptions!$C$11)^1+Assumptions!$C$16*1+Assumptions!$C$6*Assumptions!$C$9*(1+Assumptions!$C$12)^1</f>
        <v>747.3801966</v>
      </c>
      <c r="M720" s="139">
        <f>Assumptions!$C$6*Assumptions!$C$7*(1+$G720-0.05*(1-$H720))^2+Assumptions!$C$6*Assumptions!$C$8*(1+Assumptions!$C$11)^2+Assumptions!$C$16*$H720+Assumptions!$C$6*Assumptions!$C$9*(1+Assumptions!$C$12)^2</f>
        <v>776.1889807</v>
      </c>
      <c r="N720" s="139">
        <f>Assumptions!$C$6*Assumptions!$C$7*(1+$G720-0.05*(1-$I720))^3+Assumptions!$C$6*Assumptions!$C$8*(1+Assumptions!$C$11)^3+Assumptions!$C$16*$I720+Assumptions!$C$6*Assumptions!$C$9*(1+Assumptions!$C$12)^3</f>
        <v>692.190381</v>
      </c>
      <c r="O720" s="139">
        <f>Assumptions!$C$6*Assumptions!$C$7*(1+$G720-0.05*(1-$J720))^4+Assumptions!$C$6*Assumptions!$C$8*(1+Assumptions!$C$11)^4+Assumptions!$C$16*$J720+Assumptions!$C$6*Assumptions!$C$9*(1+Assumptions!$C$12)^4</f>
        <v>838.430599</v>
      </c>
      <c r="P720" s="139">
        <f>Assumptions!$C$6*Assumptions!$C$7*(1+$G720-0.05*(1-$K720))^5+Assumptions!$C$6*Assumptions!$C$8*(1+Assumptions!$C$11)^5+Assumptions!$C$16*$K720+Assumptions!$C$6*Assumptions!$C$9*(1+Assumptions!$C$12)^5</f>
        <v>714.5718337</v>
      </c>
      <c r="Q720" s="139">
        <f>($L720*(1-(Assumptions!$C$25+0.06*(1-1))-Assumptions!$C$27)-Assumptions!$C$28)-MAX(0,($L720*(1-(Assumptions!$C$25+0.06*(1-1))-Assumptions!$C$27)-Assumptions!$C$28)*Assumptions!$C$31)+Assumptions!$C$28-Assumptions!$C$29-$L720*Assumptions!$C$30</f>
        <v>93.18674228</v>
      </c>
      <c r="R720" s="139">
        <f>($M720*(1-(Assumptions!$C$25+0.06*(1-$H720))-Assumptions!$C$27)-Assumptions!$C$28)-MAX(0,($M720*(1-(Assumptions!$C$25+0.06*(1-$H720))-Assumptions!$C$27)-Assumptions!$C$28)*Assumptions!$C$31)+Assumptions!$C$28-Assumptions!$C$29-$M720*Assumptions!$C$30</f>
        <v>99.38063086</v>
      </c>
      <c r="S720" s="139">
        <f>($N720*(1-(Assumptions!$C$25+0.06*(1-$I720))-Assumptions!$C$27)-Assumptions!$C$28)-MAX(0,($N720*(1-(Assumptions!$C$25+0.06*(1-$I720))-Assumptions!$C$27)-Assumptions!$C$28)*Assumptions!$C$31)+Assumptions!$C$28-Assumptions!$C$29-$N720*Assumptions!$C$30</f>
        <v>39.20378762</v>
      </c>
      <c r="T720" s="139">
        <f>($O720*(1-(Assumptions!$C$25+0.06*(1-$J720))-Assumptions!$C$27)-Assumptions!$C$28)-MAX(0,($O720*(1-(Assumptions!$C$25+0.06*(1-$J720))-Assumptions!$C$27)-Assumptions!$C$28)*Assumptions!$C$31)+Assumptions!$C$28-Assumptions!$C$29-$O720*Assumptions!$C$30</f>
        <v>112.7625788</v>
      </c>
      <c r="U720" s="139">
        <f>($P720*(1-(Assumptions!$C$25+0.06*(1-$K720))-Assumptions!$C$27)-Assumptions!$C$28)-MAX(0,($P720*(1-(Assumptions!$C$25+0.06*(1-$K720))-Assumptions!$C$27)-Assumptions!$C$28)*Assumptions!$C$31)+Assumptions!$C$28-Assumptions!$C$29-$P720*Assumptions!$C$30</f>
        <v>44.35152176</v>
      </c>
      <c r="V720" s="143">
        <f>(($Q720/(1+$D720)^1+$R720/(1+$D720)^2+$S720/(1+$D720)^3+$T720/(1+$D720)^4+$U720/(1+$D720)^5+$U720*(1+$E720)/($D720-$E720)/(1+$D720)^5)-Assumptions!$C$37)/Assumptions!$C$40/Assumptions!$C$38</f>
        <v>-0.4563820829</v>
      </c>
    </row>
    <row r="721" ht="12.0" customHeight="1">
      <c r="B721" s="139">
        <v>669.0</v>
      </c>
      <c r="C721" s="140">
        <f t="shared" si="6"/>
        <v>0.002882231659</v>
      </c>
      <c r="D721" s="141">
        <f t="shared" si="7"/>
        <v>0.08598847182</v>
      </c>
      <c r="E721" s="141">
        <f t="shared" si="8"/>
        <v>0.02154819214</v>
      </c>
      <c r="F721" s="140">
        <f t="shared" si="9"/>
        <v>0.3299933591</v>
      </c>
      <c r="G721" s="141">
        <f t="shared" si="10"/>
        <v>0.05437186998</v>
      </c>
      <c r="H721" s="142">
        <f t="shared" si="11"/>
        <v>1</v>
      </c>
      <c r="I721" s="142">
        <f t="shared" si="12"/>
        <v>1</v>
      </c>
      <c r="J721" s="142">
        <f t="shared" si="13"/>
        <v>1</v>
      </c>
      <c r="K721" s="142">
        <f t="shared" si="14"/>
        <v>1</v>
      </c>
      <c r="L721" s="139">
        <f>Assumptions!$C$6*Assumptions!$C$7*(1+$G721-0.05*(1-1))^1+Assumptions!$C$6*Assumptions!$C$8*(1+Assumptions!$C$11)^1+Assumptions!$C$16*1+Assumptions!$C$6*Assumptions!$C$9*(1+Assumptions!$C$12)^1</f>
        <v>744.7695714</v>
      </c>
      <c r="M721" s="139">
        <f>Assumptions!$C$6*Assumptions!$C$7*(1+$G721-0.05*(1-$H721))^2+Assumptions!$C$6*Assumptions!$C$8*(1+Assumptions!$C$11)^2+Assumptions!$C$16*$H721+Assumptions!$C$6*Assumptions!$C$9*(1+Assumptions!$C$12)^2</f>
        <v>770.6635935</v>
      </c>
      <c r="N721" s="139">
        <f>Assumptions!$C$6*Assumptions!$C$7*(1+$G721-0.05*(1-$I721))^3+Assumptions!$C$6*Assumptions!$C$8*(1+Assumptions!$C$11)^3+Assumptions!$C$16*$I721+Assumptions!$C$6*Assumptions!$C$9*(1+Assumptions!$C$12)^3</f>
        <v>797.7387584</v>
      </c>
      <c r="O721" s="139">
        <f>Assumptions!$C$6*Assumptions!$C$7*(1+$G721-0.05*(1-$J721))^4+Assumptions!$C$6*Assumptions!$C$8*(1+Assumptions!$C$11)^4+Assumptions!$C$16*$J721+Assumptions!$C$6*Assumptions!$C$9*(1+Assumptions!$C$12)^4</f>
        <v>826.0547518</v>
      </c>
      <c r="P721" s="139">
        <f>Assumptions!$C$6*Assumptions!$C$7*(1+$G721-0.05*(1-$K721))^5+Assumptions!$C$6*Assumptions!$C$8*(1+Assumptions!$C$11)^5+Assumptions!$C$16*$K721+Assumptions!$C$6*Assumptions!$C$9*(1+Assumptions!$C$12)^5</f>
        <v>855.6744138</v>
      </c>
      <c r="Q721" s="139">
        <f>($L721*(1-(Assumptions!$C$25+0.06*(1-1))-Assumptions!$C$27)-Assumptions!$C$28)-MAX(0,($L721*(1-(Assumptions!$C$25+0.06*(1-1))-Assumptions!$C$27)-Assumptions!$C$28)*Assumptions!$C$31)+Assumptions!$C$28-Assumptions!$C$29-$L721*Assumptions!$C$30</f>
        <v>92.62545786</v>
      </c>
      <c r="R721" s="139">
        <f>($M721*(1-(Assumptions!$C$25+0.06*(1-$H721))-Assumptions!$C$27)-Assumptions!$C$28)-MAX(0,($M721*(1-(Assumptions!$C$25+0.06*(1-$H721))-Assumptions!$C$27)-Assumptions!$C$28)*Assumptions!$C$31)+Assumptions!$C$28-Assumptions!$C$29-$M721*Assumptions!$C$30</f>
        <v>98.19267261</v>
      </c>
      <c r="S721" s="139">
        <f>($N721*(1-(Assumptions!$C$25+0.06*(1-$I721))-Assumptions!$C$27)-Assumptions!$C$28)-MAX(0,($N721*(1-(Assumptions!$C$25+0.06*(1-$I721))-Assumptions!$C$27)-Assumptions!$C$28)*Assumptions!$C$31)+Assumptions!$C$28-Assumptions!$C$29-$N721*Assumptions!$C$30</f>
        <v>104.0138331</v>
      </c>
      <c r="T721" s="139">
        <f>($O721*(1-(Assumptions!$C$25+0.06*(1-$J721))-Assumptions!$C$27)-Assumptions!$C$28)-MAX(0,($O721*(1-(Assumptions!$C$25+0.06*(1-$J721))-Assumptions!$C$27)-Assumptions!$C$28)*Assumptions!$C$31)+Assumptions!$C$28-Assumptions!$C$29-$O721*Assumptions!$C$30</f>
        <v>110.1017716</v>
      </c>
      <c r="U721" s="139">
        <f>($P721*(1-(Assumptions!$C$25+0.06*(1-$K721))-Assumptions!$C$27)-Assumptions!$C$28)-MAX(0,($P721*(1-(Assumptions!$C$25+0.06*(1-$K721))-Assumptions!$C$27)-Assumptions!$C$28)*Assumptions!$C$31)+Assumptions!$C$28-Assumptions!$C$29-$P721*Assumptions!$C$30</f>
        <v>116.469999</v>
      </c>
      <c r="V721" s="143">
        <f>(($Q721/(1+$D721)^1+$R721/(1+$D721)^2+$S721/(1+$D721)^3+$T721/(1+$D721)^4+$U721/(1+$D721)^5+$U721*(1+$E721)/($D721-$E721)/(1+$D721)^5)-Assumptions!$C$37)/Assumptions!$C$40/Assumptions!$C$38</f>
        <v>7.309641423</v>
      </c>
    </row>
    <row r="722" ht="12.0" customHeight="1">
      <c r="B722" s="139">
        <v>670.0</v>
      </c>
      <c r="C722" s="140">
        <f t="shared" si="6"/>
        <v>0.3396474341</v>
      </c>
      <c r="D722" s="141">
        <f t="shared" si="7"/>
        <v>0.09573035322</v>
      </c>
      <c r="E722" s="141">
        <f t="shared" si="8"/>
        <v>0.02410715648</v>
      </c>
      <c r="F722" s="140">
        <f t="shared" si="9"/>
        <v>0.1997557922</v>
      </c>
      <c r="G722" s="141">
        <f t="shared" si="10"/>
        <v>0.04896207863</v>
      </c>
      <c r="H722" s="142">
        <f t="shared" si="11"/>
        <v>1</v>
      </c>
      <c r="I722" s="142">
        <f t="shared" si="12"/>
        <v>1</v>
      </c>
      <c r="J722" s="142">
        <f t="shared" si="13"/>
        <v>0</v>
      </c>
      <c r="K722" s="142">
        <f t="shared" si="14"/>
        <v>0</v>
      </c>
      <c r="L722" s="139">
        <f>Assumptions!$C$6*Assumptions!$C$7*(1+$G722-0.05*(1-1))^1+Assumptions!$C$6*Assumptions!$C$8*(1+Assumptions!$C$11)^1+Assumptions!$C$16*1+Assumptions!$C$6*Assumptions!$C$9*(1+Assumptions!$C$12)^1</f>
        <v>742.9486357</v>
      </c>
      <c r="M722" s="139">
        <f>Assumptions!$C$6*Assumptions!$C$7*(1+$G722-0.05*(1-$H722))^2+Assumptions!$C$6*Assumptions!$C$8*(1+Assumptions!$C$11)^2+Assumptions!$C$16*$H722+Assumptions!$C$6*Assumptions!$C$9*(1+Assumptions!$C$12)^2</f>
        <v>766.8335575</v>
      </c>
      <c r="N722" s="139">
        <f>Assumptions!$C$6*Assumptions!$C$7*(1+$G722-0.05*(1-$I722))^3+Assumptions!$C$6*Assumptions!$C$8*(1+Assumptions!$C$11)^3+Assumptions!$C$16*$I722+Assumptions!$C$6*Assumptions!$C$9*(1+Assumptions!$C$12)^3</f>
        <v>791.6968615</v>
      </c>
      <c r="O722" s="139">
        <f>Assumptions!$C$6*Assumptions!$C$7*(1+$G722-0.05*(1-$J722))^4+Assumptions!$C$6*Assumptions!$C$8*(1+Assumptions!$C$11)^4+Assumptions!$C$16*$J722+Assumptions!$C$6*Assumptions!$C$9*(1+Assumptions!$C$12)^4</f>
        <v>685.2632774</v>
      </c>
      <c r="P722" s="139">
        <f>Assumptions!$C$6*Assumptions!$C$7*(1+$G722-0.05*(1-$K722))^5+Assumptions!$C$6*Assumptions!$C$8*(1+Assumptions!$C$11)^5+Assumptions!$C$16*$K722+Assumptions!$C$6*Assumptions!$C$9*(1+Assumptions!$C$12)^5</f>
        <v>691.9165325</v>
      </c>
      <c r="Q722" s="139">
        <f>($L722*(1-(Assumptions!$C$25+0.06*(1-1))-Assumptions!$C$27)-Assumptions!$C$28)-MAX(0,($L722*(1-(Assumptions!$C$25+0.06*(1-1))-Assumptions!$C$27)-Assumptions!$C$28)*Assumptions!$C$31)+Assumptions!$C$28-Assumptions!$C$29-$L722*Assumptions!$C$30</f>
        <v>92.23395667</v>
      </c>
      <c r="R722" s="139">
        <f>($M722*(1-(Assumptions!$C$25+0.06*(1-$H722))-Assumptions!$C$27)-Assumptions!$C$28)-MAX(0,($M722*(1-(Assumptions!$C$25+0.06*(1-$H722))-Assumptions!$C$27)-Assumptions!$C$28)*Assumptions!$C$31)+Assumptions!$C$28-Assumptions!$C$29-$M722*Assumptions!$C$30</f>
        <v>97.36921487</v>
      </c>
      <c r="S722" s="139">
        <f>($N722*(1-(Assumptions!$C$25+0.06*(1-$I722))-Assumptions!$C$27)-Assumptions!$C$28)-MAX(0,($N722*(1-(Assumptions!$C$25+0.06*(1-$I722))-Assumptions!$C$27)-Assumptions!$C$28)*Assumptions!$C$31)+Assumptions!$C$28-Assumptions!$C$29-$N722*Assumptions!$C$30</f>
        <v>102.7148252</v>
      </c>
      <c r="T722" s="139">
        <f>($O722*(1-(Assumptions!$C$25+0.06*(1-$J722))-Assumptions!$C$27)-Assumptions!$C$28)-MAX(0,($O722*(1-(Assumptions!$C$25+0.06*(1-$J722))-Assumptions!$C$27)-Assumptions!$C$28)*Assumptions!$C$31)+Assumptions!$C$28-Assumptions!$C$29-$O722*Assumptions!$C$30</f>
        <v>37.6105538</v>
      </c>
      <c r="U722" s="139">
        <f>($P722*(1-(Assumptions!$C$25+0.06*(1-$K722))-Assumptions!$C$27)-Assumptions!$C$28)-MAX(0,($P722*(1-(Assumptions!$C$25+0.06*(1-$K722))-Assumptions!$C$27)-Assumptions!$C$28)*Assumptions!$C$31)+Assumptions!$C$28-Assumptions!$C$29-$P722*Assumptions!$C$30</f>
        <v>39.14080247</v>
      </c>
      <c r="V722" s="143">
        <f>(($Q722/(1+$D722)^1+$R722/(1+$D722)^2+$S722/(1+$D722)^3+$T722/(1+$D722)^4+$U722/(1+$D722)^5+$U722*(1+$E722)/($D722-$E722)/(1+$D722)^5)-Assumptions!$C$37)/Assumptions!$C$40/Assumptions!$C$38</f>
        <v>-0.3367477998</v>
      </c>
    </row>
    <row r="723" ht="12.0" customHeight="1">
      <c r="B723" s="139">
        <v>671.0</v>
      </c>
      <c r="C723" s="140">
        <f t="shared" si="6"/>
        <v>0.5536807266</v>
      </c>
      <c r="D723" s="141">
        <f t="shared" si="7"/>
        <v>0.09917643806</v>
      </c>
      <c r="E723" s="141">
        <f t="shared" si="8"/>
        <v>0.01949419476</v>
      </c>
      <c r="F723" s="140">
        <f t="shared" si="9"/>
        <v>0.628291541</v>
      </c>
      <c r="G723" s="141">
        <f t="shared" si="10"/>
        <v>0.06413351152</v>
      </c>
      <c r="H723" s="142">
        <f t="shared" si="11"/>
        <v>1</v>
      </c>
      <c r="I723" s="142">
        <f t="shared" si="12"/>
        <v>1</v>
      </c>
      <c r="J723" s="142">
        <f t="shared" si="13"/>
        <v>0</v>
      </c>
      <c r="K723" s="142">
        <f t="shared" si="14"/>
        <v>1</v>
      </c>
      <c r="L723" s="139">
        <f>Assumptions!$C$6*Assumptions!$C$7*(1+$G723-0.05*(1-1))^1+Assumptions!$C$6*Assumptions!$C$8*(1+Assumptions!$C$11)^1+Assumptions!$C$16*1+Assumptions!$C$6*Assumptions!$C$9*(1+Assumptions!$C$12)^1</f>
        <v>748.05534</v>
      </c>
      <c r="M723" s="139">
        <f>Assumptions!$C$6*Assumptions!$C$7*(1+$G723-0.05*(1-$H723))^2+Assumptions!$C$6*Assumptions!$C$8*(1+Assumptions!$C$11)^2+Assumptions!$C$16*$H723+Assumptions!$C$6*Assumptions!$C$9*(1+Assumptions!$C$12)^2</f>
        <v>777.6245119</v>
      </c>
      <c r="N723" s="139">
        <f>Assumptions!$C$6*Assumptions!$C$7*(1+$G723-0.05*(1-$I723))^3+Assumptions!$C$6*Assumptions!$C$8*(1+Assumptions!$C$11)^3+Assumptions!$C$16*$I723+Assumptions!$C$6*Assumptions!$C$9*(1+Assumptions!$C$12)^3</f>
        <v>808.7988939</v>
      </c>
      <c r="O723" s="139">
        <f>Assumptions!$C$6*Assumptions!$C$7*(1+$G723-0.05*(1-$J723))^4+Assumptions!$C$6*Assumptions!$C$8*(1+Assumptions!$C$11)^4+Assumptions!$C$16*$J723+Assumptions!$C$6*Assumptions!$C$9*(1+Assumptions!$C$12)^4</f>
        <v>706.0951626</v>
      </c>
      <c r="P723" s="139">
        <f>Assumptions!$C$6*Assumptions!$C$7*(1+$G723-0.05*(1-$K723))^5+Assumptions!$C$6*Assumptions!$C$8*(1+Assumptions!$C$11)^5+Assumptions!$C$16*$K723+Assumptions!$C$6*Assumptions!$C$9*(1+Assumptions!$C$12)^5</f>
        <v>876.3578989</v>
      </c>
      <c r="Q723" s="139">
        <f>($L723*(1-(Assumptions!$C$25+0.06*(1-1))-Assumptions!$C$27)-Assumptions!$C$28)-MAX(0,($L723*(1-(Assumptions!$C$25+0.06*(1-1))-Assumptions!$C$27)-Assumptions!$C$28)*Assumptions!$C$31)+Assumptions!$C$28-Assumptions!$C$29-$L723*Assumptions!$C$30</f>
        <v>93.3318981</v>
      </c>
      <c r="R723" s="139">
        <f>($M723*(1-(Assumptions!$C$25+0.06*(1-$H723))-Assumptions!$C$27)-Assumptions!$C$28)-MAX(0,($M723*(1-(Assumptions!$C$25+0.06*(1-$H723))-Assumptions!$C$27)-Assumptions!$C$28)*Assumptions!$C$31)+Assumptions!$C$28-Assumptions!$C$29-$M723*Assumptions!$C$30</f>
        <v>99.68927005</v>
      </c>
      <c r="S723" s="139">
        <f>($N723*(1-(Assumptions!$C$25+0.06*(1-$I723))-Assumptions!$C$27)-Assumptions!$C$28)-MAX(0,($N723*(1-(Assumptions!$C$25+0.06*(1-$I723))-Assumptions!$C$27)-Assumptions!$C$28)*Assumptions!$C$31)+Assumptions!$C$28-Assumptions!$C$29-$N723*Assumptions!$C$30</f>
        <v>106.3917622</v>
      </c>
      <c r="T723" s="139">
        <f>($O723*(1-(Assumptions!$C$25+0.06*(1-$J723))-Assumptions!$C$27)-Assumptions!$C$28)-MAX(0,($O723*(1-(Assumptions!$C$25+0.06*(1-$J723))-Assumptions!$C$27)-Assumptions!$C$28)*Assumptions!$C$31)+Assumptions!$C$28-Assumptions!$C$29-$O723*Assumptions!$C$30</f>
        <v>42.40188741</v>
      </c>
      <c r="U723" s="139">
        <f>($P723*(1-(Assumptions!$C$25+0.06*(1-$K723))-Assumptions!$C$27)-Assumptions!$C$28)-MAX(0,($P723*(1-(Assumptions!$C$25+0.06*(1-$K723))-Assumptions!$C$27)-Assumptions!$C$28)*Assumptions!$C$31)+Assumptions!$C$28-Assumptions!$C$29-$P723*Assumptions!$C$30</f>
        <v>120.9169483</v>
      </c>
      <c r="V723" s="143">
        <f>(($Q723/(1+$D723)^1+$R723/(1+$D723)^2+$S723/(1+$D723)^3+$T723/(1+$D723)^4+$U723/(1+$D723)^5+$U723*(1+$E723)/($D723-$E723)/(1+$D723)^5)-Assumptions!$C$37)/Assumptions!$C$40/Assumptions!$C$38</f>
        <v>4.873255241</v>
      </c>
    </row>
    <row r="724" ht="12.0" customHeight="1">
      <c r="B724" s="139">
        <v>672.0</v>
      </c>
      <c r="C724" s="140">
        <f t="shared" si="6"/>
        <v>0.3727985897</v>
      </c>
      <c r="D724" s="141">
        <f t="shared" si="7"/>
        <v>0.09624182912</v>
      </c>
      <c r="E724" s="141">
        <f t="shared" si="8"/>
        <v>0.013054023</v>
      </c>
      <c r="F724" s="140">
        <f t="shared" si="9"/>
        <v>0.3501571291</v>
      </c>
      <c r="G724" s="141">
        <f t="shared" si="10"/>
        <v>0.05510543432</v>
      </c>
      <c r="H724" s="142">
        <f t="shared" si="11"/>
        <v>1</v>
      </c>
      <c r="I724" s="142">
        <f t="shared" si="12"/>
        <v>0</v>
      </c>
      <c r="J724" s="142">
        <f t="shared" si="13"/>
        <v>0</v>
      </c>
      <c r="K724" s="142">
        <f t="shared" si="14"/>
        <v>1</v>
      </c>
      <c r="L724" s="139">
        <f>Assumptions!$C$6*Assumptions!$C$7*(1+$G724-0.05*(1-1))^1+Assumptions!$C$6*Assumptions!$C$8*(1+Assumptions!$C$11)^1+Assumptions!$C$16*1+Assumptions!$C$6*Assumptions!$C$9*(1+Assumptions!$C$12)^1</f>
        <v>745.0164892</v>
      </c>
      <c r="M724" s="139">
        <f>Assumptions!$C$6*Assumptions!$C$7*(1+$G724-0.05*(1-$H724))^2+Assumptions!$C$6*Assumptions!$C$8*(1+Assumptions!$C$11)^2+Assumptions!$C$16*$H724+Assumptions!$C$6*Assumptions!$C$9*(1+Assumptions!$C$12)^2</f>
        <v>771.1844609</v>
      </c>
      <c r="N724" s="139">
        <f>Assumptions!$C$6*Assumptions!$C$7*(1+$G724-0.05*(1-$I724))^3+Assumptions!$C$6*Assumptions!$C$8*(1+Assumptions!$C$11)^3+Assumptions!$C$16*$I724+Assumptions!$C$6*Assumptions!$C$9*(1+Assumptions!$C$12)^3</f>
        <v>684.9765005</v>
      </c>
      <c r="O724" s="139">
        <f>Assumptions!$C$6*Assumptions!$C$7*(1+$G724-0.05*(1-$J724))^4+Assumptions!$C$6*Assumptions!$C$8*(1+Assumptions!$C$11)^4+Assumptions!$C$16*$J724+Assumptions!$C$6*Assumptions!$C$9*(1+Assumptions!$C$12)^4</f>
        <v>693.5853385</v>
      </c>
      <c r="P724" s="139">
        <f>Assumptions!$C$6*Assumptions!$C$7*(1+$G724-0.05*(1-$K724))^5+Assumptions!$C$6*Assumptions!$C$8*(1+Assumptions!$C$11)^5+Assumptions!$C$16*$K724+Assumptions!$C$6*Assumptions!$C$9*(1+Assumptions!$C$12)^5</f>
        <v>857.2023383</v>
      </c>
      <c r="Q724" s="139">
        <f>($L724*(1-(Assumptions!$C$25+0.06*(1-1))-Assumptions!$C$27)-Assumptions!$C$28)-MAX(0,($L724*(1-(Assumptions!$C$25+0.06*(1-1))-Assumptions!$C$27)-Assumptions!$C$28)*Assumptions!$C$31)+Assumptions!$C$28-Assumptions!$C$29-$L724*Assumptions!$C$30</f>
        <v>92.67854518</v>
      </c>
      <c r="R724" s="139">
        <f>($M724*(1-(Assumptions!$C$25+0.06*(1-$H724))-Assumptions!$C$27)-Assumptions!$C$28)-MAX(0,($M724*(1-(Assumptions!$C$25+0.06*(1-$H724))-Assumptions!$C$27)-Assumptions!$C$28)*Assumptions!$C$31)+Assumptions!$C$28-Assumptions!$C$29-$M724*Assumptions!$C$30</f>
        <v>98.3046591</v>
      </c>
      <c r="S724" s="139">
        <f>($N724*(1-(Assumptions!$C$25+0.06*(1-$I724))-Assumptions!$C$27)-Assumptions!$C$28)-MAX(0,($N724*(1-(Assumptions!$C$25+0.06*(1-$I724))-Assumptions!$C$27)-Assumptions!$C$28)*Assumptions!$C$31)+Assumptions!$C$28-Assumptions!$C$29-$N724*Assumptions!$C$30</f>
        <v>37.54459511</v>
      </c>
      <c r="T724" s="139">
        <f>($O724*(1-(Assumptions!$C$25+0.06*(1-$J724))-Assumptions!$C$27)-Assumptions!$C$28)-MAX(0,($O724*(1-(Assumptions!$C$25+0.06*(1-$J724))-Assumptions!$C$27)-Assumptions!$C$28)*Assumptions!$C$31)+Assumptions!$C$28-Assumptions!$C$29-$O724*Assumptions!$C$30</f>
        <v>39.52462786</v>
      </c>
      <c r="U724" s="139">
        <f>($P724*(1-(Assumptions!$C$25+0.06*(1-$K724))-Assumptions!$C$27)-Assumptions!$C$28)-MAX(0,($P724*(1-(Assumptions!$C$25+0.06*(1-$K724))-Assumptions!$C$27)-Assumptions!$C$28)*Assumptions!$C$31)+Assumptions!$C$28-Assumptions!$C$29-$P724*Assumptions!$C$30</f>
        <v>116.7985027</v>
      </c>
      <c r="V724" s="143">
        <f>(($Q724/(1+$D724)^1+$R724/(1+$D724)^2+$S724/(1+$D724)^3+$T724/(1+$D724)^4+$U724/(1+$D724)^5+$U724*(1+$E724)/($D724-$E724)/(1+$D724)^5)-Assumptions!$C$37)/Assumptions!$C$40/Assumptions!$C$38</f>
        <v>3.923073481</v>
      </c>
    </row>
    <row r="725" ht="12.0" customHeight="1">
      <c r="B725" s="139">
        <v>673.0</v>
      </c>
      <c r="C725" s="140">
        <f t="shared" si="6"/>
        <v>0.09005388987</v>
      </c>
      <c r="D725" s="141">
        <f t="shared" si="7"/>
        <v>0.09052523924</v>
      </c>
      <c r="E725" s="141">
        <f t="shared" si="8"/>
        <v>0.02827572696</v>
      </c>
      <c r="F725" s="140">
        <f t="shared" si="9"/>
        <v>0.11823406</v>
      </c>
      <c r="G725" s="141">
        <f t="shared" si="10"/>
        <v>0.04458839635</v>
      </c>
      <c r="H725" s="142">
        <f t="shared" si="11"/>
        <v>1</v>
      </c>
      <c r="I725" s="142">
        <f t="shared" si="12"/>
        <v>1</v>
      </c>
      <c r="J725" s="142">
        <f t="shared" si="13"/>
        <v>1</v>
      </c>
      <c r="K725" s="142">
        <f t="shared" si="14"/>
        <v>1</v>
      </c>
      <c r="L725" s="139">
        <f>Assumptions!$C$6*Assumptions!$C$7*(1+$G725-0.05*(1-1))^1+Assumptions!$C$6*Assumptions!$C$8*(1+Assumptions!$C$11)^1+Assumptions!$C$16*1+Assumptions!$C$6*Assumptions!$C$9*(1+Assumptions!$C$12)^1</f>
        <v>741.4764542</v>
      </c>
      <c r="M725" s="139">
        <f>Assumptions!$C$6*Assumptions!$C$7*(1+$G725-0.05*(1-$H725))^2+Assumptions!$C$6*Assumptions!$C$8*(1+Assumptions!$C$11)^2+Assumptions!$C$16*$H725+Assumptions!$C$6*Assumptions!$C$9*(1+Assumptions!$C$12)^2</f>
        <v>763.7514713</v>
      </c>
      <c r="N725" s="139">
        <f>Assumptions!$C$6*Assumptions!$C$7*(1+$G725-0.05*(1-$I725))^3+Assumptions!$C$6*Assumptions!$C$8*(1+Assumptions!$C$11)^3+Assumptions!$C$16*$I725+Assumptions!$C$6*Assumptions!$C$9*(1+Assumptions!$C$12)^3</f>
        <v>786.8574772</v>
      </c>
      <c r="O725" s="139">
        <f>Assumptions!$C$6*Assumptions!$C$7*(1+$G725-0.05*(1-$J725))^4+Assumptions!$C$6*Assumptions!$C$8*(1+Assumptions!$C$11)^4+Assumptions!$C$16*$J725+Assumptions!$C$6*Assumptions!$C$9*(1+Assumptions!$C$12)^4</f>
        <v>810.82828</v>
      </c>
      <c r="P725" s="139">
        <f>Assumptions!$C$6*Assumptions!$C$7*(1+$G725-0.05*(1-$K725))^5+Assumptions!$C$6*Assumptions!$C$8*(1+Assumptions!$C$11)^5+Assumptions!$C$16*$K725+Assumptions!$C$6*Assumptions!$C$9*(1+Assumptions!$C$12)^5</f>
        <v>835.6991303</v>
      </c>
      <c r="Q725" s="139">
        <f>($L725*(1-(Assumptions!$C$25+0.06*(1-1))-Assumptions!$C$27)-Assumptions!$C$28)-MAX(0,($L725*(1-(Assumptions!$C$25+0.06*(1-1))-Assumptions!$C$27)-Assumptions!$C$28)*Assumptions!$C$31)+Assumptions!$C$28-Assumptions!$C$29-$L725*Assumptions!$C$30</f>
        <v>91.91743766</v>
      </c>
      <c r="R725" s="139">
        <f>($M725*(1-(Assumptions!$C$25+0.06*(1-$H725))-Assumptions!$C$27)-Assumptions!$C$28)-MAX(0,($M725*(1-(Assumptions!$C$25+0.06*(1-$H725))-Assumptions!$C$27)-Assumptions!$C$28)*Assumptions!$C$31)+Assumptions!$C$28-Assumptions!$C$29-$M725*Assumptions!$C$30</f>
        <v>96.70656634</v>
      </c>
      <c r="S725" s="139">
        <f>($N725*(1-(Assumptions!$C$25+0.06*(1-$I725))-Assumptions!$C$27)-Assumptions!$C$28)-MAX(0,($N725*(1-(Assumptions!$C$25+0.06*(1-$I725))-Assumptions!$C$27)-Assumptions!$C$28)*Assumptions!$C$31)+Assumptions!$C$28-Assumptions!$C$29-$N725*Assumptions!$C$30</f>
        <v>101.6743576</v>
      </c>
      <c r="T725" s="139">
        <f>($O725*(1-(Assumptions!$C$25+0.06*(1-$J725))-Assumptions!$C$27)-Assumptions!$C$28)-MAX(0,($O725*(1-(Assumptions!$C$25+0.06*(1-$J725))-Assumptions!$C$27)-Assumptions!$C$28)*Assumptions!$C$31)+Assumptions!$C$28-Assumptions!$C$29-$O725*Assumptions!$C$30</f>
        <v>106.8280802</v>
      </c>
      <c r="U725" s="139">
        <f>($P725*(1-(Assumptions!$C$25+0.06*(1-$K725))-Assumptions!$C$27)-Assumptions!$C$28)-MAX(0,($P725*(1-(Assumptions!$C$25+0.06*(1-$K725))-Assumptions!$C$27)-Assumptions!$C$28)*Assumptions!$C$31)+Assumptions!$C$28-Assumptions!$C$29-$P725*Assumptions!$C$30</f>
        <v>112.175313</v>
      </c>
      <c r="V725" s="143">
        <f>(($Q725/(1+$D725)^1+$R725/(1+$D725)^2+$S725/(1+$D725)^3+$T725/(1+$D725)^4+$U725/(1+$D725)^5+$U725*(1+$E725)/($D725-$E725)/(1+$D725)^5)-Assumptions!$C$37)/Assumptions!$C$40/Assumptions!$C$38</f>
        <v>7.03902452</v>
      </c>
    </row>
    <row r="726" ht="12.0" customHeight="1">
      <c r="B726" s="139">
        <v>674.0</v>
      </c>
      <c r="C726" s="140">
        <f t="shared" si="6"/>
        <v>0.3322866267</v>
      </c>
      <c r="D726" s="141">
        <f t="shared" si="7"/>
        <v>0.09561344272</v>
      </c>
      <c r="E726" s="141">
        <f t="shared" si="8"/>
        <v>0.02123784602</v>
      </c>
      <c r="F726" s="140">
        <f t="shared" si="9"/>
        <v>0.6708476819</v>
      </c>
      <c r="G726" s="141">
        <f t="shared" si="10"/>
        <v>0.06565920764</v>
      </c>
      <c r="H726" s="142">
        <f t="shared" si="11"/>
        <v>1</v>
      </c>
      <c r="I726" s="142">
        <f t="shared" si="12"/>
        <v>0</v>
      </c>
      <c r="J726" s="142">
        <f t="shared" si="13"/>
        <v>0</v>
      </c>
      <c r="K726" s="142">
        <f t="shared" si="14"/>
        <v>1</v>
      </c>
      <c r="L726" s="139">
        <f>Assumptions!$C$6*Assumptions!$C$7*(1+$G726-0.05*(1-1))^1+Assumptions!$C$6*Assumptions!$C$8*(1+Assumptions!$C$11)^1+Assumptions!$C$16*1+Assumptions!$C$6*Assumptions!$C$9*(1+Assumptions!$C$12)^1</f>
        <v>748.5688893</v>
      </c>
      <c r="M726" s="139">
        <f>Assumptions!$C$6*Assumptions!$C$7*(1+$G726-0.05*(1-$H726))^2+Assumptions!$C$6*Assumptions!$C$8*(1+Assumptions!$C$11)^2+Assumptions!$C$16*$H726+Assumptions!$C$6*Assumptions!$C$9*(1+Assumptions!$C$12)^2</f>
        <v>778.7182655</v>
      </c>
      <c r="N726" s="139">
        <f>Assumptions!$C$6*Assumptions!$C$7*(1+$G726-0.05*(1-$I726))^3+Assumptions!$C$6*Assumptions!$C$8*(1+Assumptions!$C$11)^3+Assumptions!$C$16*$I726+Assumptions!$C$6*Assumptions!$C$9*(1+Assumptions!$C$12)^3</f>
        <v>695.8562414</v>
      </c>
      <c r="O726" s="139">
        <f>Assumptions!$C$6*Assumptions!$C$7*(1+$G726-0.05*(1-$J726))^4+Assumptions!$C$6*Assumptions!$C$8*(1+Assumptions!$C$11)^4+Assumptions!$C$16*$J726+Assumptions!$C$6*Assumptions!$C$9*(1+Assumptions!$C$12)^4</f>
        <v>708.2425356</v>
      </c>
      <c r="P726" s="139">
        <f>Assumptions!$C$6*Assumptions!$C$7*(1+$G726-0.05*(1-$K726))^5+Assumptions!$C$6*Assumptions!$C$8*(1+Assumptions!$C$11)^5+Assumptions!$C$16*$K726+Assumptions!$C$6*Assumptions!$C$9*(1+Assumptions!$C$12)^5</f>
        <v>879.6599362</v>
      </c>
      <c r="Q726" s="139">
        <f>($L726*(1-(Assumptions!$C$25+0.06*(1-1))-Assumptions!$C$27)-Assumptions!$C$28)-MAX(0,($L726*(1-(Assumptions!$C$25+0.06*(1-1))-Assumptions!$C$27)-Assumptions!$C$28)*Assumptions!$C$31)+Assumptions!$C$28-Assumptions!$C$29-$L726*Assumptions!$C$30</f>
        <v>93.4423112</v>
      </c>
      <c r="R726" s="139">
        <f>($M726*(1-(Assumptions!$C$25+0.06*(1-$H726))-Assumptions!$C$27)-Assumptions!$C$28)-MAX(0,($M726*(1-(Assumptions!$C$25+0.06*(1-$H726))-Assumptions!$C$27)-Assumptions!$C$28)*Assumptions!$C$31)+Assumptions!$C$28-Assumptions!$C$29-$M726*Assumptions!$C$30</f>
        <v>99.92442707</v>
      </c>
      <c r="S726" s="139">
        <f>($N726*(1-(Assumptions!$C$25+0.06*(1-$I726))-Assumptions!$C$27)-Assumptions!$C$28)-MAX(0,($N726*(1-(Assumptions!$C$25+0.06*(1-$I726))-Assumptions!$C$27)-Assumptions!$C$28)*Assumptions!$C$31)+Assumptions!$C$28-Assumptions!$C$29-$N726*Assumptions!$C$30</f>
        <v>40.04693552</v>
      </c>
      <c r="T726" s="139">
        <f>($O726*(1-(Assumptions!$C$25+0.06*(1-$J726))-Assumptions!$C$27)-Assumptions!$C$28)-MAX(0,($O726*(1-(Assumptions!$C$25+0.06*(1-$J726))-Assumptions!$C$27)-Assumptions!$C$28)*Assumptions!$C$31)+Assumptions!$C$28-Assumptions!$C$29-$O726*Assumptions!$C$30</f>
        <v>42.89578318</v>
      </c>
      <c r="U726" s="139">
        <f>($P726*(1-(Assumptions!$C$25+0.06*(1-$K726))-Assumptions!$C$27)-Assumptions!$C$28)-MAX(0,($P726*(1-(Assumptions!$C$25+0.06*(1-$K726))-Assumptions!$C$27)-Assumptions!$C$28)*Assumptions!$C$31)+Assumptions!$C$28-Assumptions!$C$29-$P726*Assumptions!$C$30</f>
        <v>121.6268863</v>
      </c>
      <c r="V726" s="143">
        <f>(($Q726/(1+$D726)^1+$R726/(1+$D726)^2+$S726/(1+$D726)^3+$T726/(1+$D726)^4+$U726/(1+$D726)^5+$U726*(1+$E726)/($D726-$E726)/(1+$D726)^5)-Assumptions!$C$37)/Assumptions!$C$40/Assumptions!$C$38</f>
        <v>5.244148913</v>
      </c>
    </row>
    <row r="727" ht="12.0" customHeight="1">
      <c r="B727" s="139">
        <v>675.0</v>
      </c>
      <c r="C727" s="140">
        <f t="shared" si="6"/>
        <v>0.724748875</v>
      </c>
      <c r="D727" s="141">
        <f t="shared" si="7"/>
        <v>0.1025735813</v>
      </c>
      <c r="E727" s="141">
        <f t="shared" si="8"/>
        <v>0.02153628441</v>
      </c>
      <c r="F727" s="140">
        <f t="shared" si="9"/>
        <v>0.8544767407</v>
      </c>
      <c r="G727" s="141">
        <f t="shared" si="10"/>
        <v>0.07381538178</v>
      </c>
      <c r="H727" s="142">
        <f t="shared" si="11"/>
        <v>1</v>
      </c>
      <c r="I727" s="142">
        <f t="shared" si="12"/>
        <v>0</v>
      </c>
      <c r="J727" s="142">
        <f t="shared" si="13"/>
        <v>1</v>
      </c>
      <c r="K727" s="142">
        <f t="shared" si="14"/>
        <v>1</v>
      </c>
      <c r="L727" s="139">
        <f>Assumptions!$C$6*Assumptions!$C$7*(1+$G727-0.05*(1-1))^1+Assumptions!$C$6*Assumptions!$C$8*(1+Assumptions!$C$11)^1+Assumptions!$C$16*1+Assumptions!$C$6*Assumptions!$C$9*(1+Assumptions!$C$12)^1</f>
        <v>751.3142575</v>
      </c>
      <c r="M727" s="139">
        <f>Assumptions!$C$6*Assumptions!$C$7*(1+$G727-0.05*(1-$H727))^2+Assumptions!$C$6*Assumptions!$C$8*(1+Assumptions!$C$11)^2+Assumptions!$C$16*$H727+Assumptions!$C$6*Assumptions!$C$9*(1+Assumptions!$C$12)^2</f>
        <v>784.591911</v>
      </c>
      <c r="N727" s="139">
        <f>Assumptions!$C$6*Assumptions!$C$7*(1+$G727-0.05*(1-$I727))^3+Assumptions!$C$6*Assumptions!$C$8*(1+Assumptions!$C$11)^3+Assumptions!$C$16*$I727+Assumptions!$C$6*Assumptions!$C$9*(1+Assumptions!$C$12)^3</f>
        <v>704.420717</v>
      </c>
      <c r="O727" s="139">
        <f>Assumptions!$C$6*Assumptions!$C$7*(1+$G727-0.05*(1-$J727))^4+Assumptions!$C$6*Assumptions!$C$8*(1+Assumptions!$C$11)^4+Assumptions!$C$16*$J727+Assumptions!$C$6*Assumptions!$C$9*(1+Assumptions!$C$12)^4</f>
        <v>857.5993199</v>
      </c>
      <c r="P727" s="139">
        <f>Assumptions!$C$6*Assumptions!$C$7*(1+$G727-0.05*(1-$K727))^5+Assumptions!$C$6*Assumptions!$C$8*(1+Assumptions!$C$11)^5+Assumptions!$C$16*$K727+Assumptions!$C$6*Assumptions!$C$9*(1+Assumptions!$C$12)^5</f>
        <v>897.6358831</v>
      </c>
      <c r="Q727" s="139">
        <f>($L727*(1-(Assumptions!$C$25+0.06*(1-1))-Assumptions!$C$27)-Assumptions!$C$28)-MAX(0,($L727*(1-(Assumptions!$C$25+0.06*(1-1))-Assumptions!$C$27)-Assumptions!$C$28)*Assumptions!$C$31)+Assumptions!$C$28-Assumptions!$C$29-$L727*Assumptions!$C$30</f>
        <v>94.03256536</v>
      </c>
      <c r="R727" s="139">
        <f>($M727*(1-(Assumptions!$C$25+0.06*(1-$H727))-Assumptions!$C$27)-Assumptions!$C$28)-MAX(0,($M727*(1-(Assumptions!$C$25+0.06*(1-$H727))-Assumptions!$C$27)-Assumptions!$C$28)*Assumptions!$C$31)+Assumptions!$C$28-Assumptions!$C$29-$M727*Assumptions!$C$30</f>
        <v>101.1872609</v>
      </c>
      <c r="S727" s="139">
        <f>($N727*(1-(Assumptions!$C$25+0.06*(1-$I727))-Assumptions!$C$27)-Assumptions!$C$28)-MAX(0,($N727*(1-(Assumptions!$C$25+0.06*(1-$I727))-Assumptions!$C$27)-Assumptions!$C$28)*Assumptions!$C$31)+Assumptions!$C$28-Assumptions!$C$29-$N727*Assumptions!$C$30</f>
        <v>42.01676492</v>
      </c>
      <c r="T727" s="139">
        <f>($O727*(1-(Assumptions!$C$25+0.06*(1-$J727))-Assumptions!$C$27)-Assumptions!$C$28)-MAX(0,($O727*(1-(Assumptions!$C$25+0.06*(1-$J727))-Assumptions!$C$27)-Assumptions!$C$28)*Assumptions!$C$31)+Assumptions!$C$28-Assumptions!$C$29-$O727*Assumptions!$C$30</f>
        <v>116.8838538</v>
      </c>
      <c r="U727" s="139">
        <f>($P727*(1-(Assumptions!$C$25+0.06*(1-$K727))-Assumptions!$C$27)-Assumptions!$C$28)-MAX(0,($P727*(1-(Assumptions!$C$25+0.06*(1-$K727))-Assumptions!$C$27)-Assumptions!$C$28)*Assumptions!$C$31)+Assumptions!$C$28-Assumptions!$C$29-$P727*Assumptions!$C$30</f>
        <v>125.4917149</v>
      </c>
      <c r="V727" s="143">
        <f>(($Q727/(1+$D727)^1+$R727/(1+$D727)^2+$S727/(1+$D727)^3+$T727/(1+$D727)^4+$U727/(1+$D727)^5+$U727*(1+$E727)/($D727-$E727)/(1+$D727)^5)-Assumptions!$C$37)/Assumptions!$C$40/Assumptions!$C$38</f>
        <v>4.956374813</v>
      </c>
    </row>
    <row r="728" ht="12.0" customHeight="1">
      <c r="B728" s="139">
        <v>676.0</v>
      </c>
      <c r="C728" s="140">
        <f t="shared" si="6"/>
        <v>0.2943556353</v>
      </c>
      <c r="D728" s="141">
        <f t="shared" si="7"/>
        <v>0.09498932232</v>
      </c>
      <c r="E728" s="141">
        <f t="shared" si="8"/>
        <v>0.02832679901</v>
      </c>
      <c r="F728" s="140">
        <f t="shared" si="9"/>
        <v>0.5331279119</v>
      </c>
      <c r="G728" s="141">
        <f t="shared" si="10"/>
        <v>0.06101086827</v>
      </c>
      <c r="H728" s="142">
        <f t="shared" si="11"/>
        <v>0</v>
      </c>
      <c r="I728" s="142">
        <f t="shared" si="12"/>
        <v>1</v>
      </c>
      <c r="J728" s="142">
        <f t="shared" si="13"/>
        <v>0</v>
      </c>
      <c r="K728" s="142">
        <f t="shared" si="14"/>
        <v>1</v>
      </c>
      <c r="L728" s="139">
        <f>Assumptions!$C$6*Assumptions!$C$7*(1+$G728-0.05*(1-1))^1+Assumptions!$C$6*Assumptions!$C$8*(1+Assumptions!$C$11)^1+Assumptions!$C$16*1+Assumptions!$C$6*Assumptions!$C$9*(1+Assumptions!$C$12)^1</f>
        <v>747.0042583</v>
      </c>
      <c r="M728" s="139">
        <f>Assumptions!$C$6*Assumptions!$C$7*(1+$G728-0.05*(1-$H728))^2+Assumptions!$C$6*Assumptions!$C$8*(1+Assumptions!$C$11)^2+Assumptions!$C$16*$H728+Assumptions!$C$6*Assumptions!$C$9*(1+Assumptions!$C$12)^2</f>
        <v>680.5186856</v>
      </c>
      <c r="N728" s="139">
        <f>Assumptions!$C$6*Assumptions!$C$7*(1+$G728-0.05*(1-$I728))^3+Assumptions!$C$6*Assumptions!$C$8*(1+Assumptions!$C$11)^3+Assumptions!$C$16*$I728+Assumptions!$C$6*Assumptions!$C$9*(1+Assumptions!$C$12)^3</f>
        <v>805.2386895</v>
      </c>
      <c r="O728" s="139">
        <f>Assumptions!$C$6*Assumptions!$C$7*(1+$G728-0.05*(1-$J728))^4+Assumptions!$C$6*Assumptions!$C$8*(1+Assumptions!$C$11)^4+Assumptions!$C$16*$J728+Assumptions!$C$6*Assumptions!$C$9*(1+Assumptions!$C$12)^4</f>
        <v>701.7302506</v>
      </c>
      <c r="P728" s="139">
        <f>Assumptions!$C$6*Assumptions!$C$7*(1+$G728-0.05*(1-$K728))^5+Assumptions!$C$6*Assumptions!$C$8*(1+Assumptions!$C$11)^5+Assumptions!$C$16*$K728+Assumptions!$C$6*Assumptions!$C$9*(1+Assumptions!$C$12)^5</f>
        <v>869.6584027</v>
      </c>
      <c r="Q728" s="139">
        <f>($L728*(1-(Assumptions!$C$25+0.06*(1-1))-Assumptions!$C$27)-Assumptions!$C$28)-MAX(0,($L728*(1-(Assumptions!$C$25+0.06*(1-1))-Assumptions!$C$27)-Assumptions!$C$28)*Assumptions!$C$31)+Assumptions!$C$28-Assumptions!$C$29-$L728*Assumptions!$C$30</f>
        <v>93.10591553</v>
      </c>
      <c r="R728" s="139">
        <f>($M728*(1-(Assumptions!$C$25+0.06*(1-$H728))-Assumptions!$C$27)-Assumptions!$C$28)-MAX(0,($M728*(1-(Assumptions!$C$25+0.06*(1-$H728))-Assumptions!$C$27)-Assumptions!$C$28)*Assumptions!$C$31)+Assumptions!$C$28-Assumptions!$C$29-$M728*Assumptions!$C$30</f>
        <v>36.5192977</v>
      </c>
      <c r="S728" s="139">
        <f>($N728*(1-(Assumptions!$C$25+0.06*(1-$I728))-Assumptions!$C$27)-Assumptions!$C$28)-MAX(0,($N728*(1-(Assumptions!$C$25+0.06*(1-$I728))-Assumptions!$C$27)-Assumptions!$C$28)*Assumptions!$C$31)+Assumptions!$C$28-Assumptions!$C$29-$N728*Assumptions!$C$30</f>
        <v>105.6263182</v>
      </c>
      <c r="T728" s="139">
        <f>($O728*(1-(Assumptions!$C$25+0.06*(1-$J728))-Assumptions!$C$27)-Assumptions!$C$28)-MAX(0,($O728*(1-(Assumptions!$C$25+0.06*(1-$J728))-Assumptions!$C$27)-Assumptions!$C$28)*Assumptions!$C$31)+Assumptions!$C$28-Assumptions!$C$29-$O728*Assumptions!$C$30</f>
        <v>41.39795764</v>
      </c>
      <c r="U728" s="139">
        <f>($P728*(1-(Assumptions!$C$25+0.06*(1-$K728))-Assumptions!$C$27)-Assumptions!$C$28)-MAX(0,($P728*(1-(Assumptions!$C$25+0.06*(1-$K728))-Assumptions!$C$27)-Assumptions!$C$28)*Assumptions!$C$31)+Assumptions!$C$28-Assumptions!$C$29-$P728*Assumptions!$C$30</f>
        <v>119.4765566</v>
      </c>
      <c r="V728" s="143">
        <f>(($Q728/(1+$D728)^1+$R728/(1+$D728)^2+$S728/(1+$D728)^3+$T728/(1+$D728)^4+$U728/(1+$D728)^5+$U728*(1+$E728)/($D728-$E728)/(1+$D728)^5)-Assumptions!$C$37)/Assumptions!$C$40/Assumptions!$C$38</f>
        <v>6.085025001</v>
      </c>
    </row>
    <row r="729" ht="12.0" customHeight="1">
      <c r="B729" s="139">
        <v>677.0</v>
      </c>
      <c r="C729" s="140">
        <f t="shared" si="6"/>
        <v>0.6327444569</v>
      </c>
      <c r="D729" s="141">
        <f t="shared" si="7"/>
        <v>0.1006462423</v>
      </c>
      <c r="E729" s="141">
        <f t="shared" si="8"/>
        <v>0.01253022708</v>
      </c>
      <c r="F729" s="140">
        <f t="shared" si="9"/>
        <v>0.2192430229</v>
      </c>
      <c r="G729" s="141">
        <f t="shared" si="10"/>
        <v>0.04986548366</v>
      </c>
      <c r="H729" s="142">
        <f t="shared" si="11"/>
        <v>0</v>
      </c>
      <c r="I729" s="142">
        <f t="shared" si="12"/>
        <v>1</v>
      </c>
      <c r="J729" s="142">
        <f t="shared" si="13"/>
        <v>0</v>
      </c>
      <c r="K729" s="142">
        <f t="shared" si="14"/>
        <v>1</v>
      </c>
      <c r="L729" s="139">
        <f>Assumptions!$C$6*Assumptions!$C$7*(1+$G729-0.05*(1-1))^1+Assumptions!$C$6*Assumptions!$C$8*(1+Assumptions!$C$11)^1+Assumptions!$C$16*1+Assumptions!$C$6*Assumptions!$C$9*(1+Assumptions!$C$12)^1</f>
        <v>743.2527218</v>
      </c>
      <c r="M729" s="139">
        <f>Assumptions!$C$6*Assumptions!$C$7*(1+$G729-0.05*(1-$H729))^2+Assumptions!$C$6*Assumptions!$C$8*(1+Assumptions!$C$11)^2+Assumptions!$C$16*$H729+Assumptions!$C$6*Assumptions!$C$9*(1+Assumptions!$C$12)^2</f>
        <v>672.9748097</v>
      </c>
      <c r="N729" s="139">
        <f>Assumptions!$C$6*Assumptions!$C$7*(1+$G729-0.05*(1-$I729))^3+Assumptions!$C$6*Assumptions!$C$8*(1+Assumptions!$C$11)^3+Assumptions!$C$16*$I729+Assumptions!$C$6*Assumptions!$C$9*(1+Assumptions!$C$12)^3</f>
        <v>792.7015037</v>
      </c>
      <c r="O729" s="139">
        <f>Assumptions!$C$6*Assumptions!$C$7*(1+$G729-0.05*(1-$J729))^4+Assumptions!$C$6*Assumptions!$C$8*(1+Assumptions!$C$11)^4+Assumptions!$C$16*$J729+Assumptions!$C$6*Assumptions!$C$9*(1+Assumptions!$C$12)^4</f>
        <v>686.4774843</v>
      </c>
      <c r="P729" s="139">
        <f>Assumptions!$C$6*Assumptions!$C$7*(1+$G729-0.05*(1-$K729))^5+Assumptions!$C$6*Assumptions!$C$8*(1+Assumptions!$C$11)^5+Assumptions!$C$16*$K729+Assumptions!$C$6*Assumptions!$C$9*(1+Assumptions!$C$12)^5</f>
        <v>846.3809965</v>
      </c>
      <c r="Q729" s="139">
        <f>($L729*(1-(Assumptions!$C$25+0.06*(1-1))-Assumptions!$C$27)-Assumptions!$C$28)-MAX(0,($L729*(1-(Assumptions!$C$25+0.06*(1-1))-Assumptions!$C$27)-Assumptions!$C$28)*Assumptions!$C$31)+Assumptions!$C$28-Assumptions!$C$29-$L729*Assumptions!$C$30</f>
        <v>92.29933519</v>
      </c>
      <c r="R729" s="139">
        <f>($M729*(1-(Assumptions!$C$25+0.06*(1-$H729))-Assumptions!$C$27)-Assumptions!$C$28)-MAX(0,($M729*(1-(Assumptions!$C$25+0.06*(1-$H729))-Assumptions!$C$27)-Assumptions!$C$28)*Assumptions!$C$31)+Assumptions!$C$28-Assumptions!$C$29-$M729*Assumptions!$C$30</f>
        <v>34.78420623</v>
      </c>
      <c r="S729" s="139">
        <f>($N729*(1-(Assumptions!$C$25+0.06*(1-$I729))-Assumptions!$C$27)-Assumptions!$C$28)-MAX(0,($N729*(1-(Assumptions!$C$25+0.06*(1-$I729))-Assumptions!$C$27)-Assumptions!$C$28)*Assumptions!$C$31)+Assumptions!$C$28-Assumptions!$C$29-$N729*Assumptions!$C$30</f>
        <v>102.9308233</v>
      </c>
      <c r="T729" s="139">
        <f>($O729*(1-(Assumptions!$C$25+0.06*(1-$J729))-Assumptions!$C$27)-Assumptions!$C$28)-MAX(0,($O729*(1-(Assumptions!$C$25+0.06*(1-$J729))-Assumptions!$C$27)-Assumptions!$C$28)*Assumptions!$C$31)+Assumptions!$C$28-Assumptions!$C$29-$O729*Assumptions!$C$30</f>
        <v>37.88982139</v>
      </c>
      <c r="U729" s="139">
        <f>($P729*(1-(Assumptions!$C$25+0.06*(1-$K729))-Assumptions!$C$27)-Assumptions!$C$28)-MAX(0,($P729*(1-(Assumptions!$C$25+0.06*(1-$K729))-Assumptions!$C$27)-Assumptions!$C$28)*Assumptions!$C$31)+Assumptions!$C$28-Assumptions!$C$29-$P729*Assumptions!$C$30</f>
        <v>114.4719143</v>
      </c>
      <c r="V729" s="143">
        <f>(($Q729/(1+$D729)^1+$R729/(1+$D729)^2+$S729/(1+$D729)^3+$T729/(1+$D729)^4+$U729/(1+$D729)^5+$U729*(1+$E729)/($D729-$E729)/(1+$D729)^5)-Assumptions!$C$37)/Assumptions!$C$40/Assumptions!$C$38</f>
        <v>3.192698456</v>
      </c>
    </row>
    <row r="730" ht="12.0" customHeight="1">
      <c r="B730" s="139">
        <v>678.0</v>
      </c>
      <c r="C730" s="140">
        <f t="shared" si="6"/>
        <v>0.4859101263</v>
      </c>
      <c r="D730" s="141">
        <f t="shared" si="7"/>
        <v>0.09801752612</v>
      </c>
      <c r="E730" s="141">
        <f t="shared" si="8"/>
        <v>0.02784553965</v>
      </c>
      <c r="F730" s="140">
        <f t="shared" si="9"/>
        <v>0.5636531596</v>
      </c>
      <c r="G730" s="141">
        <f t="shared" si="10"/>
        <v>0.06197457739</v>
      </c>
      <c r="H730" s="142">
        <f t="shared" si="11"/>
        <v>1</v>
      </c>
      <c r="I730" s="142">
        <f t="shared" si="12"/>
        <v>1</v>
      </c>
      <c r="J730" s="142">
        <f t="shared" si="13"/>
        <v>1</v>
      </c>
      <c r="K730" s="142">
        <f t="shared" si="14"/>
        <v>0</v>
      </c>
      <c r="L730" s="139">
        <f>Assumptions!$C$6*Assumptions!$C$7*(1+$G730-0.05*(1-1))^1+Assumptions!$C$6*Assumptions!$C$8*(1+Assumptions!$C$11)^1+Assumptions!$C$16*1+Assumptions!$C$6*Assumptions!$C$9*(1+Assumptions!$C$12)^1</f>
        <v>747.3286427</v>
      </c>
      <c r="M730" s="139">
        <f>Assumptions!$C$6*Assumptions!$C$7*(1+$G730-0.05*(1-$H730))^2+Assumptions!$C$6*Assumptions!$C$8*(1+Assumptions!$C$11)^2+Assumptions!$C$16*$H730+Assumptions!$C$6*Assumptions!$C$9*(1+Assumptions!$C$12)^2</f>
        <v>776.079475</v>
      </c>
      <c r="N730" s="139">
        <f>Assumptions!$C$6*Assumptions!$C$7*(1+$G730-0.05*(1-$I730))^3+Assumptions!$C$6*Assumptions!$C$8*(1+Assumptions!$C$11)^3+Assumptions!$C$16*$I730+Assumptions!$C$6*Assumptions!$C$9*(1+Assumptions!$C$12)^3</f>
        <v>806.3352066</v>
      </c>
      <c r="O730" s="139">
        <f>Assumptions!$C$6*Assumptions!$C$7*(1+$G730-0.05*(1-$J730))^4+Assumptions!$C$6*Assumptions!$C$8*(1+Assumptions!$C$11)^4+Assumptions!$C$16*$J730+Assumptions!$C$6*Assumptions!$C$9*(1+Assumptions!$C$12)^4</f>
        <v>838.1835645</v>
      </c>
      <c r="P730" s="139">
        <f>Assumptions!$C$6*Assumptions!$C$7*(1+$G730-0.05*(1-$K730))^5+Assumptions!$C$6*Assumptions!$C$8*(1+Assumptions!$C$11)^5+Assumptions!$C$16*$K730+Assumptions!$C$6*Assumptions!$C$9*(1+Assumptions!$C$12)^5</f>
        <v>714.3014122</v>
      </c>
      <c r="Q730" s="139">
        <f>($L730*(1-(Assumptions!$C$25+0.06*(1-1))-Assumptions!$C$27)-Assumptions!$C$28)-MAX(0,($L730*(1-(Assumptions!$C$25+0.06*(1-1))-Assumptions!$C$27)-Assumptions!$C$28)*Assumptions!$C$31)+Assumptions!$C$28-Assumptions!$C$29-$L730*Assumptions!$C$30</f>
        <v>93.17565819</v>
      </c>
      <c r="R730" s="139">
        <f>($M730*(1-(Assumptions!$C$25+0.06*(1-$H730))-Assumptions!$C$27)-Assumptions!$C$28)-MAX(0,($M730*(1-(Assumptions!$C$25+0.06*(1-$H730))-Assumptions!$C$27)-Assumptions!$C$28)*Assumptions!$C$31)+Assumptions!$C$28-Assumptions!$C$29-$M730*Assumptions!$C$30</f>
        <v>99.35708713</v>
      </c>
      <c r="S730" s="139">
        <f>($N730*(1-(Assumptions!$C$25+0.06*(1-$I730))-Assumptions!$C$27)-Assumptions!$C$28)-MAX(0,($N730*(1-(Assumptions!$C$25+0.06*(1-$I730))-Assumptions!$C$27)-Assumptions!$C$28)*Assumptions!$C$31)+Assumptions!$C$28-Assumptions!$C$29-$N730*Assumptions!$C$30</f>
        <v>105.8620694</v>
      </c>
      <c r="T730" s="139">
        <f>($O730*(1-(Assumptions!$C$25+0.06*(1-$J730))-Assumptions!$C$27)-Assumptions!$C$28)-MAX(0,($O730*(1-(Assumptions!$C$25+0.06*(1-$J730))-Assumptions!$C$27)-Assumptions!$C$28)*Assumptions!$C$31)+Assumptions!$C$28-Assumptions!$C$29-$O730*Assumptions!$C$30</f>
        <v>112.7094664</v>
      </c>
      <c r="U730" s="139">
        <f>($P730*(1-(Assumptions!$C$25+0.06*(1-$K730))-Assumptions!$C$27)-Assumptions!$C$28)-MAX(0,($P730*(1-(Assumptions!$C$25+0.06*(1-$K730))-Assumptions!$C$27)-Assumptions!$C$28)*Assumptions!$C$31)+Assumptions!$C$28-Assumptions!$C$29-$P730*Assumptions!$C$30</f>
        <v>44.2893248</v>
      </c>
      <c r="V730" s="143">
        <f>(($Q730/(1+$D730)^1+$R730/(1+$D730)^2+$S730/(1+$D730)^3+$T730/(1+$D730)^4+$U730/(1+$D730)^5+$U730*(1+$E730)/($D730-$E730)/(1+$D730)^5)-Assumptions!$C$37)/Assumptions!$C$40/Assumptions!$C$38</f>
        <v>0.5250773486</v>
      </c>
    </row>
    <row r="731" ht="12.0" customHeight="1">
      <c r="B731" s="139">
        <v>679.0</v>
      </c>
      <c r="C731" s="140">
        <f t="shared" si="6"/>
        <v>0.2622973251</v>
      </c>
      <c r="D731" s="141">
        <f t="shared" si="7"/>
        <v>0.0944296762</v>
      </c>
      <c r="E731" s="141">
        <f t="shared" si="8"/>
        <v>0.0258974163</v>
      </c>
      <c r="F731" s="140">
        <f t="shared" si="9"/>
        <v>0.2378362997</v>
      </c>
      <c r="G731" s="141">
        <f t="shared" si="10"/>
        <v>0.0506907066</v>
      </c>
      <c r="H731" s="142">
        <f t="shared" si="11"/>
        <v>1</v>
      </c>
      <c r="I731" s="142">
        <f t="shared" si="12"/>
        <v>1</v>
      </c>
      <c r="J731" s="142">
        <f t="shared" si="13"/>
        <v>1</v>
      </c>
      <c r="K731" s="142">
        <f t="shared" si="14"/>
        <v>1</v>
      </c>
      <c r="L731" s="139">
        <f>Assumptions!$C$6*Assumptions!$C$7*(1+$G731-0.05*(1-1))^1+Assumptions!$C$6*Assumptions!$C$8*(1+Assumptions!$C$11)^1+Assumptions!$C$16*1+Assumptions!$C$6*Assumptions!$C$9*(1+Assumptions!$C$12)^1</f>
        <v>743.5304918</v>
      </c>
      <c r="M731" s="139">
        <f>Assumptions!$C$6*Assumptions!$C$7*(1+$G731-0.05*(1-$H731))^2+Assumptions!$C$6*Assumptions!$C$8*(1+Assumptions!$C$11)^2+Assumptions!$C$16*$H731+Assumptions!$C$6*Assumptions!$C$9*(1+Assumptions!$C$12)^2</f>
        <v>768.0552534</v>
      </c>
      <c r="N731" s="139">
        <f>Assumptions!$C$6*Assumptions!$C$7*(1+$G731-0.05*(1-$I731))^3+Assumptions!$C$6*Assumptions!$C$8*(1+Assumptions!$C$11)^3+Assumptions!$C$16*$I731+Assumptions!$C$6*Assumptions!$C$9*(1+Assumptions!$C$12)^3</f>
        <v>793.6207149</v>
      </c>
      <c r="O731" s="139">
        <f>Assumptions!$C$6*Assumptions!$C$7*(1+$G731-0.05*(1-$J731))^4+Assumptions!$C$6*Assumptions!$C$8*(1+Assumptions!$C$11)^4+Assumptions!$C$16*$J731+Assumptions!$C$6*Assumptions!$C$9*(1+Assumptions!$C$12)^4</f>
        <v>820.2755805</v>
      </c>
      <c r="P731" s="139">
        <f>Assumptions!$C$6*Assumptions!$C$7*(1+$G731-0.05*(1-$K731))^5+Assumptions!$C$6*Assumptions!$C$8*(1+Assumptions!$C$11)^5+Assumptions!$C$16*$K731+Assumptions!$C$6*Assumptions!$C$9*(1+Assumptions!$C$12)^5</f>
        <v>848.0709423</v>
      </c>
      <c r="Q731" s="139">
        <f>($L731*(1-(Assumptions!$C$25+0.06*(1-1))-Assumptions!$C$27)-Assumptions!$C$28)-MAX(0,($L731*(1-(Assumptions!$C$25+0.06*(1-1))-Assumptions!$C$27)-Assumptions!$C$28)*Assumptions!$C$31)+Assumptions!$C$28-Assumptions!$C$29-$L731*Assumptions!$C$30</f>
        <v>92.35905575</v>
      </c>
      <c r="R731" s="139">
        <f>($M731*(1-(Assumptions!$C$25+0.06*(1-$H731))-Assumptions!$C$27)-Assumptions!$C$28)-MAX(0,($M731*(1-(Assumptions!$C$25+0.06*(1-$H731))-Assumptions!$C$27)-Assumptions!$C$28)*Assumptions!$C$31)+Assumptions!$C$28-Assumptions!$C$29-$M731*Assumptions!$C$30</f>
        <v>97.63187949</v>
      </c>
      <c r="S731" s="139">
        <f>($N731*(1-(Assumptions!$C$25+0.06*(1-$I731))-Assumptions!$C$27)-Assumptions!$C$28)-MAX(0,($N731*(1-(Assumptions!$C$25+0.06*(1-$I731))-Assumptions!$C$27)-Assumptions!$C$28)*Assumptions!$C$31)+Assumptions!$C$28-Assumptions!$C$29-$N731*Assumptions!$C$30</f>
        <v>103.1284537</v>
      </c>
      <c r="T731" s="139">
        <f>($O731*(1-(Assumptions!$C$25+0.06*(1-$J731))-Assumptions!$C$27)-Assumptions!$C$28)-MAX(0,($O731*(1-(Assumptions!$C$25+0.06*(1-$J731))-Assumptions!$C$27)-Assumptions!$C$28)*Assumptions!$C$31)+Assumptions!$C$28-Assumptions!$C$29-$O731*Assumptions!$C$30</f>
        <v>108.8592498</v>
      </c>
      <c r="U731" s="139">
        <f>($P731*(1-(Assumptions!$C$25+0.06*(1-$K731))-Assumptions!$C$27)-Assumptions!$C$28)-MAX(0,($P731*(1-(Assumptions!$C$25+0.06*(1-$K731))-Assumptions!$C$27)-Assumptions!$C$28)*Assumptions!$C$31)+Assumptions!$C$28-Assumptions!$C$29-$P731*Assumptions!$C$30</f>
        <v>114.8352526</v>
      </c>
      <c r="V731" s="143">
        <f>(($Q731/(1+$D731)^1+$R731/(1+$D731)^2+$S731/(1+$D731)^3+$T731/(1+$D731)^4+$U731/(1+$D731)^5+$U731*(1+$E731)/($D731-$E731)/(1+$D731)^5)-Assumptions!$C$37)/Assumptions!$C$40/Assumptions!$C$38</f>
        <v>6.217510727</v>
      </c>
    </row>
    <row r="732" ht="12.0" customHeight="1">
      <c r="B732" s="139">
        <v>680.0</v>
      </c>
      <c r="C732" s="140">
        <f t="shared" si="6"/>
        <v>0.9783120276</v>
      </c>
      <c r="D732" s="141">
        <f t="shared" si="7"/>
        <v>0.1115118841</v>
      </c>
      <c r="E732" s="141">
        <f t="shared" si="8"/>
        <v>0.02920668026</v>
      </c>
      <c r="F732" s="140">
        <f t="shared" si="9"/>
        <v>0.4903354741</v>
      </c>
      <c r="G732" s="141">
        <f t="shared" si="10"/>
        <v>0.05970864947</v>
      </c>
      <c r="H732" s="142">
        <f t="shared" si="11"/>
        <v>1</v>
      </c>
      <c r="I732" s="142">
        <f t="shared" si="12"/>
        <v>0</v>
      </c>
      <c r="J732" s="142">
        <f t="shared" si="13"/>
        <v>1</v>
      </c>
      <c r="K732" s="142">
        <f t="shared" si="14"/>
        <v>0</v>
      </c>
      <c r="L732" s="139">
        <f>Assumptions!$C$6*Assumptions!$C$7*(1+$G732-0.05*(1-1))^1+Assumptions!$C$6*Assumptions!$C$8*(1+Assumptions!$C$11)^1+Assumptions!$C$16*1+Assumptions!$C$6*Assumptions!$C$9*(1+Assumptions!$C$12)^1</f>
        <v>746.5659314</v>
      </c>
      <c r="M732" s="139">
        <f>Assumptions!$C$6*Assumptions!$C$7*(1+$G732-0.05*(1-$H732))^2+Assumptions!$C$6*Assumptions!$C$8*(1+Assumptions!$C$11)^2+Assumptions!$C$16*$H732+Assumptions!$C$6*Assumptions!$C$9*(1+Assumptions!$C$12)^2</f>
        <v>774.4612432</v>
      </c>
      <c r="N732" s="139">
        <f>Assumptions!$C$6*Assumptions!$C$7*(1+$G732-0.05*(1-$I732))^3+Assumptions!$C$6*Assumptions!$C$8*(1+Assumptions!$C$11)^3+Assumptions!$C$16*$I732+Assumptions!$C$6*Assumptions!$C$9*(1+Assumptions!$C$12)^3</f>
        <v>689.6939511</v>
      </c>
      <c r="O732" s="139">
        <f>Assumptions!$C$6*Assumptions!$C$7*(1+$G732-0.05*(1-$J732))^4+Assumptions!$C$6*Assumptions!$C$8*(1+Assumptions!$C$11)^4+Assumptions!$C$16*$J732+Assumptions!$C$6*Assumptions!$C$9*(1+Assumptions!$C$12)^4</f>
        <v>834.5412928</v>
      </c>
      <c r="P732" s="139">
        <f>Assumptions!$C$6*Assumptions!$C$7*(1+$G732-0.05*(1-$K732))^5+Assumptions!$C$6*Assumptions!$C$8*(1+Assumptions!$C$11)^5+Assumptions!$C$16*$K732+Assumptions!$C$6*Assumptions!$C$9*(1+Assumptions!$C$12)^5</f>
        <v>710.3197561</v>
      </c>
      <c r="Q732" s="139">
        <f>($L732*(1-(Assumptions!$C$25+0.06*(1-1))-Assumptions!$C$27)-Assumptions!$C$28)-MAX(0,($L732*(1-(Assumptions!$C$25+0.06*(1-1))-Assumptions!$C$27)-Assumptions!$C$28)*Assumptions!$C$31)+Assumptions!$C$28-Assumptions!$C$29-$L732*Assumptions!$C$30</f>
        <v>93.01167525</v>
      </c>
      <c r="R732" s="139">
        <f>($M732*(1-(Assumptions!$C$25+0.06*(1-$H732))-Assumptions!$C$27)-Assumptions!$C$28)-MAX(0,($M732*(1-(Assumptions!$C$25+0.06*(1-$H732))-Assumptions!$C$27)-Assumptions!$C$28)*Assumptions!$C$31)+Assumptions!$C$28-Assumptions!$C$29-$M732*Assumptions!$C$30</f>
        <v>99.00916728</v>
      </c>
      <c r="S732" s="139">
        <f>($N732*(1-(Assumptions!$C$25+0.06*(1-$I732))-Assumptions!$C$27)-Assumptions!$C$28)-MAX(0,($N732*(1-(Assumptions!$C$25+0.06*(1-$I732))-Assumptions!$C$27)-Assumptions!$C$28)*Assumptions!$C$31)+Assumptions!$C$28-Assumptions!$C$29-$N732*Assumptions!$C$30</f>
        <v>38.62960875</v>
      </c>
      <c r="T732" s="139">
        <f>($O732*(1-(Assumptions!$C$25+0.06*(1-$J732))-Assumptions!$C$27)-Assumptions!$C$28)-MAX(0,($O732*(1-(Assumptions!$C$25+0.06*(1-$J732))-Assumptions!$C$27)-Assumptions!$C$28)*Assumptions!$C$31)+Assumptions!$C$28-Assumptions!$C$29-$O732*Assumptions!$C$30</f>
        <v>111.926378</v>
      </c>
      <c r="U732" s="139">
        <f>($P732*(1-(Assumptions!$C$25+0.06*(1-$K732))-Assumptions!$C$27)-Assumptions!$C$28)-MAX(0,($P732*(1-(Assumptions!$C$25+0.06*(1-$K732))-Assumptions!$C$27)-Assumptions!$C$28)*Assumptions!$C$31)+Assumptions!$C$28-Assumptions!$C$29-$P732*Assumptions!$C$30</f>
        <v>43.3735439</v>
      </c>
      <c r="V732" s="143">
        <f>(($Q732/(1+$D732)^1+$R732/(1+$D732)^2+$S732/(1+$D732)^3+$T732/(1+$D732)^4+$U732/(1+$D732)^5+$U732*(1+$E732)/($D732-$E732)/(1+$D732)^5)-Assumptions!$C$37)/Assumptions!$C$40/Assumptions!$C$38</f>
        <v>-0.6334052365</v>
      </c>
    </row>
    <row r="733" ht="12.0" customHeight="1">
      <c r="B733" s="139">
        <v>681.0</v>
      </c>
      <c r="C733" s="140">
        <f t="shared" si="6"/>
        <v>0.1688655405</v>
      </c>
      <c r="D733" s="141">
        <f t="shared" si="7"/>
        <v>0.0925660702</v>
      </c>
      <c r="E733" s="141">
        <f t="shared" si="8"/>
        <v>0.02633733321</v>
      </c>
      <c r="F733" s="140">
        <f t="shared" si="9"/>
        <v>0.5223184289</v>
      </c>
      <c r="G733" s="141">
        <f t="shared" si="10"/>
        <v>0.06067719611</v>
      </c>
      <c r="H733" s="142">
        <f t="shared" si="11"/>
        <v>0</v>
      </c>
      <c r="I733" s="142">
        <f t="shared" si="12"/>
        <v>0</v>
      </c>
      <c r="J733" s="142">
        <f t="shared" si="13"/>
        <v>0</v>
      </c>
      <c r="K733" s="142">
        <f t="shared" si="14"/>
        <v>0</v>
      </c>
      <c r="L733" s="139">
        <f>Assumptions!$C$6*Assumptions!$C$7*(1+$G733-0.05*(1-1))^1+Assumptions!$C$6*Assumptions!$C$8*(1+Assumptions!$C$11)^1+Assumptions!$C$16*1+Assumptions!$C$6*Assumptions!$C$9*(1+Assumptions!$C$12)^1</f>
        <v>746.8919442</v>
      </c>
      <c r="M733" s="139">
        <f>Assumptions!$C$6*Assumptions!$C$7*(1+$G733-0.05*(1-$H733))^2+Assumptions!$C$6*Assumptions!$C$8*(1+Assumptions!$C$11)^2+Assumptions!$C$16*$H733+Assumptions!$C$6*Assumptions!$C$9*(1+Assumptions!$C$12)^2</f>
        <v>680.2916217</v>
      </c>
      <c r="N733" s="139">
        <f>Assumptions!$C$6*Assumptions!$C$7*(1+$G733-0.05*(1-$I733))^3+Assumptions!$C$6*Assumptions!$C$8*(1+Assumptions!$C$11)^3+Assumptions!$C$16*$I733+Assumptions!$C$6*Assumptions!$C$9*(1+Assumptions!$C$12)^3</f>
        <v>690.6920293</v>
      </c>
      <c r="O733" s="139">
        <f>Assumptions!$C$6*Assumptions!$C$7*(1+$G733-0.05*(1-$J733))^4+Assumptions!$C$6*Assumptions!$C$8*(1+Assumptions!$C$11)^4+Assumptions!$C$16*$J733+Assumptions!$C$6*Assumptions!$C$9*(1+Assumptions!$C$12)^4</f>
        <v>701.2662201</v>
      </c>
      <c r="P733" s="139">
        <f>Assumptions!$C$6*Assumptions!$C$7*(1+$G733-0.05*(1-$K733))^5+Assumptions!$C$6*Assumptions!$C$8*(1+Assumptions!$C$11)^5+Assumptions!$C$16*$K733+Assumptions!$C$6*Assumptions!$C$9*(1+Assumptions!$C$12)^5</f>
        <v>712.0173044</v>
      </c>
      <c r="Q733" s="139">
        <f>($L733*(1-(Assumptions!$C$25+0.06*(1-1))-Assumptions!$C$27)-Assumptions!$C$28)-MAX(0,($L733*(1-(Assumptions!$C$25+0.06*(1-1))-Assumptions!$C$27)-Assumptions!$C$28)*Assumptions!$C$31)+Assumptions!$C$28-Assumptions!$C$29-$L733*Assumptions!$C$30</f>
        <v>93.08176801</v>
      </c>
      <c r="R733" s="139">
        <f>($M733*(1-(Assumptions!$C$25+0.06*(1-$H733))-Assumptions!$C$27)-Assumptions!$C$28)-MAX(0,($M733*(1-(Assumptions!$C$25+0.06*(1-$H733))-Assumptions!$C$27)-Assumptions!$C$28)*Assumptions!$C$31)+Assumptions!$C$28-Assumptions!$C$29-$M733*Assumptions!$C$30</f>
        <v>36.46707298</v>
      </c>
      <c r="S733" s="139">
        <f>($N733*(1-(Assumptions!$C$25+0.06*(1-$I733))-Assumptions!$C$27)-Assumptions!$C$28)-MAX(0,($N733*(1-(Assumptions!$C$25+0.06*(1-$I733))-Assumptions!$C$27)-Assumptions!$C$28)*Assumptions!$C$31)+Assumptions!$C$28-Assumptions!$C$29-$N733*Assumptions!$C$30</f>
        <v>38.85916674</v>
      </c>
      <c r="T733" s="139">
        <f>($O733*(1-(Assumptions!$C$25+0.06*(1-$J733))-Assumptions!$C$27)-Assumptions!$C$28)-MAX(0,($O733*(1-(Assumptions!$C$25+0.06*(1-$J733))-Assumptions!$C$27)-Assumptions!$C$28)*Assumptions!$C$31)+Assumptions!$C$28-Assumptions!$C$29-$O733*Assumptions!$C$30</f>
        <v>41.29123063</v>
      </c>
      <c r="U733" s="139">
        <f>($P733*(1-(Assumptions!$C$25+0.06*(1-$K733))-Assumptions!$C$27)-Assumptions!$C$28)-MAX(0,($P733*(1-(Assumptions!$C$25+0.06*(1-$K733))-Assumptions!$C$27)-Assumptions!$C$28)*Assumptions!$C$31)+Assumptions!$C$28-Assumptions!$C$29-$P733*Assumptions!$C$30</f>
        <v>43.76398001</v>
      </c>
      <c r="V733" s="143">
        <f>(($Q733/(1+$D733)^1+$R733/(1+$D733)^2+$S733/(1+$D733)^3+$T733/(1+$D733)^4+$U733/(1+$D733)^5+$U733*(1+$E733)/($D733-$E733)/(1+$D733)^5)-Assumptions!$C$37)/Assumptions!$C$40/Assumptions!$C$38</f>
        <v>-0.4170141299</v>
      </c>
    </row>
    <row r="734" ht="12.0" customHeight="1">
      <c r="B734" s="139">
        <v>682.0</v>
      </c>
      <c r="C734" s="140">
        <f t="shared" si="6"/>
        <v>0.9431300095</v>
      </c>
      <c r="D734" s="141">
        <f t="shared" si="7"/>
        <v>0.1093516317</v>
      </c>
      <c r="E734" s="141">
        <f t="shared" si="8"/>
        <v>0.02872173</v>
      </c>
      <c r="F734" s="140">
        <f t="shared" si="9"/>
        <v>0.6455901102</v>
      </c>
      <c r="G734" s="141">
        <f t="shared" si="10"/>
        <v>0.06474256938</v>
      </c>
      <c r="H734" s="142">
        <f t="shared" si="11"/>
        <v>1</v>
      </c>
      <c r="I734" s="142">
        <f t="shared" si="12"/>
        <v>1</v>
      </c>
      <c r="J734" s="142">
        <f t="shared" si="13"/>
        <v>0</v>
      </c>
      <c r="K734" s="142">
        <f t="shared" si="14"/>
        <v>1</v>
      </c>
      <c r="L734" s="139">
        <f>Assumptions!$C$6*Assumptions!$C$7*(1+$G734-0.05*(1-1))^1+Assumptions!$C$6*Assumptions!$C$8*(1+Assumptions!$C$11)^1+Assumptions!$C$16*1+Assumptions!$C$6*Assumptions!$C$9*(1+Assumptions!$C$12)^1</f>
        <v>748.2603489</v>
      </c>
      <c r="M734" s="139">
        <f>Assumptions!$C$6*Assumptions!$C$7*(1+$G734-0.05*(1-$H734))^2+Assumptions!$C$6*Assumptions!$C$8*(1+Assumptions!$C$11)^2+Assumptions!$C$16*$H734+Assumptions!$C$6*Assumptions!$C$9*(1+Assumptions!$C$12)^2</f>
        <v>778.0609504</v>
      </c>
      <c r="N734" s="139">
        <f>Assumptions!$C$6*Assumptions!$C$7*(1+$G734-0.05*(1-$I734))^3+Assumptions!$C$6*Assumptions!$C$8*(1+Assumptions!$C$11)^3+Assumptions!$C$16*$I734+Assumptions!$C$6*Assumptions!$C$9*(1+Assumptions!$C$12)^3</f>
        <v>809.4957365</v>
      </c>
      <c r="O734" s="139">
        <f>Assumptions!$C$6*Assumptions!$C$7*(1+$G734-0.05*(1-$J734))^4+Assumptions!$C$6*Assumptions!$C$8*(1+Assumptions!$C$11)^4+Assumptions!$C$16*$J734+Assumptions!$C$6*Assumptions!$C$9*(1+Assumptions!$C$12)^4</f>
        <v>706.9512326</v>
      </c>
      <c r="P734" s="139">
        <f>Assumptions!$C$6*Assumptions!$C$7*(1+$G734-0.05*(1-$K734))^5+Assumptions!$C$6*Assumptions!$C$8*(1+Assumptions!$C$11)^5+Assumptions!$C$16*$K734+Assumptions!$C$6*Assumptions!$C$9*(1+Assumptions!$C$12)^5</f>
        <v>877.6738031</v>
      </c>
      <c r="Q734" s="139">
        <f>($L734*(1-(Assumptions!$C$25+0.06*(1-1))-Assumptions!$C$27)-Assumptions!$C$28)-MAX(0,($L734*(1-(Assumptions!$C$25+0.06*(1-1))-Assumptions!$C$27)-Assumptions!$C$28)*Assumptions!$C$31)+Assumptions!$C$28-Assumptions!$C$29-$L734*Assumptions!$C$30</f>
        <v>93.375975</v>
      </c>
      <c r="R734" s="139">
        <f>($M734*(1-(Assumptions!$C$25+0.06*(1-$H734))-Assumptions!$C$27)-Assumptions!$C$28)-MAX(0,($M734*(1-(Assumptions!$C$25+0.06*(1-$H734))-Assumptions!$C$27)-Assumptions!$C$28)*Assumptions!$C$31)+Assumptions!$C$28-Assumptions!$C$29-$M734*Assumptions!$C$30</f>
        <v>99.78310433</v>
      </c>
      <c r="S734" s="139">
        <f>($N734*(1-(Assumptions!$C$25+0.06*(1-$I734))-Assumptions!$C$27)-Assumptions!$C$28)-MAX(0,($N734*(1-(Assumptions!$C$25+0.06*(1-$I734))-Assumptions!$C$27)-Assumptions!$C$28)*Assumptions!$C$31)+Assumptions!$C$28-Assumptions!$C$29-$N734*Assumptions!$C$30</f>
        <v>106.5415834</v>
      </c>
      <c r="T734" s="139">
        <f>($O734*(1-(Assumptions!$C$25+0.06*(1-$J734))-Assumptions!$C$27)-Assumptions!$C$28)-MAX(0,($O734*(1-(Assumptions!$C$25+0.06*(1-$J734))-Assumptions!$C$27)-Assumptions!$C$28)*Assumptions!$C$31)+Assumptions!$C$28-Assumptions!$C$29-$O734*Assumptions!$C$30</f>
        <v>42.5987835</v>
      </c>
      <c r="U734" s="139">
        <f>($P734*(1-(Assumptions!$C$25+0.06*(1-$K734))-Assumptions!$C$27)-Assumptions!$C$28)-MAX(0,($P734*(1-(Assumptions!$C$25+0.06*(1-$K734))-Assumptions!$C$27)-Assumptions!$C$28)*Assumptions!$C$31)+Assumptions!$C$28-Assumptions!$C$29-$P734*Assumptions!$C$30</f>
        <v>121.1998677</v>
      </c>
      <c r="V734" s="143">
        <f>(($Q734/(1+$D734)^1+$R734/(1+$D734)^2+$S734/(1+$D734)^3+$T734/(1+$D734)^4+$U734/(1+$D734)^5+$U734*(1+$E734)/($D734-$E734)/(1+$D734)^5)-Assumptions!$C$37)/Assumptions!$C$40/Assumptions!$C$38</f>
        <v>4.465546349</v>
      </c>
    </row>
    <row r="735" ht="12.0" customHeight="1">
      <c r="B735" s="139">
        <v>683.0</v>
      </c>
      <c r="C735" s="140">
        <f t="shared" si="6"/>
        <v>0.7961588669</v>
      </c>
      <c r="D735" s="141">
        <f t="shared" si="7"/>
        <v>0.1043063161</v>
      </c>
      <c r="E735" s="141">
        <f t="shared" si="8"/>
        <v>0.0244484818</v>
      </c>
      <c r="F735" s="140">
        <f t="shared" si="9"/>
        <v>0.3826009069</v>
      </c>
      <c r="G735" s="141">
        <f t="shared" si="10"/>
        <v>0.05624274438</v>
      </c>
      <c r="H735" s="142">
        <f t="shared" si="11"/>
        <v>0</v>
      </c>
      <c r="I735" s="142">
        <f t="shared" si="12"/>
        <v>1</v>
      </c>
      <c r="J735" s="142">
        <f t="shared" si="13"/>
        <v>1</v>
      </c>
      <c r="K735" s="142">
        <f t="shared" si="14"/>
        <v>1</v>
      </c>
      <c r="L735" s="139">
        <f>Assumptions!$C$6*Assumptions!$C$7*(1+$G735-0.05*(1-1))^1+Assumptions!$C$6*Assumptions!$C$8*(1+Assumptions!$C$11)^1+Assumptions!$C$16*1+Assumptions!$C$6*Assumptions!$C$9*(1+Assumptions!$C$12)^1</f>
        <v>745.3993078</v>
      </c>
      <c r="M735" s="139">
        <f>Assumptions!$C$6*Assumptions!$C$7*(1+$G735-0.05*(1-$H735))^2+Assumptions!$C$6*Assumptions!$C$8*(1+Assumptions!$C$11)^2+Assumptions!$C$16*$H735+Assumptions!$C$6*Assumptions!$C$9*(1+Assumptions!$C$12)^2</f>
        <v>677.2810934</v>
      </c>
      <c r="N735" s="139">
        <f>Assumptions!$C$6*Assumptions!$C$7*(1+$G735-0.05*(1-$I735))^3+Assumptions!$C$6*Assumptions!$C$8*(1+Assumptions!$C$11)^3+Assumptions!$C$16*$I735+Assumptions!$C$6*Assumptions!$C$9*(1+Assumptions!$C$12)^3</f>
        <v>799.842721</v>
      </c>
      <c r="O735" s="139">
        <f>Assumptions!$C$6*Assumptions!$C$7*(1+$G735-0.05*(1-$J735))^4+Assumptions!$C$6*Assumptions!$C$8*(1+Assumptions!$C$11)^4+Assumptions!$C$16*$J735+Assumptions!$C$6*Assumptions!$C$9*(1+Assumptions!$C$12)^4</f>
        <v>829.0151894</v>
      </c>
      <c r="P735" s="139">
        <f>Assumptions!$C$6*Assumptions!$C$7*(1+$G735-0.05*(1-$K735))^5+Assumptions!$C$6*Assumptions!$C$8*(1+Assumptions!$C$11)^5+Assumptions!$C$16*$K735+Assumptions!$C$6*Assumptions!$C$9*(1+Assumptions!$C$12)^5</f>
        <v>859.5796312</v>
      </c>
      <c r="Q735" s="139">
        <f>($L735*(1-(Assumptions!$C$25+0.06*(1-1))-Assumptions!$C$27)-Assumptions!$C$28)-MAX(0,($L735*(1-(Assumptions!$C$25+0.06*(1-1))-Assumptions!$C$27)-Assumptions!$C$28)*Assumptions!$C$31)+Assumptions!$C$28-Assumptions!$C$29-$L735*Assumptions!$C$30</f>
        <v>92.76085117</v>
      </c>
      <c r="R735" s="139">
        <f>($M735*(1-(Assumptions!$C$25+0.06*(1-$H735))-Assumptions!$C$27)-Assumptions!$C$28)-MAX(0,($M735*(1-(Assumptions!$C$25+0.06*(1-$H735))-Assumptions!$C$27)-Assumptions!$C$28)*Assumptions!$C$31)+Assumptions!$C$28-Assumptions!$C$29-$M735*Assumptions!$C$30</f>
        <v>35.77465149</v>
      </c>
      <c r="S735" s="139">
        <f>($N735*(1-(Assumptions!$C$25+0.06*(1-$I735))-Assumptions!$C$27)-Assumptions!$C$28)-MAX(0,($N735*(1-(Assumptions!$C$25+0.06*(1-$I735))-Assumptions!$C$27)-Assumptions!$C$28)*Assumptions!$C$31)+Assumptions!$C$28-Assumptions!$C$29-$N735*Assumptions!$C$30</f>
        <v>104.466185</v>
      </c>
      <c r="T735" s="139">
        <f>($O735*(1-(Assumptions!$C$25+0.06*(1-$J735))-Assumptions!$C$27)-Assumptions!$C$28)-MAX(0,($O735*(1-(Assumptions!$C$25+0.06*(1-$J735))-Assumptions!$C$27)-Assumptions!$C$28)*Assumptions!$C$31)+Assumptions!$C$28-Assumptions!$C$29-$O735*Assumptions!$C$30</f>
        <v>110.7382657</v>
      </c>
      <c r="U735" s="139">
        <f>($P735*(1-(Assumptions!$C$25+0.06*(1-$K735))-Assumptions!$C$27)-Assumptions!$C$28)-MAX(0,($P735*(1-(Assumptions!$C$25+0.06*(1-$K735))-Assumptions!$C$27)-Assumptions!$C$28)*Assumptions!$C$31)+Assumptions!$C$28-Assumptions!$C$29-$P735*Assumptions!$C$30</f>
        <v>117.3096207</v>
      </c>
      <c r="V735" s="143">
        <f>(($Q735/(1+$D735)^1+$R735/(1+$D735)^2+$S735/(1+$D735)^3+$T735/(1+$D735)^4+$U735/(1+$D735)^5+$U735*(1+$E735)/($D735-$E735)/(1+$D735)^5)-Assumptions!$C$37)/Assumptions!$C$40/Assumptions!$C$38</f>
        <v>4.381494775</v>
      </c>
    </row>
    <row r="736" ht="12.0" customHeight="1">
      <c r="B736" s="139">
        <v>684.0</v>
      </c>
      <c r="C736" s="140">
        <f t="shared" si="6"/>
        <v>0.09477480456</v>
      </c>
      <c r="D736" s="141">
        <f t="shared" si="7"/>
        <v>0.09066821478</v>
      </c>
      <c r="E736" s="141">
        <f t="shared" si="8"/>
        <v>0.02798281669</v>
      </c>
      <c r="F736" s="140">
        <f t="shared" si="9"/>
        <v>0.7171008336</v>
      </c>
      <c r="G736" s="141">
        <f t="shared" si="10"/>
        <v>0.06743412976</v>
      </c>
      <c r="H736" s="142">
        <f t="shared" si="11"/>
        <v>1</v>
      </c>
      <c r="I736" s="142">
        <f t="shared" si="12"/>
        <v>0</v>
      </c>
      <c r="J736" s="142">
        <f t="shared" si="13"/>
        <v>1</v>
      </c>
      <c r="K736" s="142">
        <f t="shared" si="14"/>
        <v>0</v>
      </c>
      <c r="L736" s="139">
        <f>Assumptions!$C$6*Assumptions!$C$7*(1+$G736-0.05*(1-1))^1+Assumptions!$C$6*Assumptions!$C$8*(1+Assumptions!$C$11)^1+Assumptions!$C$16*1+Assumptions!$C$6*Assumptions!$C$9*(1+Assumptions!$C$12)^1</f>
        <v>749.1663281</v>
      </c>
      <c r="M736" s="139">
        <f>Assumptions!$C$6*Assumptions!$C$7*(1+$G736-0.05*(1-$H736))^2+Assumptions!$C$6*Assumptions!$C$8*(1+Assumptions!$C$11)^2+Assumptions!$C$16*$H736+Assumptions!$C$6*Assumptions!$C$9*(1+Assumptions!$C$12)^2</f>
        <v>779.9926582</v>
      </c>
      <c r="N736" s="139">
        <f>Assumptions!$C$6*Assumptions!$C$7*(1+$G736-0.05*(1-$I736))^3+Assumptions!$C$6*Assumptions!$C$8*(1+Assumptions!$C$11)^3+Assumptions!$C$16*$I736+Assumptions!$C$6*Assumptions!$C$9*(1+Assumptions!$C$12)^3</f>
        <v>697.7083627</v>
      </c>
      <c r="O736" s="139">
        <f>Assumptions!$C$6*Assumptions!$C$7*(1+$G736-0.05*(1-$J736))^4+Assumptions!$C$6*Assumptions!$C$8*(1+Assumptions!$C$11)^4+Assumptions!$C$16*$J736+Assumptions!$C$6*Assumptions!$C$9*(1+Assumptions!$C$12)^4</f>
        <v>847.0555553</v>
      </c>
      <c r="P736" s="139">
        <f>Assumptions!$C$6*Assumptions!$C$7*(1+$G736-0.05*(1-$K736))^5+Assumptions!$C$6*Assumptions!$C$8*(1+Assumptions!$C$11)^5+Assumptions!$C$16*$K736+Assumptions!$C$6*Assumptions!$C$9*(1+Assumptions!$C$12)^5</f>
        <v>724.0424568</v>
      </c>
      <c r="Q736" s="139">
        <f>($L736*(1-(Assumptions!$C$25+0.06*(1-1))-Assumptions!$C$27)-Assumptions!$C$28)-MAX(0,($L736*(1-(Assumptions!$C$25+0.06*(1-1))-Assumptions!$C$27)-Assumptions!$C$28)*Assumptions!$C$31)+Assumptions!$C$28-Assumptions!$C$29-$L736*Assumptions!$C$30</f>
        <v>93.57076054</v>
      </c>
      <c r="R736" s="139">
        <f>($M736*(1-(Assumptions!$C$25+0.06*(1-$H736))-Assumptions!$C$27)-Assumptions!$C$28)-MAX(0,($M736*(1-(Assumptions!$C$25+0.06*(1-$H736))-Assumptions!$C$27)-Assumptions!$C$28)*Assumptions!$C$31)+Assumptions!$C$28-Assumptions!$C$29-$M736*Assumptions!$C$30</f>
        <v>100.1984215</v>
      </c>
      <c r="S736" s="139">
        <f>($N736*(1-(Assumptions!$C$25+0.06*(1-$I736))-Assumptions!$C$27)-Assumptions!$C$28)-MAX(0,($N736*(1-(Assumptions!$C$25+0.06*(1-$I736))-Assumptions!$C$27)-Assumptions!$C$28)*Assumptions!$C$31)+Assumptions!$C$28-Assumptions!$C$29-$N736*Assumptions!$C$30</f>
        <v>40.47292342</v>
      </c>
      <c r="T736" s="139">
        <f>($O736*(1-(Assumptions!$C$25+0.06*(1-$J736))-Assumptions!$C$27)-Assumptions!$C$28)-MAX(0,($O736*(1-(Assumptions!$C$25+0.06*(1-$J736))-Assumptions!$C$27)-Assumptions!$C$28)*Assumptions!$C$31)+Assumptions!$C$28-Assumptions!$C$29-$O736*Assumptions!$C$30</f>
        <v>114.6169444</v>
      </c>
      <c r="U736" s="139">
        <f>($P736*(1-(Assumptions!$C$25+0.06*(1-$K736))-Assumptions!$C$27)-Assumptions!$C$28)-MAX(0,($P736*(1-(Assumptions!$C$25+0.06*(1-$K736))-Assumptions!$C$27)-Assumptions!$C$28)*Assumptions!$C$31)+Assumptions!$C$28-Assumptions!$C$29-$P736*Assumptions!$C$30</f>
        <v>46.52976507</v>
      </c>
      <c r="V736" s="143">
        <f>(($Q736/(1+$D736)^1+$R736/(1+$D736)^2+$S736/(1+$D736)^3+$T736/(1+$D736)^4+$U736/(1+$D736)^5+$U736*(1+$E736)/($D736-$E736)/(1+$D736)^5)-Assumptions!$C$37)/Assumptions!$C$40/Assumptions!$C$38</f>
        <v>0.8980496564</v>
      </c>
    </row>
    <row r="737" ht="12.0" customHeight="1">
      <c r="B737" s="139">
        <v>685.0</v>
      </c>
      <c r="C737" s="140">
        <f t="shared" si="6"/>
        <v>0.1520436024</v>
      </c>
      <c r="D737" s="141">
        <f t="shared" si="7"/>
        <v>0.09217933014</v>
      </c>
      <c r="E737" s="141">
        <f t="shared" si="8"/>
        <v>0.02257099647</v>
      </c>
      <c r="F737" s="140">
        <f t="shared" si="9"/>
        <v>0.4185505986</v>
      </c>
      <c r="G737" s="141">
        <f t="shared" si="10"/>
        <v>0.05744797037</v>
      </c>
      <c r="H737" s="142">
        <f t="shared" si="11"/>
        <v>0</v>
      </c>
      <c r="I737" s="142">
        <f t="shared" si="12"/>
        <v>1</v>
      </c>
      <c r="J737" s="142">
        <f t="shared" si="13"/>
        <v>1</v>
      </c>
      <c r="K737" s="142">
        <f t="shared" si="14"/>
        <v>0</v>
      </c>
      <c r="L737" s="139">
        <f>Assumptions!$C$6*Assumptions!$C$7*(1+$G737-0.05*(1-1))^1+Assumptions!$C$6*Assumptions!$C$8*(1+Assumptions!$C$11)^1+Assumptions!$C$16*1+Assumptions!$C$6*Assumptions!$C$9*(1+Assumptions!$C$12)^1</f>
        <v>745.8049868</v>
      </c>
      <c r="M737" s="139">
        <f>Assumptions!$C$6*Assumptions!$C$7*(1+$G737-0.05*(1-$H737))^2+Assumptions!$C$6*Assumptions!$C$8*(1+Assumptions!$C$11)^2+Assumptions!$C$16*$H737+Assumptions!$C$6*Assumptions!$C$9*(1+Assumptions!$C$12)^2</f>
        <v>678.0980056</v>
      </c>
      <c r="N737" s="139">
        <f>Assumptions!$C$6*Assumptions!$C$7*(1+$G737-0.05*(1-$I737))^3+Assumptions!$C$6*Assumptions!$C$8*(1+Assumptions!$C$11)^3+Assumptions!$C$16*$I737+Assumptions!$C$6*Assumptions!$C$9*(1+Assumptions!$C$12)^3</f>
        <v>801.2020569</v>
      </c>
      <c r="O737" s="139">
        <f>Assumptions!$C$6*Assumptions!$C$7*(1+$G737-0.05*(1-$J737))^4+Assumptions!$C$6*Assumptions!$C$8*(1+Assumptions!$C$11)^4+Assumptions!$C$16*$J737+Assumptions!$C$6*Assumptions!$C$9*(1+Assumptions!$C$12)^4</f>
        <v>830.930667</v>
      </c>
      <c r="P737" s="139">
        <f>Assumptions!$C$6*Assumptions!$C$7*(1+$G737-0.05*(1-$K737))^5+Assumptions!$C$6*Assumptions!$C$8*(1+Assumptions!$C$11)^5+Assumptions!$C$16*$K737+Assumptions!$C$6*Assumptions!$C$9*(1+Assumptions!$C$12)^5</f>
        <v>706.3827814</v>
      </c>
      <c r="Q737" s="139">
        <f>($L737*(1-(Assumptions!$C$25+0.06*(1-1))-Assumptions!$C$27)-Assumptions!$C$28)-MAX(0,($L737*(1-(Assumptions!$C$25+0.06*(1-1))-Assumptions!$C$27)-Assumptions!$C$28)*Assumptions!$C$31)+Assumptions!$C$28-Assumptions!$C$29-$L737*Assumptions!$C$30</f>
        <v>92.84807217</v>
      </c>
      <c r="R737" s="139">
        <f>($M737*(1-(Assumptions!$C$25+0.06*(1-$H737))-Assumptions!$C$27)-Assumptions!$C$28)-MAX(0,($M737*(1-(Assumptions!$C$25+0.06*(1-$H737))-Assumptions!$C$27)-Assumptions!$C$28)*Assumptions!$C$31)+Assumptions!$C$28-Assumptions!$C$29-$M737*Assumptions!$C$30</f>
        <v>35.96254129</v>
      </c>
      <c r="S737" s="139">
        <f>($N737*(1-(Assumptions!$C$25+0.06*(1-$I737))-Assumptions!$C$27)-Assumptions!$C$28)-MAX(0,($N737*(1-(Assumptions!$C$25+0.06*(1-$I737))-Assumptions!$C$27)-Assumptions!$C$28)*Assumptions!$C$31)+Assumptions!$C$28-Assumptions!$C$29-$N737*Assumptions!$C$30</f>
        <v>104.7584422</v>
      </c>
      <c r="T737" s="139">
        <f>($O737*(1-(Assumptions!$C$25+0.06*(1-$J737))-Assumptions!$C$27)-Assumptions!$C$28)-MAX(0,($O737*(1-(Assumptions!$C$25+0.06*(1-$J737))-Assumptions!$C$27)-Assumptions!$C$28)*Assumptions!$C$31)+Assumptions!$C$28-Assumptions!$C$29-$O737*Assumptions!$C$30</f>
        <v>111.1500934</v>
      </c>
      <c r="U737" s="139">
        <f>($P737*(1-(Assumptions!$C$25+0.06*(1-$K737))-Assumptions!$C$27)-Assumptions!$C$28)-MAX(0,($P737*(1-(Assumptions!$C$25+0.06*(1-$K737))-Assumptions!$C$27)-Assumptions!$C$28)*Assumptions!$C$31)+Assumptions!$C$28-Assumptions!$C$29-$P737*Assumptions!$C$30</f>
        <v>42.46803972</v>
      </c>
      <c r="V737" s="143">
        <f>(($Q737/(1+$D737)^1+$R737/(1+$D737)^2+$S737/(1+$D737)^3+$T737/(1+$D737)^4+$U737/(1+$D737)^5+$U737*(1+$E737)/($D737-$E737)/(1+$D737)^5)-Assumptions!$C$37)/Assumptions!$C$40/Assumptions!$C$38</f>
        <v>0.08393300399</v>
      </c>
    </row>
    <row r="738" ht="12.0" customHeight="1">
      <c r="B738" s="139">
        <v>686.0</v>
      </c>
      <c r="C738" s="140">
        <f t="shared" si="6"/>
        <v>0.5136529219</v>
      </c>
      <c r="D738" s="141">
        <f t="shared" si="7"/>
        <v>0.09848210937</v>
      </c>
      <c r="E738" s="141">
        <f t="shared" si="8"/>
        <v>0.01264707465</v>
      </c>
      <c r="F738" s="140">
        <f t="shared" si="9"/>
        <v>0.9972619084</v>
      </c>
      <c r="G738" s="141">
        <f t="shared" si="10"/>
        <v>0.08777996285</v>
      </c>
      <c r="H738" s="142">
        <f t="shared" si="11"/>
        <v>1</v>
      </c>
      <c r="I738" s="142">
        <f t="shared" si="12"/>
        <v>0</v>
      </c>
      <c r="J738" s="142">
        <f t="shared" si="13"/>
        <v>1</v>
      </c>
      <c r="K738" s="142">
        <f t="shared" si="14"/>
        <v>0</v>
      </c>
      <c r="L738" s="139">
        <f>Assumptions!$C$6*Assumptions!$C$7*(1+$G738-0.05*(1-1))^1+Assumptions!$C$6*Assumptions!$C$8*(1+Assumptions!$C$11)^1+Assumptions!$C$16*1+Assumptions!$C$6*Assumptions!$C$9*(1+Assumptions!$C$12)^1</f>
        <v>756.0147355</v>
      </c>
      <c r="M738" s="139">
        <f>Assumptions!$C$6*Assumptions!$C$7*(1+$G738-0.05*(1-$H738))^2+Assumptions!$C$6*Assumptions!$C$8*(1+Assumptions!$C$11)^2+Assumptions!$C$16*$H738+Assumptions!$C$6*Assumptions!$C$9*(1+Assumptions!$C$12)^2</f>
        <v>794.7524423</v>
      </c>
      <c r="N738" s="139">
        <f>Assumptions!$C$6*Assumptions!$C$7*(1+$G738-0.05*(1-$I738))^3+Assumptions!$C$6*Assumptions!$C$8*(1+Assumptions!$C$11)^3+Assumptions!$C$16*$I738+Assumptions!$C$6*Assumptions!$C$9*(1+Assumptions!$C$12)^3</f>
        <v>719.404338</v>
      </c>
      <c r="O738" s="139">
        <f>Assumptions!$C$6*Assumptions!$C$7*(1+$G738-0.05*(1-$J738))^4+Assumptions!$C$6*Assumptions!$C$8*(1+Assumptions!$C$11)^4+Assumptions!$C$16*$J738+Assumptions!$C$6*Assumptions!$C$9*(1+Assumptions!$C$12)^4</f>
        <v>881.3378236</v>
      </c>
      <c r="P738" s="139">
        <f>Assumptions!$C$6*Assumptions!$C$7*(1+$G738-0.05*(1-$K738))^5+Assumptions!$C$6*Assumptions!$C$8*(1+Assumptions!$C$11)^5+Assumptions!$C$16*$K738+Assumptions!$C$6*Assumptions!$C$9*(1+Assumptions!$C$12)^5</f>
        <v>762.232751</v>
      </c>
      <c r="Q738" s="139">
        <f>($L738*(1-(Assumptions!$C$25+0.06*(1-1))-Assumptions!$C$27)-Assumptions!$C$28)-MAX(0,($L738*(1-(Assumptions!$C$25+0.06*(1-1))-Assumptions!$C$27)-Assumptions!$C$28)*Assumptions!$C$31)+Assumptions!$C$28-Assumptions!$C$29-$L738*Assumptions!$C$30</f>
        <v>95.04316813</v>
      </c>
      <c r="R738" s="139">
        <f>($M738*(1-(Assumptions!$C$25+0.06*(1-$H738))-Assumptions!$C$27)-Assumptions!$C$28)-MAX(0,($M738*(1-(Assumptions!$C$25+0.06*(1-$H738))-Assumptions!$C$27)-Assumptions!$C$28)*Assumptions!$C$31)+Assumptions!$C$28-Assumptions!$C$29-$M738*Assumptions!$C$30</f>
        <v>103.3717751</v>
      </c>
      <c r="S738" s="139">
        <f>($N738*(1-(Assumptions!$C$25+0.06*(1-$I738))-Assumptions!$C$27)-Assumptions!$C$28)-MAX(0,($N738*(1-(Assumptions!$C$25+0.06*(1-$I738))-Assumptions!$C$27)-Assumptions!$C$28)*Assumptions!$C$31)+Assumptions!$C$28-Assumptions!$C$29-$N738*Assumptions!$C$30</f>
        <v>45.46299774</v>
      </c>
      <c r="T738" s="139">
        <f>($O738*(1-(Assumptions!$C$25+0.06*(1-$J738))-Assumptions!$C$27)-Assumptions!$C$28)-MAX(0,($O738*(1-(Assumptions!$C$25+0.06*(1-$J738))-Assumptions!$C$27)-Assumptions!$C$28)*Assumptions!$C$31)+Assumptions!$C$28-Assumptions!$C$29-$O738*Assumptions!$C$30</f>
        <v>121.9876321</v>
      </c>
      <c r="U738" s="139">
        <f>($P738*(1-(Assumptions!$C$25+0.06*(1-$K738))-Assumptions!$C$27)-Assumptions!$C$28)-MAX(0,($P738*(1-(Assumptions!$C$25+0.06*(1-$K738))-Assumptions!$C$27)-Assumptions!$C$28)*Assumptions!$C$31)+Assumptions!$C$28-Assumptions!$C$29-$P738*Assumptions!$C$30</f>
        <v>55.31353273</v>
      </c>
      <c r="V738" s="143">
        <f>(($Q738/(1+$D738)^1+$R738/(1+$D738)^2+$S738/(1+$D738)^3+$T738/(1+$D738)^4+$U738/(1+$D738)^5+$U738*(1+$E738)/($D738-$E738)/(1+$D738)^5)-Assumptions!$C$37)/Assumptions!$C$40/Assumptions!$C$38</f>
        <v>0.3211516515</v>
      </c>
    </row>
    <row r="739" ht="12.0" customHeight="1">
      <c r="B739" s="139">
        <v>687.0</v>
      </c>
      <c r="C739" s="140">
        <f t="shared" si="6"/>
        <v>0.9095522585</v>
      </c>
      <c r="D739" s="141">
        <f t="shared" si="7"/>
        <v>0.1078767154</v>
      </c>
      <c r="E739" s="141">
        <f t="shared" si="8"/>
        <v>0.02061398443</v>
      </c>
      <c r="F739" s="140">
        <f t="shared" si="9"/>
        <v>0.4291782268</v>
      </c>
      <c r="G739" s="141">
        <f t="shared" si="10"/>
        <v>0.05779425855</v>
      </c>
      <c r="H739" s="142">
        <f t="shared" si="11"/>
        <v>1</v>
      </c>
      <c r="I739" s="142">
        <f t="shared" si="12"/>
        <v>1</v>
      </c>
      <c r="J739" s="142">
        <f t="shared" si="13"/>
        <v>0</v>
      </c>
      <c r="K739" s="142">
        <f t="shared" si="14"/>
        <v>1</v>
      </c>
      <c r="L739" s="139">
        <f>Assumptions!$C$6*Assumptions!$C$7*(1+$G739-0.05*(1-1))^1+Assumptions!$C$6*Assumptions!$C$8*(1+Assumptions!$C$11)^1+Assumptions!$C$16*1+Assumptions!$C$6*Assumptions!$C$9*(1+Assumptions!$C$12)^1</f>
        <v>745.9215474</v>
      </c>
      <c r="M739" s="139">
        <f>Assumptions!$C$6*Assumptions!$C$7*(1+$G739-0.05*(1-$H739))^2+Assumptions!$C$6*Assumptions!$C$8*(1+Assumptions!$C$11)^2+Assumptions!$C$16*$H739+Assumptions!$C$6*Assumptions!$C$9*(1+Assumptions!$C$12)^2</f>
        <v>773.0967582</v>
      </c>
      <c r="N739" s="139">
        <f>Assumptions!$C$6*Assumptions!$C$7*(1+$G739-0.05*(1-$I739))^3+Assumptions!$C$6*Assumptions!$C$8*(1+Assumptions!$C$11)^3+Assumptions!$C$16*$I739+Assumptions!$C$6*Assumptions!$C$9*(1+Assumptions!$C$12)^3</f>
        <v>801.5931978</v>
      </c>
      <c r="O739" s="139">
        <f>Assumptions!$C$6*Assumptions!$C$7*(1+$G739-0.05*(1-$J739))^4+Assumptions!$C$6*Assumptions!$C$8*(1+Assumptions!$C$11)^4+Assumptions!$C$16*$J739+Assumptions!$C$6*Assumptions!$C$9*(1+Assumptions!$C$12)^4</f>
        <v>697.2760807</v>
      </c>
      <c r="P739" s="139">
        <f>Assumptions!$C$6*Assumptions!$C$7*(1+$G739-0.05*(1-$K739))^5+Assumptions!$C$6*Assumptions!$C$8*(1+Assumptions!$C$11)^5+Assumptions!$C$16*$K739+Assumptions!$C$6*Assumptions!$C$9*(1+Assumptions!$C$12)^5</f>
        <v>862.8392791</v>
      </c>
      <c r="Q739" s="139">
        <f>($L739*(1-(Assumptions!$C$25+0.06*(1-1))-Assumptions!$C$27)-Assumptions!$C$28)-MAX(0,($L739*(1-(Assumptions!$C$25+0.06*(1-1))-Assumptions!$C$27)-Assumptions!$C$28)*Assumptions!$C$31)+Assumptions!$C$28-Assumptions!$C$29-$L739*Assumptions!$C$30</f>
        <v>92.8731327</v>
      </c>
      <c r="R739" s="139">
        <f>($M739*(1-(Assumptions!$C$25+0.06*(1-$H739))-Assumptions!$C$27)-Assumptions!$C$28)-MAX(0,($M739*(1-(Assumptions!$C$25+0.06*(1-$H739))-Assumptions!$C$27)-Assumptions!$C$28)*Assumptions!$C$31)+Assumptions!$C$28-Assumptions!$C$29-$M739*Assumptions!$C$30</f>
        <v>98.71580301</v>
      </c>
      <c r="S739" s="139">
        <f>($N739*(1-(Assumptions!$C$25+0.06*(1-$I739))-Assumptions!$C$27)-Assumptions!$C$28)-MAX(0,($N739*(1-(Assumptions!$C$25+0.06*(1-$I739))-Assumptions!$C$27)-Assumptions!$C$28)*Assumptions!$C$31)+Assumptions!$C$28-Assumptions!$C$29-$N739*Assumptions!$C$30</f>
        <v>104.8425375</v>
      </c>
      <c r="T739" s="139">
        <f>($O739*(1-(Assumptions!$C$25+0.06*(1-$J739))-Assumptions!$C$27)-Assumptions!$C$28)-MAX(0,($O739*(1-(Assumptions!$C$25+0.06*(1-$J739))-Assumptions!$C$27)-Assumptions!$C$28)*Assumptions!$C$31)+Assumptions!$C$28-Assumptions!$C$29-$O739*Assumptions!$C$30</f>
        <v>40.37349855</v>
      </c>
      <c r="U739" s="139">
        <f>($P739*(1-(Assumptions!$C$25+0.06*(1-$K739))-Assumptions!$C$27)-Assumptions!$C$28)-MAX(0,($P739*(1-(Assumptions!$C$25+0.06*(1-$K739))-Assumptions!$C$27)-Assumptions!$C$28)*Assumptions!$C$31)+Assumptions!$C$28-Assumptions!$C$29-$P739*Assumptions!$C$30</f>
        <v>118.010445</v>
      </c>
      <c r="V739" s="143">
        <f>(($Q739/(1+$D739)^1+$R739/(1+$D739)^2+$S739/(1+$D739)^3+$T739/(1+$D739)^4+$U739/(1+$D739)^5+$U739*(1+$E739)/($D739-$E739)/(1+$D739)^5)-Assumptions!$C$37)/Assumptions!$C$40/Assumptions!$C$38</f>
        <v>3.700230434</v>
      </c>
    </row>
    <row r="740" ht="12.0" customHeight="1">
      <c r="B740" s="139">
        <v>688.0</v>
      </c>
      <c r="C740" s="140">
        <f t="shared" si="6"/>
        <v>0.4681879048</v>
      </c>
      <c r="D740" s="141">
        <f t="shared" si="7"/>
        <v>0.09772728784</v>
      </c>
      <c r="E740" s="141">
        <f t="shared" si="8"/>
        <v>0.01243215774</v>
      </c>
      <c r="F740" s="140">
        <f t="shared" si="9"/>
        <v>0.7510191344</v>
      </c>
      <c r="G740" s="141">
        <f t="shared" si="10"/>
        <v>0.06883007893</v>
      </c>
      <c r="H740" s="142">
        <f t="shared" si="11"/>
        <v>0</v>
      </c>
      <c r="I740" s="142">
        <f t="shared" si="12"/>
        <v>1</v>
      </c>
      <c r="J740" s="142">
        <f t="shared" si="13"/>
        <v>0</v>
      </c>
      <c r="K740" s="142">
        <f t="shared" si="14"/>
        <v>1</v>
      </c>
      <c r="L740" s="139">
        <f>Assumptions!$C$6*Assumptions!$C$7*(1+$G740-0.05*(1-1))^1+Assumptions!$C$6*Assumptions!$C$8*(1+Assumptions!$C$11)^1+Assumptions!$C$16*1+Assumptions!$C$6*Assumptions!$C$9*(1+Assumptions!$C$12)^1</f>
        <v>749.6362046</v>
      </c>
      <c r="M740" s="139">
        <f>Assumptions!$C$6*Assumptions!$C$7*(1+$G740-0.05*(1-$H740))^2+Assumptions!$C$6*Assumptions!$C$8*(1+Assumptions!$C$11)^2+Assumptions!$C$16*$H740+Assumptions!$C$6*Assumptions!$C$9*(1+Assumptions!$C$12)^2</f>
        <v>685.861118</v>
      </c>
      <c r="N740" s="139">
        <f>Assumptions!$C$6*Assumptions!$C$7*(1+$G740-0.05*(1-$I740))^3+Assumptions!$C$6*Assumptions!$C$8*(1+Assumptions!$C$11)^3+Assumptions!$C$16*$I740+Assumptions!$C$6*Assumptions!$C$9*(1+Assumptions!$C$12)^3</f>
        <v>814.1930502</v>
      </c>
      <c r="O740" s="139">
        <f>Assumptions!$C$6*Assumptions!$C$7*(1+$G740-0.05*(1-$J740))^4+Assumptions!$C$6*Assumptions!$C$8*(1+Assumptions!$C$11)^4+Assumptions!$C$16*$J740+Assumptions!$C$6*Assumptions!$C$9*(1+Assumptions!$C$12)^4</f>
        <v>712.7365039</v>
      </c>
      <c r="P740" s="139">
        <f>Assumptions!$C$6*Assumptions!$C$7*(1+$G740-0.05*(1-$K740))^5+Assumptions!$C$6*Assumptions!$C$8*(1+Assumptions!$C$11)^5+Assumptions!$C$16*$K740+Assumptions!$C$6*Assumptions!$C$9*(1+Assumptions!$C$12)^5</f>
        <v>886.5833546</v>
      </c>
      <c r="Q740" s="139">
        <f>($L740*(1-(Assumptions!$C$25+0.06*(1-1))-Assumptions!$C$27)-Assumptions!$C$28)-MAX(0,($L740*(1-(Assumptions!$C$25+0.06*(1-1))-Assumptions!$C$27)-Assumptions!$C$28)*Assumptions!$C$31)+Assumptions!$C$28-Assumptions!$C$29-$L740*Assumptions!$C$30</f>
        <v>93.67178398</v>
      </c>
      <c r="R740" s="139">
        <f>($M740*(1-(Assumptions!$C$25+0.06*(1-$H740))-Assumptions!$C$27)-Assumptions!$C$28)-MAX(0,($M740*(1-(Assumptions!$C$25+0.06*(1-$H740))-Assumptions!$C$27)-Assumptions!$C$28)*Assumptions!$C$31)+Assumptions!$C$28-Assumptions!$C$29-$M740*Assumptions!$C$30</f>
        <v>37.74805715</v>
      </c>
      <c r="S740" s="139">
        <f>($N740*(1-(Assumptions!$C$25+0.06*(1-$I740))-Assumptions!$C$27)-Assumptions!$C$28)-MAX(0,($N740*(1-(Assumptions!$C$25+0.06*(1-$I740))-Assumptions!$C$27)-Assumptions!$C$28)*Assumptions!$C$31)+Assumptions!$C$28-Assumptions!$C$29-$N740*Assumptions!$C$30</f>
        <v>107.5515058</v>
      </c>
      <c r="T740" s="139">
        <f>($O740*(1-(Assumptions!$C$25+0.06*(1-$J740))-Assumptions!$C$27)-Assumptions!$C$28)-MAX(0,($O740*(1-(Assumptions!$C$25+0.06*(1-$J740))-Assumptions!$C$27)-Assumptions!$C$28)*Assumptions!$C$31)+Assumptions!$C$28-Assumptions!$C$29-$O740*Assumptions!$C$30</f>
        <v>43.92939589</v>
      </c>
      <c r="U740" s="139">
        <f>($P740*(1-(Assumptions!$C$25+0.06*(1-$K740))-Assumptions!$C$27)-Assumptions!$C$28)-MAX(0,($P740*(1-(Assumptions!$C$25+0.06*(1-$K740))-Assumptions!$C$27)-Assumptions!$C$28)*Assumptions!$C$31)+Assumptions!$C$28-Assumptions!$C$29-$P740*Assumptions!$C$30</f>
        <v>123.1154212</v>
      </c>
      <c r="V740" s="143">
        <f>(($Q740/(1+$D740)^1+$R740/(1+$D740)^2+$S740/(1+$D740)^3+$T740/(1+$D740)^4+$U740/(1+$D740)^5+$U740*(1+$E740)/($D740-$E740)/(1+$D740)^5)-Assumptions!$C$37)/Assumptions!$C$40/Assumptions!$C$38</f>
        <v>4.140588706</v>
      </c>
    </row>
    <row r="741" ht="12.0" customHeight="1">
      <c r="B741" s="139">
        <v>689.0</v>
      </c>
      <c r="C741" s="140">
        <f t="shared" si="6"/>
        <v>0.3339196371</v>
      </c>
      <c r="D741" s="141">
        <f t="shared" si="7"/>
        <v>0.09563949045</v>
      </c>
      <c r="E741" s="141">
        <f t="shared" si="8"/>
        <v>0.02639635466</v>
      </c>
      <c r="F741" s="140">
        <f t="shared" si="9"/>
        <v>0.6996507766</v>
      </c>
      <c r="G741" s="141">
        <f t="shared" si="10"/>
        <v>0.06674857849</v>
      </c>
      <c r="H741" s="142">
        <f t="shared" si="11"/>
        <v>0</v>
      </c>
      <c r="I741" s="142">
        <f t="shared" si="12"/>
        <v>1</v>
      </c>
      <c r="J741" s="142">
        <f t="shared" si="13"/>
        <v>0</v>
      </c>
      <c r="K741" s="142">
        <f t="shared" si="14"/>
        <v>1</v>
      </c>
      <c r="L741" s="139">
        <f>Assumptions!$C$6*Assumptions!$C$7*(1+$G741-0.05*(1-1))^1+Assumptions!$C$6*Assumptions!$C$8*(1+Assumptions!$C$11)^1+Assumptions!$C$16*1+Assumptions!$C$6*Assumptions!$C$9*(1+Assumptions!$C$12)^1</f>
        <v>748.9355715</v>
      </c>
      <c r="M741" s="139">
        <f>Assumptions!$C$6*Assumptions!$C$7*(1+$G741-0.05*(1-$H741))^2+Assumptions!$C$6*Assumptions!$C$8*(1+Assumptions!$C$11)^2+Assumptions!$C$16*$H741+Assumptions!$C$6*Assumptions!$C$9*(1+Assumptions!$C$12)^2</f>
        <v>684.4349244</v>
      </c>
      <c r="N741" s="139">
        <f>Assumptions!$C$6*Assumptions!$C$7*(1+$G741-0.05*(1-$I741))^3+Assumptions!$C$6*Assumptions!$C$8*(1+Assumptions!$C$11)^3+Assumptions!$C$16*$I741+Assumptions!$C$6*Assumptions!$C$9*(1+Assumptions!$C$12)^3</f>
        <v>811.7965186</v>
      </c>
      <c r="O741" s="139">
        <f>Assumptions!$C$6*Assumptions!$C$7*(1+$G741-0.05*(1-$J741))^4+Assumptions!$C$6*Assumptions!$C$8*(1+Assumptions!$C$11)^4+Assumptions!$C$16*$J741+Assumptions!$C$6*Assumptions!$C$9*(1+Assumptions!$C$12)^4</f>
        <v>709.7817267</v>
      </c>
      <c r="P741" s="139">
        <f>Assumptions!$C$6*Assumptions!$C$7*(1+$G741-0.05*(1-$K741))^5+Assumptions!$C$6*Assumptions!$C$8*(1+Assumptions!$C$11)^5+Assumptions!$C$16*$K741+Assumptions!$C$6*Assumptions!$C$9*(1+Assumptions!$C$12)^5</f>
        <v>882.0292421</v>
      </c>
      <c r="Q741" s="139">
        <f>($L741*(1-(Assumptions!$C$25+0.06*(1-1))-Assumptions!$C$27)-Assumptions!$C$28)-MAX(0,($L741*(1-(Assumptions!$C$25+0.06*(1-1))-Assumptions!$C$27)-Assumptions!$C$28)*Assumptions!$C$31)+Assumptions!$C$28-Assumptions!$C$29-$L741*Assumptions!$C$30</f>
        <v>93.52114788</v>
      </c>
      <c r="R741" s="139">
        <f>($M741*(1-(Assumptions!$C$25+0.06*(1-$H741))-Assumptions!$C$27)-Assumptions!$C$28)-MAX(0,($M741*(1-(Assumptions!$C$25+0.06*(1-$H741))-Assumptions!$C$27)-Assumptions!$C$28)*Assumptions!$C$31)+Assumptions!$C$28-Assumptions!$C$29-$M741*Assumptions!$C$30</f>
        <v>37.4200326</v>
      </c>
      <c r="S741" s="139">
        <f>($N741*(1-(Assumptions!$C$25+0.06*(1-$I741))-Assumptions!$C$27)-Assumptions!$C$28)-MAX(0,($N741*(1-(Assumptions!$C$25+0.06*(1-$I741))-Assumptions!$C$27)-Assumptions!$C$28)*Assumptions!$C$31)+Assumptions!$C$28-Assumptions!$C$29-$N741*Assumptions!$C$30</f>
        <v>107.0362515</v>
      </c>
      <c r="T741" s="139">
        <f>($O741*(1-(Assumptions!$C$25+0.06*(1-$J741))-Assumptions!$C$27)-Assumptions!$C$28)-MAX(0,($O741*(1-(Assumptions!$C$25+0.06*(1-$J741))-Assumptions!$C$27)-Assumptions!$C$28)*Assumptions!$C$31)+Assumptions!$C$28-Assumptions!$C$29-$O741*Assumptions!$C$30</f>
        <v>43.24979713</v>
      </c>
      <c r="U741" s="139">
        <f>($P741*(1-(Assumptions!$C$25+0.06*(1-$K741))-Assumptions!$C$27)-Assumptions!$C$28)-MAX(0,($P741*(1-(Assumptions!$C$25+0.06*(1-$K741))-Assumptions!$C$27)-Assumptions!$C$28)*Assumptions!$C$31)+Assumptions!$C$28-Assumptions!$C$29-$P741*Assumptions!$C$30</f>
        <v>122.1362871</v>
      </c>
      <c r="V741" s="143">
        <f>(($Q741/(1+$D741)^1+$R741/(1+$D741)^2+$S741/(1+$D741)^3+$T741/(1+$D741)^4+$U741/(1+$D741)^5+$U741*(1+$E741)/($D741-$E741)/(1+$D741)^5)-Assumptions!$C$37)/Assumptions!$C$40/Assumptions!$C$38</f>
        <v>5.933118198</v>
      </c>
    </row>
    <row r="742" ht="12.0" customHeight="1">
      <c r="B742" s="139">
        <v>690.0</v>
      </c>
      <c r="C742" s="140">
        <f t="shared" si="6"/>
        <v>0.1904577308</v>
      </c>
      <c r="D742" s="141">
        <f t="shared" si="7"/>
        <v>0.09303524553</v>
      </c>
      <c r="E742" s="141">
        <f t="shared" si="8"/>
        <v>0.02140715637</v>
      </c>
      <c r="F742" s="140">
        <f t="shared" si="9"/>
        <v>0.07864224121</v>
      </c>
      <c r="G742" s="141">
        <f t="shared" si="10"/>
        <v>0.04189773231</v>
      </c>
      <c r="H742" s="142">
        <f t="shared" si="11"/>
        <v>1</v>
      </c>
      <c r="I742" s="142">
        <f t="shared" si="12"/>
        <v>1</v>
      </c>
      <c r="J742" s="142">
        <f t="shared" si="13"/>
        <v>1</v>
      </c>
      <c r="K742" s="142">
        <f t="shared" si="14"/>
        <v>0</v>
      </c>
      <c r="L742" s="139">
        <f>Assumptions!$C$6*Assumptions!$C$7*(1+$G742-0.05*(1-1))^1+Assumptions!$C$6*Assumptions!$C$8*(1+Assumptions!$C$11)^1+Assumptions!$C$16*1+Assumptions!$C$6*Assumptions!$C$9*(1+Assumptions!$C$12)^1</f>
        <v>740.5707767</v>
      </c>
      <c r="M742" s="139">
        <f>Assumptions!$C$6*Assumptions!$C$7*(1+$G742-0.05*(1-$H742))^2+Assumptions!$C$6*Assumptions!$C$8*(1+Assumptions!$C$11)^2+Assumptions!$C$16*$H742+Assumptions!$C$6*Assumptions!$C$9*(1+Assumptions!$C$12)^2</f>
        <v>761.8617878</v>
      </c>
      <c r="N742" s="139">
        <f>Assumptions!$C$6*Assumptions!$C$7*(1+$G742-0.05*(1-$I742))^3+Assumptions!$C$6*Assumptions!$C$8*(1+Assumptions!$C$11)^3+Assumptions!$C$16*$I742+Assumptions!$C$6*Assumptions!$C$9*(1+Assumptions!$C$12)^3</f>
        <v>783.9003767</v>
      </c>
      <c r="O742" s="139">
        <f>Assumptions!$C$6*Assumptions!$C$7*(1+$G742-0.05*(1-$J742))^4+Assumptions!$C$6*Assumptions!$C$8*(1+Assumptions!$C$11)^4+Assumptions!$C$16*$J742+Assumptions!$C$6*Assumptions!$C$9*(1+Assumptions!$C$12)^4</f>
        <v>806.7149759</v>
      </c>
      <c r="P742" s="139">
        <f>Assumptions!$C$6*Assumptions!$C$7*(1+$G742-0.05*(1-$K742))^5+Assumptions!$C$6*Assumptions!$C$8*(1+Assumptions!$C$11)^5+Assumptions!$C$16*$K742+Assumptions!$C$6*Assumptions!$C$9*(1+Assumptions!$C$12)^5</f>
        <v>680.2427991</v>
      </c>
      <c r="Q742" s="139">
        <f>($L742*(1-(Assumptions!$C$25+0.06*(1-1))-Assumptions!$C$27)-Assumptions!$C$28)-MAX(0,($L742*(1-(Assumptions!$C$25+0.06*(1-1))-Assumptions!$C$27)-Assumptions!$C$28)*Assumptions!$C$31)+Assumptions!$C$28-Assumptions!$C$29-$L742*Assumptions!$C$30</f>
        <v>91.72271699</v>
      </c>
      <c r="R742" s="139">
        <f>($M742*(1-(Assumptions!$C$25+0.06*(1-$H742))-Assumptions!$C$27)-Assumptions!$C$28)-MAX(0,($M742*(1-(Assumptions!$C$25+0.06*(1-$H742))-Assumptions!$C$27)-Assumptions!$C$28)*Assumptions!$C$31)+Assumptions!$C$28-Assumptions!$C$29-$M742*Assumptions!$C$30</f>
        <v>96.30028437</v>
      </c>
      <c r="S742" s="139">
        <f>($N742*(1-(Assumptions!$C$25+0.06*(1-$I742))-Assumptions!$C$27)-Assumptions!$C$28)-MAX(0,($N742*(1-(Assumptions!$C$25+0.06*(1-$I742))-Assumptions!$C$27)-Assumptions!$C$28)*Assumptions!$C$31)+Assumptions!$C$28-Assumptions!$C$29-$N742*Assumptions!$C$30</f>
        <v>101.038581</v>
      </c>
      <c r="T742" s="139">
        <f>($O742*(1-(Assumptions!$C$25+0.06*(1-$J742))-Assumptions!$C$27)-Assumptions!$C$28)-MAX(0,($O742*(1-(Assumptions!$C$25+0.06*(1-$J742))-Assumptions!$C$27)-Assumptions!$C$28)*Assumptions!$C$31)+Assumptions!$C$28-Assumptions!$C$29-$O742*Assumptions!$C$30</f>
        <v>105.9437198</v>
      </c>
      <c r="U742" s="139">
        <f>($P742*(1-(Assumptions!$C$25+0.06*(1-$K742))-Assumptions!$C$27)-Assumptions!$C$28)-MAX(0,($P742*(1-(Assumptions!$C$25+0.06*(1-$K742))-Assumptions!$C$27)-Assumptions!$C$28)*Assumptions!$C$31)+Assumptions!$C$28-Assumptions!$C$29-$P742*Assumptions!$C$30</f>
        <v>36.45584379</v>
      </c>
      <c r="V742" s="143">
        <f>(($Q742/(1+$D742)^1+$R742/(1+$D742)^2+$S742/(1+$D742)^3+$T742/(1+$D742)^4+$U742/(1+$D742)^5+$U742*(1+$E742)/($D742-$E742)/(1+$D742)^5)-Assumptions!$C$37)/Assumptions!$C$40/Assumptions!$C$38</f>
        <v>-0.1483753925</v>
      </c>
    </row>
    <row r="743" ht="12.0" customHeight="1">
      <c r="B743" s="139">
        <v>691.0</v>
      </c>
      <c r="C743" s="140">
        <f t="shared" si="6"/>
        <v>0.940110103</v>
      </c>
      <c r="D743" s="141">
        <f t="shared" si="7"/>
        <v>0.1092036018</v>
      </c>
      <c r="E743" s="141">
        <f t="shared" si="8"/>
        <v>0.02012514765</v>
      </c>
      <c r="F743" s="140">
        <f t="shared" si="9"/>
        <v>0.6234799273</v>
      </c>
      <c r="G743" s="141">
        <f t="shared" si="10"/>
        <v>0.06396663428</v>
      </c>
      <c r="H743" s="142">
        <f t="shared" si="11"/>
        <v>0</v>
      </c>
      <c r="I743" s="142">
        <f t="shared" si="12"/>
        <v>0</v>
      </c>
      <c r="J743" s="142">
        <f t="shared" si="13"/>
        <v>1</v>
      </c>
      <c r="K743" s="142">
        <f t="shared" si="14"/>
        <v>1</v>
      </c>
      <c r="L743" s="139">
        <f>Assumptions!$C$6*Assumptions!$C$7*(1+$G743-0.05*(1-1))^1+Assumptions!$C$6*Assumptions!$C$8*(1+Assumptions!$C$11)^1+Assumptions!$C$16*1+Assumptions!$C$6*Assumptions!$C$9*(1+Assumptions!$C$12)^1</f>
        <v>747.9991691</v>
      </c>
      <c r="M743" s="139">
        <f>Assumptions!$C$6*Assumptions!$C$7*(1+$G743-0.05*(1-$H743))^2+Assumptions!$C$6*Assumptions!$C$8*(1+Assumptions!$C$11)^2+Assumptions!$C$16*$H743+Assumptions!$C$6*Assumptions!$C$9*(1+Assumptions!$C$12)^2</f>
        <v>682.5333577</v>
      </c>
      <c r="N743" s="139">
        <f>Assumptions!$C$6*Assumptions!$C$7*(1+$G743-0.05*(1-$I743))^3+Assumptions!$C$6*Assumptions!$C$8*(1+Assumptions!$C$11)^3+Assumptions!$C$16*$I743+Assumptions!$C$6*Assumptions!$C$9*(1+Assumptions!$C$12)^3</f>
        <v>694.0960701</v>
      </c>
      <c r="O743" s="139">
        <f>Assumptions!$C$6*Assumptions!$C$7*(1+$G743-0.05*(1-$J743))^4+Assumptions!$C$6*Assumptions!$C$8*(1+Assumptions!$C$11)^4+Assumptions!$C$16*$J743+Assumptions!$C$6*Assumptions!$C$9*(1+Assumptions!$C$12)^4</f>
        <v>841.4049298</v>
      </c>
      <c r="P743" s="139">
        <f>Assumptions!$C$6*Assumptions!$C$7*(1+$G743-0.05*(1-$K743))^5+Assumptions!$C$6*Assumptions!$C$8*(1+Assumptions!$C$11)^5+Assumptions!$C$16*$K743+Assumptions!$C$6*Assumptions!$C$9*(1+Assumptions!$C$12)^5</f>
        <v>875.9978765</v>
      </c>
      <c r="Q743" s="139">
        <f>($L743*(1-(Assumptions!$C$25+0.06*(1-1))-Assumptions!$C$27)-Assumptions!$C$28)-MAX(0,($L743*(1-(Assumptions!$C$25+0.06*(1-1))-Assumptions!$C$27)-Assumptions!$C$28)*Assumptions!$C$31)+Assumptions!$C$28-Assumptions!$C$29-$L743*Assumptions!$C$30</f>
        <v>93.31982136</v>
      </c>
      <c r="R743" s="139">
        <f>($M743*(1-(Assumptions!$C$25+0.06*(1-$H743))-Assumptions!$C$27)-Assumptions!$C$28)-MAX(0,($M743*(1-(Assumptions!$C$25+0.06*(1-$H743))-Assumptions!$C$27)-Assumptions!$C$28)*Assumptions!$C$31)+Assumptions!$C$28-Assumptions!$C$29-$M743*Assumptions!$C$30</f>
        <v>36.98267227</v>
      </c>
      <c r="S743" s="139">
        <f>($N743*(1-(Assumptions!$C$25+0.06*(1-$I743))-Assumptions!$C$27)-Assumptions!$C$28)-MAX(0,($N743*(1-(Assumptions!$C$25+0.06*(1-$I743))-Assumptions!$C$27)-Assumptions!$C$28)*Assumptions!$C$31)+Assumptions!$C$28-Assumptions!$C$29-$N743*Assumptions!$C$30</f>
        <v>39.64209611</v>
      </c>
      <c r="T743" s="139">
        <f>($O743*(1-(Assumptions!$C$25+0.06*(1-$J743))-Assumptions!$C$27)-Assumptions!$C$28)-MAX(0,($O743*(1-(Assumptions!$C$25+0.06*(1-$J743))-Assumptions!$C$27)-Assumptions!$C$28)*Assumptions!$C$31)+Assumptions!$C$28-Assumptions!$C$29-$O743*Assumptions!$C$30</f>
        <v>113.4020599</v>
      </c>
      <c r="U743" s="139">
        <f>($P743*(1-(Assumptions!$C$25+0.06*(1-$K743))-Assumptions!$C$27)-Assumptions!$C$28)-MAX(0,($P743*(1-(Assumptions!$C$25+0.06*(1-$K743))-Assumptions!$C$27)-Assumptions!$C$28)*Assumptions!$C$31)+Assumptions!$C$28-Assumptions!$C$29-$P743*Assumptions!$C$30</f>
        <v>120.8395434</v>
      </c>
      <c r="V743" s="143">
        <f>(($Q743/(1+$D743)^1+$R743/(1+$D743)^2+$S743/(1+$D743)^3+$T743/(1+$D743)^4+$U743/(1+$D743)^5+$U743*(1+$E743)/($D743-$E743)/(1+$D743)^5)-Assumptions!$C$37)/Assumptions!$C$40/Assumptions!$C$38</f>
        <v>3.298173185</v>
      </c>
    </row>
    <row r="744" ht="12.0" customHeight="1">
      <c r="B744" s="139">
        <v>692.0</v>
      </c>
      <c r="C744" s="140">
        <f t="shared" si="6"/>
        <v>0.5045668119</v>
      </c>
      <c r="D744" s="141">
        <f t="shared" si="7"/>
        <v>0.0983285268</v>
      </c>
      <c r="E744" s="141">
        <f t="shared" si="8"/>
        <v>0.01661409402</v>
      </c>
      <c r="F744" s="140">
        <f t="shared" si="9"/>
        <v>0.1163030999</v>
      </c>
      <c r="G744" s="141">
        <f t="shared" si="10"/>
        <v>0.04446877948</v>
      </c>
      <c r="H744" s="142">
        <f t="shared" si="11"/>
        <v>1</v>
      </c>
      <c r="I744" s="142">
        <f t="shared" si="12"/>
        <v>0</v>
      </c>
      <c r="J744" s="142">
        <f t="shared" si="13"/>
        <v>0</v>
      </c>
      <c r="K744" s="142">
        <f t="shared" si="14"/>
        <v>0</v>
      </c>
      <c r="L744" s="139">
        <f>Assumptions!$C$6*Assumptions!$C$7*(1+$G744-0.05*(1-1))^1+Assumptions!$C$6*Assumptions!$C$8*(1+Assumptions!$C$11)^1+Assumptions!$C$16*1+Assumptions!$C$6*Assumptions!$C$9*(1+Assumptions!$C$12)^1</f>
        <v>741.4361912</v>
      </c>
      <c r="M744" s="139">
        <f>Assumptions!$C$6*Assumptions!$C$7*(1+$G744-0.05*(1-$H744))^2+Assumptions!$C$6*Assumptions!$C$8*(1+Assumptions!$C$11)^2+Assumptions!$C$16*$H744+Assumptions!$C$6*Assumptions!$C$9*(1+Assumptions!$C$12)^2</f>
        <v>763.6673595</v>
      </c>
      <c r="N744" s="139">
        <f>Assumptions!$C$6*Assumptions!$C$7*(1+$G744-0.05*(1-$I744))^3+Assumptions!$C$6*Assumptions!$C$8*(1+Assumptions!$C$11)^3+Assumptions!$C$16*$I744+Assumptions!$C$6*Assumptions!$C$9*(1+Assumptions!$C$12)^3</f>
        <v>674.240078</v>
      </c>
      <c r="O744" s="139">
        <f>Assumptions!$C$6*Assumptions!$C$7*(1+$G744-0.05*(1-$J744))^4+Assumptions!$C$6*Assumptions!$C$8*(1+Assumptions!$C$11)^4+Assumptions!$C$16*$J744+Assumptions!$C$6*Assumptions!$C$9*(1+Assumptions!$C$12)^4</f>
        <v>679.2728862</v>
      </c>
      <c r="P744" s="139">
        <f>Assumptions!$C$6*Assumptions!$C$7*(1+$G744-0.05*(1-$K744))^5+Assumptions!$C$6*Assumptions!$C$8*(1+Assumptions!$C$11)^5+Assumptions!$C$16*$K744+Assumptions!$C$6*Assumptions!$C$9*(1+Assumptions!$C$12)^5</f>
        <v>684.4531003</v>
      </c>
      <c r="Q744" s="139">
        <f>($L744*(1-(Assumptions!$C$25+0.06*(1-1))-Assumptions!$C$27)-Assumptions!$C$28)-MAX(0,($L744*(1-(Assumptions!$C$25+0.06*(1-1))-Assumptions!$C$27)-Assumptions!$C$28)*Assumptions!$C$31)+Assumptions!$C$28-Assumptions!$C$29-$L744*Assumptions!$C$30</f>
        <v>91.9087811</v>
      </c>
      <c r="R744" s="139">
        <f>($M744*(1-(Assumptions!$C$25+0.06*(1-$H744))-Assumptions!$C$27)-Assumptions!$C$28)-MAX(0,($M744*(1-(Assumptions!$C$25+0.06*(1-$H744))-Assumptions!$C$27)-Assumptions!$C$28)*Assumptions!$C$31)+Assumptions!$C$28-Assumptions!$C$29-$M744*Assumptions!$C$30</f>
        <v>96.6884823</v>
      </c>
      <c r="S744" s="139">
        <f>($N744*(1-(Assumptions!$C$25+0.06*(1-$I744))-Assumptions!$C$27)-Assumptions!$C$28)-MAX(0,($N744*(1-(Assumptions!$C$25+0.06*(1-$I744))-Assumptions!$C$27)-Assumptions!$C$28)*Assumptions!$C$31)+Assumptions!$C$28-Assumptions!$C$29-$N744*Assumptions!$C$30</f>
        <v>35.07521794</v>
      </c>
      <c r="T744" s="139">
        <f>($O744*(1-(Assumptions!$C$25+0.06*(1-$J744))-Assumptions!$C$27)-Assumptions!$C$28)-MAX(0,($O744*(1-(Assumptions!$C$25+0.06*(1-$J744))-Assumptions!$C$27)-Assumptions!$C$28)*Assumptions!$C$31)+Assumptions!$C$28-Assumptions!$C$29-$O744*Assumptions!$C$30</f>
        <v>36.23276382</v>
      </c>
      <c r="U744" s="139">
        <f>($P744*(1-(Assumptions!$C$25+0.06*(1-$K744))-Assumptions!$C$27)-Assumptions!$C$28)-MAX(0,($P744*(1-(Assumptions!$C$25+0.06*(1-$K744))-Assumptions!$C$27)-Assumptions!$C$28)*Assumptions!$C$31)+Assumptions!$C$28-Assumptions!$C$29-$P744*Assumptions!$C$30</f>
        <v>37.42421308</v>
      </c>
      <c r="V744" s="143">
        <f>(($Q744/(1+$D744)^1+$R744/(1+$D744)^2+$S744/(1+$D744)^3+$T744/(1+$D744)^4+$U744/(1+$D744)^5+$U744*(1+$E744)/($D744-$E744)/(1+$D744)^5)-Assumptions!$C$37)/Assumptions!$C$40/Assumptions!$C$38</f>
        <v>-1.262496666</v>
      </c>
    </row>
    <row r="745" ht="12.0" customHeight="1">
      <c r="B745" s="139">
        <v>693.0</v>
      </c>
      <c r="C745" s="140">
        <f t="shared" si="6"/>
        <v>0.5320698337</v>
      </c>
      <c r="D745" s="141">
        <f t="shared" si="7"/>
        <v>0.09879787596</v>
      </c>
      <c r="E745" s="141">
        <f t="shared" si="8"/>
        <v>0.0267358213</v>
      </c>
      <c r="F745" s="140">
        <f t="shared" si="9"/>
        <v>0.4211363261</v>
      </c>
      <c r="G745" s="141">
        <f t="shared" si="10"/>
        <v>0.05753262405</v>
      </c>
      <c r="H745" s="142">
        <f t="shared" si="11"/>
        <v>1</v>
      </c>
      <c r="I745" s="142">
        <f t="shared" si="12"/>
        <v>1</v>
      </c>
      <c r="J745" s="142">
        <f t="shared" si="13"/>
        <v>0</v>
      </c>
      <c r="K745" s="142">
        <f t="shared" si="14"/>
        <v>1</v>
      </c>
      <c r="L745" s="139">
        <f>Assumptions!$C$6*Assumptions!$C$7*(1+$G745-0.05*(1-1))^1+Assumptions!$C$6*Assumptions!$C$8*(1+Assumptions!$C$11)^1+Assumptions!$C$16*1+Assumptions!$C$6*Assumptions!$C$9*(1+Assumptions!$C$12)^1</f>
        <v>745.8334813</v>
      </c>
      <c r="M745" s="139">
        <f>Assumptions!$C$6*Assumptions!$C$7*(1+$G745-0.05*(1-$H745))^2+Assumptions!$C$6*Assumptions!$C$8*(1+Assumptions!$C$11)^2+Assumptions!$C$16*$H745+Assumptions!$C$6*Assumptions!$C$9*(1+Assumptions!$C$12)^2</f>
        <v>772.9104695</v>
      </c>
      <c r="N745" s="139">
        <f>Assumptions!$C$6*Assumptions!$C$7*(1+$G745-0.05*(1-$I745))^3+Assumptions!$C$6*Assumptions!$C$8*(1+Assumptions!$C$11)^3+Assumptions!$C$16*$I745+Assumptions!$C$6*Assumptions!$C$9*(1+Assumptions!$C$12)^3</f>
        <v>801.2976516</v>
      </c>
      <c r="O745" s="139">
        <f>Assumptions!$C$6*Assumptions!$C$7*(1+$G745-0.05*(1-$J745))^4+Assumptions!$C$6*Assumptions!$C$8*(1+Assumptions!$C$11)^4+Assumptions!$C$16*$J745+Assumptions!$C$6*Assumptions!$C$9*(1+Assumptions!$C$12)^4</f>
        <v>696.9156551</v>
      </c>
      <c r="P745" s="139">
        <f>Assumptions!$C$6*Assumptions!$C$7*(1+$G745-0.05*(1-$K745))^5+Assumptions!$C$6*Assumptions!$C$8*(1+Assumptions!$C$11)^5+Assumptions!$C$16*$K745+Assumptions!$C$6*Assumptions!$C$9*(1+Assumptions!$C$12)^5</f>
        <v>862.2882569</v>
      </c>
      <c r="Q745" s="139">
        <f>($L745*(1-(Assumptions!$C$25+0.06*(1-1))-Assumptions!$C$27)-Assumptions!$C$28)-MAX(0,($L745*(1-(Assumptions!$C$25+0.06*(1-1))-Assumptions!$C$27)-Assumptions!$C$28)*Assumptions!$C$31)+Assumptions!$C$28-Assumptions!$C$29-$L745*Assumptions!$C$30</f>
        <v>92.85419847</v>
      </c>
      <c r="R745" s="139">
        <f>($M745*(1-(Assumptions!$C$25+0.06*(1-$H745))-Assumptions!$C$27)-Assumptions!$C$28)-MAX(0,($M745*(1-(Assumptions!$C$25+0.06*(1-$H745))-Assumptions!$C$27)-Assumptions!$C$28)*Assumptions!$C$31)+Assumptions!$C$28-Assumptions!$C$29-$M745*Assumptions!$C$30</f>
        <v>98.67575093</v>
      </c>
      <c r="S745" s="139">
        <f>($N745*(1-(Assumptions!$C$25+0.06*(1-$I745))-Assumptions!$C$27)-Assumptions!$C$28)-MAX(0,($N745*(1-(Assumptions!$C$25+0.06*(1-$I745))-Assumptions!$C$27)-Assumptions!$C$28)*Assumptions!$C$31)+Assumptions!$C$28-Assumptions!$C$29-$N745*Assumptions!$C$30</f>
        <v>104.7789951</v>
      </c>
      <c r="T745" s="139">
        <f>($O745*(1-(Assumptions!$C$25+0.06*(1-$J745))-Assumptions!$C$27)-Assumptions!$C$28)-MAX(0,($O745*(1-(Assumptions!$C$25+0.06*(1-$J745))-Assumptions!$C$27)-Assumptions!$C$28)*Assumptions!$C$31)+Assumptions!$C$28-Assumptions!$C$29-$O745*Assumptions!$C$30</f>
        <v>40.29060067</v>
      </c>
      <c r="U745" s="139">
        <f>($P745*(1-(Assumptions!$C$25+0.06*(1-$K745))-Assumptions!$C$27)-Assumptions!$C$28)-MAX(0,($P745*(1-(Assumptions!$C$25+0.06*(1-$K745))-Assumptions!$C$27)-Assumptions!$C$28)*Assumptions!$C$31)+Assumptions!$C$28-Assumptions!$C$29-$P745*Assumptions!$C$30</f>
        <v>117.8919752</v>
      </c>
      <c r="V745" s="143">
        <f>(($Q745/(1+$D745)^1+$R745/(1+$D745)^2+$S745/(1+$D745)^3+$T745/(1+$D745)^4+$U745/(1+$D745)^5+$U745*(1+$E745)/($D745-$E745)/(1+$D745)^5)-Assumptions!$C$37)/Assumptions!$C$40/Assumptions!$C$38</f>
        <v>5.489679919</v>
      </c>
    </row>
    <row r="746" ht="12.0" customHeight="1">
      <c r="B746" s="139">
        <v>694.0</v>
      </c>
      <c r="C746" s="140">
        <f t="shared" si="6"/>
        <v>0.3461269854</v>
      </c>
      <c r="D746" s="141">
        <f t="shared" si="7"/>
        <v>0.09583222267</v>
      </c>
      <c r="E746" s="141">
        <f t="shared" si="8"/>
        <v>0.02066937952</v>
      </c>
      <c r="F746" s="140">
        <f t="shared" si="9"/>
        <v>0.8051251807</v>
      </c>
      <c r="G746" s="141">
        <f t="shared" si="10"/>
        <v>0.07127102045</v>
      </c>
      <c r="H746" s="142">
        <f t="shared" si="11"/>
        <v>1</v>
      </c>
      <c r="I746" s="142">
        <f t="shared" si="12"/>
        <v>1</v>
      </c>
      <c r="J746" s="142">
        <f t="shared" si="13"/>
        <v>0</v>
      </c>
      <c r="K746" s="142">
        <f t="shared" si="14"/>
        <v>0</v>
      </c>
      <c r="L746" s="139">
        <f>Assumptions!$C$6*Assumptions!$C$7*(1+$G746-0.05*(1-1))^1+Assumptions!$C$6*Assumptions!$C$8*(1+Assumptions!$C$11)^1+Assumptions!$C$16*1+Assumptions!$C$6*Assumptions!$C$9*(1+Assumptions!$C$12)^1</f>
        <v>750.4578255</v>
      </c>
      <c r="M746" s="139">
        <f>Assumptions!$C$6*Assumptions!$C$7*(1+$G746-0.05*(1-$H746))^2+Assumptions!$C$6*Assumptions!$C$8*(1+Assumptions!$C$11)^2+Assumptions!$C$16*$H746+Assumptions!$C$6*Assumptions!$C$9*(1+Assumptions!$C$12)^2</f>
        <v>782.7547903</v>
      </c>
      <c r="N746" s="139">
        <f>Assumptions!$C$6*Assumptions!$C$7*(1+$G746-0.05*(1-$I746))^3+Assumptions!$C$6*Assumptions!$C$8*(1+Assumptions!$C$11)^3+Assumptions!$C$16*$I746+Assumptions!$C$6*Assumptions!$C$9*(1+Assumptions!$C$12)^3</f>
        <v>817.0153394</v>
      </c>
      <c r="O746" s="139">
        <f>Assumptions!$C$6*Assumptions!$C$7*(1+$G746-0.05*(1-$J746))^4+Assumptions!$C$6*Assumptions!$C$8*(1+Assumptions!$C$11)^4+Assumptions!$C$16*$J746+Assumptions!$C$6*Assumptions!$C$9*(1+Assumptions!$C$12)^4</f>
        <v>716.2246702</v>
      </c>
      <c r="P746" s="139">
        <f>Assumptions!$C$6*Assumptions!$C$7*(1+$G746-0.05*(1-$K746))^5+Assumptions!$C$6*Assumptions!$C$8*(1+Assumptions!$C$11)^5+Assumptions!$C$16*$K746+Assumptions!$C$6*Assumptions!$C$9*(1+Assumptions!$C$12)^5</f>
        <v>731.0145682</v>
      </c>
      <c r="Q746" s="139">
        <f>($L746*(1-(Assumptions!$C$25+0.06*(1-1))-Assumptions!$C$27)-Assumptions!$C$28)-MAX(0,($L746*(1-(Assumptions!$C$25+0.06*(1-1))-Assumptions!$C$27)-Assumptions!$C$28)*Assumptions!$C$31)+Assumptions!$C$28-Assumptions!$C$29-$L746*Assumptions!$C$30</f>
        <v>93.84843248</v>
      </c>
      <c r="R746" s="139">
        <f>($M746*(1-(Assumptions!$C$25+0.06*(1-$H746))-Assumptions!$C$27)-Assumptions!$C$28)-MAX(0,($M746*(1-(Assumptions!$C$25+0.06*(1-$H746))-Assumptions!$C$27)-Assumptions!$C$28)*Assumptions!$C$31)+Assumptions!$C$28-Assumptions!$C$29-$M746*Assumptions!$C$30</f>
        <v>100.7922799</v>
      </c>
      <c r="S746" s="139">
        <f>($N746*(1-(Assumptions!$C$25+0.06*(1-$I746))-Assumptions!$C$27)-Assumptions!$C$28)-MAX(0,($N746*(1-(Assumptions!$C$25+0.06*(1-$I746))-Assumptions!$C$27)-Assumptions!$C$28)*Assumptions!$C$31)+Assumptions!$C$28-Assumptions!$C$29-$N746*Assumptions!$C$30</f>
        <v>108.158298</v>
      </c>
      <c r="T746" s="139">
        <f>($O746*(1-(Assumptions!$C$25+0.06*(1-$J746))-Assumptions!$C$27)-Assumptions!$C$28)-MAX(0,($O746*(1-(Assumptions!$C$25+0.06*(1-$J746))-Assumptions!$C$27)-Assumptions!$C$28)*Assumptions!$C$31)+Assumptions!$C$28-Assumptions!$C$29-$O746*Assumptions!$C$30</f>
        <v>44.73167414</v>
      </c>
      <c r="U746" s="139">
        <f>($P746*(1-(Assumptions!$C$25+0.06*(1-$K746))-Assumptions!$C$27)-Assumptions!$C$28)-MAX(0,($P746*(1-(Assumptions!$C$25+0.06*(1-$K746))-Assumptions!$C$27)-Assumptions!$C$28)*Assumptions!$C$31)+Assumptions!$C$28-Assumptions!$C$29-$P746*Assumptions!$C$30</f>
        <v>48.13335069</v>
      </c>
      <c r="V746" s="143">
        <f>(($Q746/(1+$D746)^1+$R746/(1+$D746)^2+$S746/(1+$D746)^3+$T746/(1+$D746)^4+$U746/(1+$D746)^5+$U746*(1+$E746)/($D746-$E746)/(1+$D746)^5)-Assumptions!$C$37)/Assumptions!$C$40/Assumptions!$C$38</f>
        <v>0.2744845136</v>
      </c>
    </row>
    <row r="747" ht="12.0" customHeight="1">
      <c r="B747" s="139">
        <v>695.0</v>
      </c>
      <c r="C747" s="140">
        <f t="shared" si="6"/>
        <v>0.3909087094</v>
      </c>
      <c r="D747" s="141">
        <f t="shared" si="7"/>
        <v>0.09651486505</v>
      </c>
      <c r="E747" s="141">
        <f t="shared" si="8"/>
        <v>0.02169400996</v>
      </c>
      <c r="F747" s="140">
        <f t="shared" si="9"/>
        <v>0.1785013883</v>
      </c>
      <c r="G747" s="141">
        <f t="shared" si="10"/>
        <v>0.0479249128</v>
      </c>
      <c r="H747" s="142">
        <f t="shared" si="11"/>
        <v>1</v>
      </c>
      <c r="I747" s="142">
        <f t="shared" si="12"/>
        <v>1</v>
      </c>
      <c r="J747" s="142">
        <f t="shared" si="13"/>
        <v>0</v>
      </c>
      <c r="K747" s="142">
        <f t="shared" si="14"/>
        <v>0</v>
      </c>
      <c r="L747" s="139">
        <f>Assumptions!$C$6*Assumptions!$C$7*(1+$G747-0.05*(1-1))^1+Assumptions!$C$6*Assumptions!$C$8*(1+Assumptions!$C$11)^1+Assumptions!$C$16*1+Assumptions!$C$6*Assumptions!$C$9*(1+Assumptions!$C$12)^1</f>
        <v>742.5995256</v>
      </c>
      <c r="M747" s="139">
        <f>Assumptions!$C$6*Assumptions!$C$7*(1+$G747-0.05*(1-$H747))^2+Assumptions!$C$6*Assumptions!$C$8*(1+Assumptions!$C$11)^2+Assumptions!$C$16*$H747+Assumptions!$C$6*Assumptions!$C$9*(1+Assumptions!$C$12)^2</f>
        <v>766.1015133</v>
      </c>
      <c r="N747" s="139">
        <f>Assumptions!$C$6*Assumptions!$C$7*(1+$G747-0.05*(1-$I747))^3+Assumptions!$C$6*Assumptions!$C$8*(1+Assumptions!$C$11)^3+Assumptions!$C$16*$I747+Assumptions!$C$6*Assumptions!$C$9*(1+Assumptions!$C$12)^3</f>
        <v>790.5456009</v>
      </c>
      <c r="O747" s="139">
        <f>Assumptions!$C$6*Assumptions!$C$7*(1+$G747-0.05*(1-$J747))^4+Assumptions!$C$6*Assumptions!$C$8*(1+Assumptions!$C$11)^4+Assumptions!$C$16*$J747+Assumptions!$C$6*Assumptions!$C$9*(1+Assumptions!$C$12)^4</f>
        <v>683.8733475</v>
      </c>
      <c r="P747" s="139">
        <f>Assumptions!$C$6*Assumptions!$C$7*(1+$G747-0.05*(1-$K747))^5+Assumptions!$C$6*Assumptions!$C$8*(1+Assumptions!$C$11)^5+Assumptions!$C$16*$K747+Assumptions!$C$6*Assumptions!$C$9*(1+Assumptions!$C$12)^5</f>
        <v>690.1818239</v>
      </c>
      <c r="Q747" s="139">
        <f>($L747*(1-(Assumptions!$C$25+0.06*(1-1))-Assumptions!$C$27)-Assumptions!$C$28)-MAX(0,($L747*(1-(Assumptions!$C$25+0.06*(1-1))-Assumptions!$C$27)-Assumptions!$C$28)*Assumptions!$C$31)+Assumptions!$C$28-Assumptions!$C$29-$L747*Assumptions!$C$30</f>
        <v>92.15889801</v>
      </c>
      <c r="R747" s="139">
        <f>($M747*(1-(Assumptions!$C$25+0.06*(1-$H747))-Assumptions!$C$27)-Assumptions!$C$28)-MAX(0,($M747*(1-(Assumptions!$C$25+0.06*(1-$H747))-Assumptions!$C$27)-Assumptions!$C$28)*Assumptions!$C$31)+Assumptions!$C$28-Assumptions!$C$29-$M747*Assumptions!$C$30</f>
        <v>97.21182535</v>
      </c>
      <c r="S747" s="139">
        <f>($N747*(1-(Assumptions!$C$25+0.06*(1-$I747))-Assumptions!$C$27)-Assumptions!$C$28)-MAX(0,($N747*(1-(Assumptions!$C$25+0.06*(1-$I747))-Assumptions!$C$27)-Assumptions!$C$28)*Assumptions!$C$31)+Assumptions!$C$28-Assumptions!$C$29-$N747*Assumptions!$C$30</f>
        <v>102.4673042</v>
      </c>
      <c r="T747" s="139">
        <f>($O747*(1-(Assumptions!$C$25+0.06*(1-$J747))-Assumptions!$C$27)-Assumptions!$C$28)-MAX(0,($O747*(1-(Assumptions!$C$25+0.06*(1-$J747))-Assumptions!$C$27)-Assumptions!$C$28)*Assumptions!$C$31)+Assumptions!$C$28-Assumptions!$C$29-$O747*Assumptions!$C$30</f>
        <v>37.29086992</v>
      </c>
      <c r="U747" s="139">
        <f>($P747*(1-(Assumptions!$C$25+0.06*(1-$K747))-Assumptions!$C$27)-Assumptions!$C$28)-MAX(0,($P747*(1-(Assumptions!$C$25+0.06*(1-$K747))-Assumptions!$C$27)-Assumptions!$C$28)*Assumptions!$C$31)+Assumptions!$C$28-Assumptions!$C$29-$P747*Assumptions!$C$30</f>
        <v>38.7418195</v>
      </c>
      <c r="V747" s="143">
        <f>(($Q747/(1+$D747)^1+$R747/(1+$D747)^2+$S747/(1+$D747)^3+$T747/(1+$D747)^4+$U747/(1+$D747)^5+$U747*(1+$E747)/($D747-$E747)/(1+$D747)^5)-Assumptions!$C$37)/Assumptions!$C$40/Assumptions!$C$38</f>
        <v>-0.5080819173</v>
      </c>
    </row>
    <row r="748" ht="12.0" customHeight="1">
      <c r="B748" s="139">
        <v>696.0</v>
      </c>
      <c r="C748" s="140">
        <f t="shared" si="6"/>
        <v>0.2729013491</v>
      </c>
      <c r="D748" s="141">
        <f t="shared" si="7"/>
        <v>0.09461839682</v>
      </c>
      <c r="E748" s="141">
        <f t="shared" si="8"/>
        <v>0.02107292089</v>
      </c>
      <c r="F748" s="140">
        <f t="shared" si="9"/>
        <v>0.1211474305</v>
      </c>
      <c r="G748" s="141">
        <f t="shared" si="10"/>
        <v>0.04476703677</v>
      </c>
      <c r="H748" s="142">
        <f t="shared" si="11"/>
        <v>0</v>
      </c>
      <c r="I748" s="142">
        <f t="shared" si="12"/>
        <v>0</v>
      </c>
      <c r="J748" s="142">
        <f t="shared" si="13"/>
        <v>1</v>
      </c>
      <c r="K748" s="142">
        <f t="shared" si="14"/>
        <v>1</v>
      </c>
      <c r="L748" s="139">
        <f>Assumptions!$C$6*Assumptions!$C$7*(1+$G748-0.05*(1-1))^1+Assumptions!$C$6*Assumptions!$C$8*(1+Assumptions!$C$11)^1+Assumptions!$C$16*1+Assumptions!$C$6*Assumptions!$C$9*(1+Assumptions!$C$12)^1</f>
        <v>741.5365846</v>
      </c>
      <c r="M748" s="139">
        <f>Assumptions!$C$6*Assumptions!$C$7*(1+$G748-0.05*(1-$H748))^2+Assumptions!$C$6*Assumptions!$C$8*(1+Assumptions!$C$11)^2+Assumptions!$C$16*$H748+Assumptions!$C$6*Assumptions!$C$9*(1+Assumptions!$C$12)^2</f>
        <v>669.5517466</v>
      </c>
      <c r="N748" s="139">
        <f>Assumptions!$C$6*Assumptions!$C$7*(1+$G748-0.05*(1-$I748))^3+Assumptions!$C$6*Assumptions!$C$8*(1+Assumptions!$C$11)^3+Assumptions!$C$16*$I748+Assumptions!$C$6*Assumptions!$C$9*(1+Assumptions!$C$12)^3</f>
        <v>674.538025</v>
      </c>
      <c r="O748" s="139">
        <f>Assumptions!$C$6*Assumptions!$C$7*(1+$G748-0.05*(1-$J748))^4+Assumptions!$C$6*Assumptions!$C$8*(1+Assumptions!$C$11)^4+Assumptions!$C$16*$J748+Assumptions!$C$6*Assumptions!$C$9*(1+Assumptions!$C$12)^4</f>
        <v>811.1025011</v>
      </c>
      <c r="P748" s="139">
        <f>Assumptions!$C$6*Assumptions!$C$7*(1+$G748-0.05*(1-$K748))^5+Assumptions!$C$6*Assumptions!$C$8*(1+Assumptions!$C$11)^5+Assumptions!$C$16*$K748+Assumptions!$C$6*Assumptions!$C$9*(1+Assumptions!$C$12)^5</f>
        <v>836.0572211</v>
      </c>
      <c r="Q748" s="139">
        <f>($L748*(1-(Assumptions!$C$25+0.06*(1-1))-Assumptions!$C$27)-Assumptions!$C$28)-MAX(0,($L748*(1-(Assumptions!$C$25+0.06*(1-1))-Assumptions!$C$27)-Assumptions!$C$28)*Assumptions!$C$31)+Assumptions!$C$28-Assumptions!$C$29-$L748*Assumptions!$C$30</f>
        <v>91.93036568</v>
      </c>
      <c r="R748" s="139">
        <f>($M748*(1-(Assumptions!$C$25+0.06*(1-$H748))-Assumptions!$C$27)-Assumptions!$C$28)-MAX(0,($M748*(1-(Assumptions!$C$25+0.06*(1-$H748))-Assumptions!$C$27)-Assumptions!$C$28)*Assumptions!$C$31)+Assumptions!$C$28-Assumptions!$C$29-$M748*Assumptions!$C$30</f>
        <v>33.99690171</v>
      </c>
      <c r="S748" s="139">
        <f>($N748*(1-(Assumptions!$C$25+0.06*(1-$I748))-Assumptions!$C$27)-Assumptions!$C$28)-MAX(0,($N748*(1-(Assumptions!$C$25+0.06*(1-$I748))-Assumptions!$C$27)-Assumptions!$C$28)*Assumptions!$C$31)+Assumptions!$C$28-Assumptions!$C$29-$N748*Assumptions!$C$30</f>
        <v>35.14374574</v>
      </c>
      <c r="T748" s="139">
        <f>($O748*(1-(Assumptions!$C$25+0.06*(1-$J748))-Assumptions!$C$27)-Assumptions!$C$28)-MAX(0,($O748*(1-(Assumptions!$C$25+0.06*(1-$J748))-Assumptions!$C$27)-Assumptions!$C$28)*Assumptions!$C$31)+Assumptions!$C$28-Assumptions!$C$29-$O748*Assumptions!$C$30</f>
        <v>106.8870377</v>
      </c>
      <c r="U748" s="139">
        <f>($P748*(1-(Assumptions!$C$25+0.06*(1-$K748))-Assumptions!$C$27)-Assumptions!$C$28)-MAX(0,($P748*(1-(Assumptions!$C$25+0.06*(1-$K748))-Assumptions!$C$27)-Assumptions!$C$28)*Assumptions!$C$31)+Assumptions!$C$28-Assumptions!$C$29-$P748*Assumptions!$C$30</f>
        <v>112.2523025</v>
      </c>
      <c r="V748" s="143">
        <f>(($Q748/(1+$D748)^1+$R748/(1+$D748)^2+$S748/(1+$D748)^3+$T748/(1+$D748)^4+$U748/(1+$D748)^5+$U748*(1+$E748)/($D748-$E748)/(1+$D748)^5)-Assumptions!$C$37)/Assumptions!$C$40/Assumptions!$C$38</f>
        <v>4.565625532</v>
      </c>
    </row>
    <row r="749" ht="12.0" customHeight="1">
      <c r="B749" s="139">
        <v>697.0</v>
      </c>
      <c r="C749" s="140">
        <f t="shared" si="6"/>
        <v>0.7559902125</v>
      </c>
      <c r="D749" s="141">
        <f t="shared" si="7"/>
        <v>0.1033000218</v>
      </c>
      <c r="E749" s="141">
        <f t="shared" si="8"/>
        <v>0.01959005194</v>
      </c>
      <c r="F749" s="140">
        <f t="shared" si="9"/>
        <v>0.06559624065</v>
      </c>
      <c r="G749" s="141">
        <f t="shared" si="10"/>
        <v>0.0408661508</v>
      </c>
      <c r="H749" s="142">
        <f t="shared" si="11"/>
        <v>0</v>
      </c>
      <c r="I749" s="142">
        <f t="shared" si="12"/>
        <v>1</v>
      </c>
      <c r="J749" s="142">
        <f t="shared" si="13"/>
        <v>0</v>
      </c>
      <c r="K749" s="142">
        <f t="shared" si="14"/>
        <v>1</v>
      </c>
      <c r="L749" s="139">
        <f>Assumptions!$C$6*Assumptions!$C$7*(1+$G749-0.05*(1-1))^1+Assumptions!$C$6*Assumptions!$C$8*(1+Assumptions!$C$11)^1+Assumptions!$C$16*1+Assumptions!$C$6*Assumptions!$C$9*(1+Assumptions!$C$12)^1</f>
        <v>740.2235464</v>
      </c>
      <c r="M749" s="139">
        <f>Assumptions!$C$6*Assumptions!$C$7*(1+$G749-0.05*(1-$H749))^2+Assumptions!$C$6*Assumptions!$C$8*(1+Assumptions!$C$11)^2+Assumptions!$C$16*$H749+Assumptions!$C$6*Assumptions!$C$9*(1+Assumptions!$C$12)^2</f>
        <v>666.9445343</v>
      </c>
      <c r="N749" s="139">
        <f>Assumptions!$C$6*Assumptions!$C$7*(1+$G749-0.05*(1-$I749))^3+Assumptions!$C$6*Assumptions!$C$8*(1+Assumptions!$C$11)^3+Assumptions!$C$16*$I749+Assumptions!$C$6*Assumptions!$C$9*(1+Assumptions!$C$12)^3</f>
        <v>782.7706873</v>
      </c>
      <c r="O749" s="139">
        <f>Assumptions!$C$6*Assumptions!$C$7*(1+$G749-0.05*(1-$J749))^4+Assumptions!$C$6*Assumptions!$C$8*(1+Assumptions!$C$11)^4+Assumptions!$C$16*$J749+Assumptions!$C$6*Assumptions!$C$9*(1+Assumptions!$C$12)^4</f>
        <v>674.5282119</v>
      </c>
      <c r="P749" s="139">
        <f>Assumptions!$C$6*Assumptions!$C$7*(1+$G749-0.05*(1-$K749))^5+Assumptions!$C$6*Assumptions!$C$8*(1+Assumptions!$C$11)^5+Assumptions!$C$16*$K749+Assumptions!$C$6*Assumptions!$C$9*(1+Assumptions!$C$12)^5</f>
        <v>828.2932816</v>
      </c>
      <c r="Q749" s="139">
        <f>($L749*(1-(Assumptions!$C$25+0.06*(1-1))-Assumptions!$C$27)-Assumptions!$C$28)-MAX(0,($L749*(1-(Assumptions!$C$25+0.06*(1-1))-Assumptions!$C$27)-Assumptions!$C$28)*Assumptions!$C$31)+Assumptions!$C$28-Assumptions!$C$29-$L749*Assumptions!$C$30</f>
        <v>91.64806247</v>
      </c>
      <c r="R749" s="139">
        <f>($M749*(1-(Assumptions!$C$25+0.06*(1-$H749))-Assumptions!$C$27)-Assumptions!$C$28)-MAX(0,($M749*(1-(Assumptions!$C$25+0.06*(1-$H749))-Assumptions!$C$27)-Assumptions!$C$28)*Assumptions!$C$31)+Assumptions!$C$28-Assumptions!$C$29-$M749*Assumptions!$C$30</f>
        <v>33.39724289</v>
      </c>
      <c r="S749" s="139">
        <f>($N749*(1-(Assumptions!$C$25+0.06*(1-$I749))-Assumptions!$C$27)-Assumptions!$C$28)-MAX(0,($N749*(1-(Assumptions!$C$25+0.06*(1-$I749))-Assumptions!$C$27)-Assumptions!$C$28)*Assumptions!$C$31)+Assumptions!$C$28-Assumptions!$C$29-$N749*Assumptions!$C$30</f>
        <v>100.7956978</v>
      </c>
      <c r="T749" s="139">
        <f>($O749*(1-(Assumptions!$C$25+0.06*(1-$J749))-Assumptions!$C$27)-Assumptions!$C$28)-MAX(0,($O749*(1-(Assumptions!$C$25+0.06*(1-$J749))-Assumptions!$C$27)-Assumptions!$C$28)*Assumptions!$C$31)+Assumptions!$C$28-Assumptions!$C$29-$O749*Assumptions!$C$30</f>
        <v>35.14148874</v>
      </c>
      <c r="U749" s="139">
        <f>($P749*(1-(Assumptions!$C$25+0.06*(1-$K749))-Assumptions!$C$27)-Assumptions!$C$28)-MAX(0,($P749*(1-(Assumptions!$C$25+0.06*(1-$K749))-Assumptions!$C$27)-Assumptions!$C$28)*Assumptions!$C$31)+Assumptions!$C$28-Assumptions!$C$29-$P749*Assumptions!$C$30</f>
        <v>110.5830556</v>
      </c>
      <c r="V749" s="143">
        <f>(($Q749/(1+$D749)^1+$R749/(1+$D749)^2+$S749/(1+$D749)^3+$T749/(1+$D749)^4+$U749/(1+$D749)^5+$U749*(1+$E749)/($D749-$E749)/(1+$D749)^5)-Assumptions!$C$37)/Assumptions!$C$40/Assumptions!$C$38</f>
        <v>3.192627769</v>
      </c>
    </row>
    <row r="750" ht="12.0" customHeight="1">
      <c r="B750" s="139">
        <v>698.0</v>
      </c>
      <c r="C750" s="140">
        <f t="shared" si="6"/>
        <v>0.1689332413</v>
      </c>
      <c r="D750" s="141">
        <f t="shared" si="7"/>
        <v>0.09256758672</v>
      </c>
      <c r="E750" s="141">
        <f t="shared" si="8"/>
        <v>0.02410832391</v>
      </c>
      <c r="F750" s="140">
        <f t="shared" si="9"/>
        <v>0.3375735255</v>
      </c>
      <c r="G750" s="141">
        <f t="shared" si="10"/>
        <v>0.05465019971</v>
      </c>
      <c r="H750" s="142">
        <f t="shared" si="11"/>
        <v>0</v>
      </c>
      <c r="I750" s="142">
        <f t="shared" si="12"/>
        <v>0</v>
      </c>
      <c r="J750" s="142">
        <f t="shared" si="13"/>
        <v>0</v>
      </c>
      <c r="K750" s="142">
        <f t="shared" si="14"/>
        <v>0</v>
      </c>
      <c r="L750" s="139">
        <f>Assumptions!$C$6*Assumptions!$C$7*(1+$G750-0.05*(1-1))^1+Assumptions!$C$6*Assumptions!$C$8*(1+Assumptions!$C$11)^1+Assumptions!$C$16*1+Assumptions!$C$6*Assumptions!$C$9*(1+Assumptions!$C$12)^1</f>
        <v>744.8632572</v>
      </c>
      <c r="M750" s="139">
        <f>Assumptions!$C$6*Assumptions!$C$7*(1+$G750-0.05*(1-$H750))^2+Assumptions!$C$6*Assumptions!$C$8*(1+Assumptions!$C$11)^2+Assumptions!$C$16*$H750+Assumptions!$C$6*Assumptions!$C$9*(1+Assumptions!$C$12)^2</f>
        <v>676.2031532</v>
      </c>
      <c r="N750" s="139">
        <f>Assumptions!$C$6*Assumptions!$C$7*(1+$G750-0.05*(1-$I750))^3+Assumptions!$C$6*Assumptions!$C$8*(1+Assumptions!$C$11)^3+Assumptions!$C$16*$I750+Assumptions!$C$6*Assumptions!$C$9*(1+Assumptions!$C$12)^3</f>
        <v>684.512309</v>
      </c>
      <c r="O750" s="139">
        <f>Assumptions!$C$6*Assumptions!$C$7*(1+$G750-0.05*(1-$J750))^4+Assumptions!$C$6*Assumptions!$C$8*(1+Assumptions!$C$11)^4+Assumptions!$C$16*$J750+Assumptions!$C$6*Assumptions!$C$9*(1+Assumptions!$C$12)^4</f>
        <v>692.9633975</v>
      </c>
      <c r="P750" s="139">
        <f>Assumptions!$C$6*Assumptions!$C$7*(1+$G750-0.05*(1-$K750))^5+Assumptions!$C$6*Assumptions!$C$8*(1+Assumptions!$C$11)^5+Assumptions!$C$16*$K750+Assumptions!$C$6*Assumptions!$C$9*(1+Assumptions!$C$12)^5</f>
        <v>701.5591447</v>
      </c>
      <c r="Q750" s="139">
        <f>($L750*(1-(Assumptions!$C$25+0.06*(1-1))-Assumptions!$C$27)-Assumptions!$C$28)-MAX(0,($L750*(1-(Assumptions!$C$25+0.06*(1-1))-Assumptions!$C$27)-Assumptions!$C$28)*Assumptions!$C$31)+Assumptions!$C$28-Assumptions!$C$29-$L750*Assumptions!$C$30</f>
        <v>92.6456003</v>
      </c>
      <c r="R750" s="139">
        <f>($M750*(1-(Assumptions!$C$25+0.06*(1-$H750))-Assumptions!$C$27)-Assumptions!$C$28)-MAX(0,($M750*(1-(Assumptions!$C$25+0.06*(1-$H750))-Assumptions!$C$27)-Assumptions!$C$28)*Assumptions!$C$31)+Assumptions!$C$28-Assumptions!$C$29-$M750*Assumptions!$C$30</f>
        <v>35.52672524</v>
      </c>
      <c r="S750" s="139">
        <f>($N750*(1-(Assumptions!$C$25+0.06*(1-$I750))-Assumptions!$C$27)-Assumptions!$C$28)-MAX(0,($N750*(1-(Assumptions!$C$25+0.06*(1-$I750))-Assumptions!$C$27)-Assumptions!$C$28)*Assumptions!$C$31)+Assumptions!$C$28-Assumptions!$C$29-$N750*Assumptions!$C$30</f>
        <v>37.43783107</v>
      </c>
      <c r="T750" s="139">
        <f>($O750*(1-(Assumptions!$C$25+0.06*(1-$J750))-Assumptions!$C$27)-Assumptions!$C$28)-MAX(0,($O750*(1-(Assumptions!$C$25+0.06*(1-$J750))-Assumptions!$C$27)-Assumptions!$C$28)*Assumptions!$C$31)+Assumptions!$C$28-Assumptions!$C$29-$O750*Assumptions!$C$30</f>
        <v>39.38158143</v>
      </c>
      <c r="U750" s="139">
        <f>($P750*(1-(Assumptions!$C$25+0.06*(1-$K750))-Assumptions!$C$27)-Assumptions!$C$28)-MAX(0,($P750*(1-(Assumptions!$C$25+0.06*(1-$K750))-Assumptions!$C$27)-Assumptions!$C$28)*Assumptions!$C$31)+Assumptions!$C$28-Assumptions!$C$29-$P750*Assumptions!$C$30</f>
        <v>41.35860329</v>
      </c>
      <c r="V750" s="143">
        <f>(($Q750/(1+$D750)^1+$R750/(1+$D750)^2+$S750/(1+$D750)^3+$T750/(1+$D750)^4+$U750/(1+$D750)^5+$U750*(1+$E750)/($D750-$E750)/(1+$D750)^5)-Assumptions!$C$37)/Assumptions!$C$40/Assumptions!$C$38</f>
        <v>-0.7556092218</v>
      </c>
    </row>
    <row r="751" ht="12.0" customHeight="1">
      <c r="B751" s="139">
        <v>699.0</v>
      </c>
      <c r="C751" s="140">
        <f t="shared" si="6"/>
        <v>0.2877112121</v>
      </c>
      <c r="D751" s="141">
        <f t="shared" si="7"/>
        <v>0.09487593545</v>
      </c>
      <c r="E751" s="141">
        <f t="shared" si="8"/>
        <v>0.01484054874</v>
      </c>
      <c r="F751" s="140">
        <f t="shared" si="9"/>
        <v>0.9401473653</v>
      </c>
      <c r="G751" s="141">
        <f t="shared" si="10"/>
        <v>0.07962046521</v>
      </c>
      <c r="H751" s="142">
        <f t="shared" si="11"/>
        <v>1</v>
      </c>
      <c r="I751" s="142">
        <f t="shared" si="12"/>
        <v>1</v>
      </c>
      <c r="J751" s="142">
        <f t="shared" si="13"/>
        <v>0</v>
      </c>
      <c r="K751" s="142">
        <f t="shared" si="14"/>
        <v>1</v>
      </c>
      <c r="L751" s="139">
        <f>Assumptions!$C$6*Assumptions!$C$7*(1+$G751-0.05*(1-1))^1+Assumptions!$C$6*Assumptions!$C$8*(1+Assumptions!$C$11)^1+Assumptions!$C$16*1+Assumptions!$C$6*Assumptions!$C$9*(1+Assumptions!$C$12)^1</f>
        <v>753.2682486</v>
      </c>
      <c r="M751" s="139">
        <f>Assumptions!$C$6*Assumptions!$C$7*(1+$G751-0.05*(1-$H751))^2+Assumptions!$C$6*Assumptions!$C$8*(1+Assumptions!$C$11)^2+Assumptions!$C$16*$H751+Assumptions!$C$6*Assumptions!$C$9*(1+Assumptions!$C$12)^2</f>
        <v>788.7997054</v>
      </c>
      <c r="N751" s="139">
        <f>Assumptions!$C$6*Assumptions!$C$7*(1+$G751-0.05*(1-$I751))^3+Assumptions!$C$6*Assumptions!$C$8*(1+Assumptions!$C$11)^3+Assumptions!$C$16*$I751+Assumptions!$C$6*Assumptions!$C$9*(1+Assumptions!$C$12)^3</f>
        <v>826.7668557</v>
      </c>
      <c r="O751" s="139">
        <f>Assumptions!$C$6*Assumptions!$C$7*(1+$G751-0.05*(1-$J751))^4+Assumptions!$C$6*Assumptions!$C$8*(1+Assumptions!$C$11)^4+Assumptions!$C$16*$J751+Assumptions!$C$6*Assumptions!$C$9*(1+Assumptions!$C$12)^4</f>
        <v>728.3467449</v>
      </c>
      <c r="P751" s="139">
        <f>Assumptions!$C$6*Assumptions!$C$7*(1+$G751-0.05*(1-$K751))^5+Assumptions!$C$6*Assumptions!$C$8*(1+Assumptions!$C$11)^5+Assumptions!$C$16*$K751+Assumptions!$C$6*Assumptions!$C$9*(1+Assumptions!$C$12)^5</f>
        <v>910.7671511</v>
      </c>
      <c r="Q751" s="139">
        <f>($L751*(1-(Assumptions!$C$25+0.06*(1-1))-Assumptions!$C$27)-Assumptions!$C$28)-MAX(0,($L751*(1-(Assumptions!$C$25+0.06*(1-1))-Assumptions!$C$27)-Assumptions!$C$28)*Assumptions!$C$31)+Assumptions!$C$28-Assumptions!$C$29-$L751*Assumptions!$C$30</f>
        <v>94.45267345</v>
      </c>
      <c r="R751" s="139">
        <f>($M751*(1-(Assumptions!$C$25+0.06*(1-$H751))-Assumptions!$C$27)-Assumptions!$C$28)-MAX(0,($M751*(1-(Assumptions!$C$25+0.06*(1-$H751))-Assumptions!$C$27)-Assumptions!$C$28)*Assumptions!$C$31)+Assumptions!$C$28-Assumptions!$C$29-$M751*Assumptions!$C$30</f>
        <v>102.0919367</v>
      </c>
      <c r="S751" s="139">
        <f>($N751*(1-(Assumptions!$C$25+0.06*(1-$I751))-Assumptions!$C$27)-Assumptions!$C$28)-MAX(0,($N751*(1-(Assumptions!$C$25+0.06*(1-$I751))-Assumptions!$C$27)-Assumptions!$C$28)*Assumptions!$C$31)+Assumptions!$C$28-Assumptions!$C$29-$N751*Assumptions!$C$30</f>
        <v>110.254874</v>
      </c>
      <c r="T751" s="139">
        <f>($O751*(1-(Assumptions!$C$25+0.06*(1-$J751))-Assumptions!$C$27)-Assumptions!$C$28)-MAX(0,($O751*(1-(Assumptions!$C$25+0.06*(1-$J751))-Assumptions!$C$27)-Assumptions!$C$28)*Assumptions!$C$31)+Assumptions!$C$28-Assumptions!$C$29-$O751*Assumptions!$C$30</f>
        <v>47.51975132</v>
      </c>
      <c r="U751" s="139">
        <f>($P751*(1-(Assumptions!$C$25+0.06*(1-$K751))-Assumptions!$C$27)-Assumptions!$C$28)-MAX(0,($P751*(1-(Assumptions!$C$25+0.06*(1-$K751))-Assumptions!$C$27)-Assumptions!$C$28)*Assumptions!$C$31)+Assumptions!$C$28-Assumptions!$C$29-$P751*Assumptions!$C$30</f>
        <v>128.3149375</v>
      </c>
      <c r="V751" s="143">
        <f>(($Q751/(1+$D751)^1+$R751/(1+$D751)^2+$S751/(1+$D751)^3+$T751/(1+$D751)^4+$U751/(1+$D751)^5+$U751*(1+$E751)/($D751-$E751)/(1+$D751)^5)-Assumptions!$C$37)/Assumptions!$C$40/Assumptions!$C$38</f>
        <v>5.560133697</v>
      </c>
    </row>
    <row r="752" ht="12.0" customHeight="1">
      <c r="B752" s="139">
        <v>700.0</v>
      </c>
      <c r="C752" s="140">
        <f t="shared" si="6"/>
        <v>0.2461283055</v>
      </c>
      <c r="D752" s="141">
        <f t="shared" si="7"/>
        <v>0.09413441271</v>
      </c>
      <c r="E752" s="141">
        <f t="shared" si="8"/>
        <v>0.01587647572</v>
      </c>
      <c r="F752" s="140">
        <f t="shared" si="9"/>
        <v>0.9705465526</v>
      </c>
      <c r="G752" s="141">
        <f t="shared" si="10"/>
        <v>0.08271877721</v>
      </c>
      <c r="H752" s="142">
        <f t="shared" si="11"/>
        <v>0</v>
      </c>
      <c r="I752" s="142">
        <f t="shared" si="12"/>
        <v>1</v>
      </c>
      <c r="J752" s="142">
        <f t="shared" si="13"/>
        <v>1</v>
      </c>
      <c r="K752" s="142">
        <f t="shared" si="14"/>
        <v>0</v>
      </c>
      <c r="L752" s="139">
        <f>Assumptions!$C$6*Assumptions!$C$7*(1+$G752-0.05*(1-1))^1+Assumptions!$C$6*Assumptions!$C$8*(1+Assumptions!$C$11)^1+Assumptions!$C$16*1+Assumptions!$C$6*Assumptions!$C$9*(1+Assumptions!$C$12)^1</f>
        <v>754.3111404</v>
      </c>
      <c r="M752" s="139">
        <f>Assumptions!$C$6*Assumptions!$C$7*(1+$G752-0.05*(1-$H752))^2+Assumptions!$C$6*Assumptions!$C$8*(1+Assumptions!$C$11)^2+Assumptions!$C$16*$H752+Assumptions!$C$6*Assumptions!$C$9*(1+Assumptions!$C$12)^2</f>
        <v>695.4519773</v>
      </c>
      <c r="N752" s="139">
        <f>Assumptions!$C$6*Assumptions!$C$7*(1+$G752-0.05*(1-$I752))^3+Assumptions!$C$6*Assumptions!$C$8*(1+Assumptions!$C$11)^3+Assumptions!$C$16*$I752+Assumptions!$C$6*Assumptions!$C$9*(1+Assumptions!$C$12)^3</f>
        <v>830.4240538</v>
      </c>
      <c r="O752" s="139">
        <f>Assumptions!$C$6*Assumptions!$C$7*(1+$G752-0.05*(1-$J752))^4+Assumptions!$C$6*Assumptions!$C$8*(1+Assumptions!$C$11)^4+Assumptions!$C$16*$J752+Assumptions!$C$6*Assumptions!$C$9*(1+Assumptions!$C$12)^4</f>
        <v>872.6278396</v>
      </c>
      <c r="P752" s="139">
        <f>Assumptions!$C$6*Assumptions!$C$7*(1+$G752-0.05*(1-$K752))^5+Assumptions!$C$6*Assumptions!$C$8*(1+Assumptions!$C$11)^5+Assumptions!$C$16*$K752+Assumptions!$C$6*Assumptions!$C$9*(1+Assumptions!$C$12)^5</f>
        <v>752.4486377</v>
      </c>
      <c r="Q752" s="139">
        <f>($L752*(1-(Assumptions!$C$25+0.06*(1-1))-Assumptions!$C$27)-Assumptions!$C$28)-MAX(0,($L752*(1-(Assumptions!$C$25+0.06*(1-1))-Assumptions!$C$27)-Assumptions!$C$28)*Assumptions!$C$31)+Assumptions!$C$28-Assumptions!$C$29-$L752*Assumptions!$C$30</f>
        <v>94.67689519</v>
      </c>
      <c r="R752" s="139">
        <f>($M752*(1-(Assumptions!$C$25+0.06*(1-$H752))-Assumptions!$C$27)-Assumptions!$C$28)-MAX(0,($M752*(1-(Assumptions!$C$25+0.06*(1-$H752))-Assumptions!$C$27)-Assumptions!$C$28)*Assumptions!$C$31)+Assumptions!$C$28-Assumptions!$C$29-$M752*Assumptions!$C$30</f>
        <v>39.95395478</v>
      </c>
      <c r="S752" s="139">
        <f>($N752*(1-(Assumptions!$C$25+0.06*(1-$I752))-Assumptions!$C$27)-Assumptions!$C$28)-MAX(0,($N752*(1-(Assumptions!$C$25+0.06*(1-$I752))-Assumptions!$C$27)-Assumptions!$C$28)*Assumptions!$C$31)+Assumptions!$C$28-Assumptions!$C$29-$N752*Assumptions!$C$30</f>
        <v>111.0411716</v>
      </c>
      <c r="T752" s="139">
        <f>($O752*(1-(Assumptions!$C$25+0.06*(1-$J752))-Assumptions!$C$27)-Assumptions!$C$28)-MAX(0,($O752*(1-(Assumptions!$C$25+0.06*(1-$J752))-Assumptions!$C$27)-Assumptions!$C$28)*Assumptions!$C$31)+Assumptions!$C$28-Assumptions!$C$29-$O752*Assumptions!$C$30</f>
        <v>120.1149855</v>
      </c>
      <c r="U752" s="139">
        <f>($P752*(1-(Assumptions!$C$25+0.06*(1-$K752))-Assumptions!$C$27)-Assumptions!$C$28)-MAX(0,($P752*(1-(Assumptions!$C$25+0.06*(1-$K752))-Assumptions!$C$27)-Assumptions!$C$28)*Assumptions!$C$31)+Assumptions!$C$28-Assumptions!$C$29-$P752*Assumptions!$C$30</f>
        <v>53.06318668</v>
      </c>
      <c r="V752" s="143">
        <f>(($Q752/(1+$D752)^1+$R752/(1+$D752)^2+$S752/(1+$D752)^3+$T752/(1+$D752)^4+$U752/(1+$D752)^5+$U752*(1+$E752)/($D752-$E752)/(1+$D752)^5)-Assumptions!$C$37)/Assumptions!$C$40/Assumptions!$C$38</f>
        <v>0.5457110167</v>
      </c>
    </row>
    <row r="753" ht="12.0" customHeight="1">
      <c r="B753" s="139">
        <v>701.0</v>
      </c>
      <c r="C753" s="140">
        <f t="shared" si="6"/>
        <v>0.08643875564</v>
      </c>
      <c r="D753" s="141">
        <f t="shared" si="7"/>
        <v>0.09041320036</v>
      </c>
      <c r="E753" s="141">
        <f t="shared" si="8"/>
        <v>0.02975248432</v>
      </c>
      <c r="F753" s="140">
        <f t="shared" si="9"/>
        <v>0.3896123484</v>
      </c>
      <c r="G753" s="141">
        <f t="shared" si="10"/>
        <v>0.05648211146</v>
      </c>
      <c r="H753" s="142">
        <f t="shared" si="11"/>
        <v>1</v>
      </c>
      <c r="I753" s="142">
        <f t="shared" si="12"/>
        <v>0</v>
      </c>
      <c r="J753" s="142">
        <f t="shared" si="13"/>
        <v>1</v>
      </c>
      <c r="K753" s="142">
        <f t="shared" si="14"/>
        <v>1</v>
      </c>
      <c r="L753" s="139">
        <f>Assumptions!$C$6*Assumptions!$C$7*(1+$G753-0.05*(1-1))^1+Assumptions!$C$6*Assumptions!$C$8*(1+Assumptions!$C$11)^1+Assumptions!$C$16*1+Assumptions!$C$6*Assumptions!$C$9*(1+Assumptions!$C$12)^1</f>
        <v>745.4798787</v>
      </c>
      <c r="M753" s="139">
        <f>Assumptions!$C$6*Assumptions!$C$7*(1+$G753-0.05*(1-$H753))^2+Assumptions!$C$6*Assumptions!$C$8*(1+Assumptions!$C$11)^2+Assumptions!$C$16*$H753+Assumptions!$C$6*Assumptions!$C$9*(1+Assumptions!$C$12)^2</f>
        <v>772.1629485</v>
      </c>
      <c r="N753" s="139">
        <f>Assumptions!$C$6*Assumptions!$C$7*(1+$G753-0.05*(1-$I753))^3+Assumptions!$C$6*Assumptions!$C$8*(1+Assumptions!$C$11)^3+Assumptions!$C$16*$I753+Assumptions!$C$6*Assumptions!$C$9*(1+Assumptions!$C$12)^3</f>
        <v>686.3828246</v>
      </c>
      <c r="O753" s="139">
        <f>Assumptions!$C$6*Assumptions!$C$7*(1+$G753-0.05*(1-$J753))^4+Assumptions!$C$6*Assumptions!$C$8*(1+Assumptions!$C$11)^4+Assumptions!$C$16*$J753+Assumptions!$C$6*Assumptions!$C$9*(1+Assumptions!$C$12)^4</f>
        <v>829.3950965</v>
      </c>
      <c r="P753" s="139">
        <f>Assumptions!$C$6*Assumptions!$C$7*(1+$G753-0.05*(1-$K753))^5+Assumptions!$C$6*Assumptions!$C$8*(1+Assumptions!$C$11)^5+Assumptions!$C$16*$K753+Assumptions!$C$6*Assumptions!$C$9*(1+Assumptions!$C$12)^5</f>
        <v>860.0812806</v>
      </c>
      <c r="Q753" s="139">
        <f>($L753*(1-(Assumptions!$C$25+0.06*(1-1))-Assumptions!$C$27)-Assumptions!$C$28)-MAX(0,($L753*(1-(Assumptions!$C$25+0.06*(1-1))-Assumptions!$C$27)-Assumptions!$C$28)*Assumptions!$C$31)+Assumptions!$C$28-Assumptions!$C$29-$L753*Assumptions!$C$30</f>
        <v>92.77817392</v>
      </c>
      <c r="R753" s="139">
        <f>($M753*(1-(Assumptions!$C$25+0.06*(1-$H753))-Assumptions!$C$27)-Assumptions!$C$28)-MAX(0,($M753*(1-(Assumptions!$C$25+0.06*(1-$H753))-Assumptions!$C$27)-Assumptions!$C$28)*Assumptions!$C$31)+Assumptions!$C$28-Assumptions!$C$29-$M753*Assumptions!$C$30</f>
        <v>98.51503392</v>
      </c>
      <c r="S753" s="139">
        <f>($N753*(1-(Assumptions!$C$25+0.06*(1-$I753))-Assumptions!$C$27)-Assumptions!$C$28)-MAX(0,($N753*(1-(Assumptions!$C$25+0.06*(1-$I753))-Assumptions!$C$27)-Assumptions!$C$28)*Assumptions!$C$31)+Assumptions!$C$28-Assumptions!$C$29-$N753*Assumptions!$C$30</f>
        <v>37.86804965</v>
      </c>
      <c r="T753" s="139">
        <f>($O753*(1-(Assumptions!$C$25+0.06*(1-$J753))-Assumptions!$C$27)-Assumptions!$C$28)-MAX(0,($O753*(1-(Assumptions!$C$25+0.06*(1-$J753))-Assumptions!$C$27)-Assumptions!$C$28)*Assumptions!$C$31)+Assumptions!$C$28-Assumptions!$C$29-$O753*Assumptions!$C$30</f>
        <v>110.8199457</v>
      </c>
      <c r="U753" s="139">
        <f>($P753*(1-(Assumptions!$C$25+0.06*(1-$K753))-Assumptions!$C$27)-Assumptions!$C$28)-MAX(0,($P753*(1-(Assumptions!$C$25+0.06*(1-$K753))-Assumptions!$C$27)-Assumptions!$C$28)*Assumptions!$C$31)+Assumptions!$C$28-Assumptions!$C$29-$P753*Assumptions!$C$30</f>
        <v>117.4174753</v>
      </c>
      <c r="V753" s="143">
        <f>(($Q753/(1+$D753)^1+$R753/(1+$D753)^2+$S753/(1+$D753)^3+$T753/(1+$D753)^4+$U753/(1+$D753)^5+$U753*(1+$E753)/($D753-$E753)/(1+$D753)^5)-Assumptions!$C$37)/Assumptions!$C$40/Assumptions!$C$38</f>
        <v>7.437318694</v>
      </c>
    </row>
    <row r="754" ht="12.0" customHeight="1">
      <c r="B754" s="139">
        <v>702.0</v>
      </c>
      <c r="C754" s="140">
        <f t="shared" si="6"/>
        <v>0.7976947237</v>
      </c>
      <c r="D754" s="141">
        <f t="shared" si="7"/>
        <v>0.1043466785</v>
      </c>
      <c r="E754" s="141">
        <f t="shared" si="8"/>
        <v>0.01640517946</v>
      </c>
      <c r="F754" s="140">
        <f t="shared" si="9"/>
        <v>0.8149107612</v>
      </c>
      <c r="G754" s="141">
        <f t="shared" si="10"/>
        <v>0.07174731171</v>
      </c>
      <c r="H754" s="142">
        <f t="shared" si="11"/>
        <v>0</v>
      </c>
      <c r="I754" s="142">
        <f t="shared" si="12"/>
        <v>0</v>
      </c>
      <c r="J754" s="142">
        <f t="shared" si="13"/>
        <v>1</v>
      </c>
      <c r="K754" s="142">
        <f t="shared" si="14"/>
        <v>1</v>
      </c>
      <c r="L754" s="139">
        <f>Assumptions!$C$6*Assumptions!$C$7*(1+$G754-0.05*(1-1))^1+Assumptions!$C$6*Assumptions!$C$8*(1+Assumptions!$C$11)^1+Assumptions!$C$16*1+Assumptions!$C$6*Assumptions!$C$9*(1+Assumptions!$C$12)^1</f>
        <v>750.6181451</v>
      </c>
      <c r="M754" s="139">
        <f>Assumptions!$C$6*Assumptions!$C$7*(1+$G754-0.05*(1-$H754))^2+Assumptions!$C$6*Assumptions!$C$8*(1+Assumptions!$C$11)^2+Assumptions!$C$16*$H754+Assumptions!$C$6*Assumptions!$C$9*(1+Assumptions!$C$12)^2</f>
        <v>687.8648437</v>
      </c>
      <c r="N754" s="139">
        <f>Assumptions!$C$6*Assumptions!$C$7*(1+$G754-0.05*(1-$I754))^3+Assumptions!$C$6*Assumptions!$C$8*(1+Assumptions!$C$11)^3+Assumptions!$C$16*$I754+Assumptions!$C$6*Assumptions!$C$9*(1+Assumptions!$C$12)^3</f>
        <v>702.236145</v>
      </c>
      <c r="O754" s="139">
        <f>Assumptions!$C$6*Assumptions!$C$7*(1+$G754-0.05*(1-$J754))^4+Assumptions!$C$6*Assumptions!$C$8*(1+Assumptions!$C$11)^4+Assumptions!$C$16*$J754+Assumptions!$C$6*Assumptions!$C$9*(1+Assumptions!$C$12)^4</f>
        <v>854.1615769</v>
      </c>
      <c r="P754" s="139">
        <f>Assumptions!$C$6*Assumptions!$C$7*(1+$G754-0.05*(1-$K754))^5+Assumptions!$C$6*Assumptions!$C$8*(1+Assumptions!$C$11)^5+Assumptions!$C$16*$K754+Assumptions!$C$6*Assumptions!$C$9*(1+Assumptions!$C$12)^5</f>
        <v>893.0259457</v>
      </c>
      <c r="Q754" s="139">
        <f>($L754*(1-(Assumptions!$C$25+0.06*(1-1))-Assumptions!$C$27)-Assumptions!$C$28)-MAX(0,($L754*(1-(Assumptions!$C$25+0.06*(1-1))-Assumptions!$C$27)-Assumptions!$C$28)*Assumptions!$C$31)+Assumptions!$C$28-Assumptions!$C$29-$L754*Assumptions!$C$30</f>
        <v>93.8829012</v>
      </c>
      <c r="R754" s="139">
        <f>($M754*(1-(Assumptions!$C$25+0.06*(1-$H754))-Assumptions!$C$27)-Assumptions!$C$28)-MAX(0,($M754*(1-(Assumptions!$C$25+0.06*(1-$H754))-Assumptions!$C$27)-Assumptions!$C$28)*Assumptions!$C$31)+Assumptions!$C$28-Assumptions!$C$29-$M754*Assumptions!$C$30</f>
        <v>38.20891406</v>
      </c>
      <c r="S754" s="139">
        <f>($N754*(1-(Assumptions!$C$25+0.06*(1-$I754))-Assumptions!$C$27)-Assumptions!$C$28)-MAX(0,($N754*(1-(Assumptions!$C$25+0.06*(1-$I754))-Assumptions!$C$27)-Assumptions!$C$28)*Assumptions!$C$31)+Assumptions!$C$28-Assumptions!$C$29-$N754*Assumptions!$C$30</f>
        <v>41.51431336</v>
      </c>
      <c r="T754" s="139">
        <f>($O754*(1-(Assumptions!$C$25+0.06*(1-$J754))-Assumptions!$C$27)-Assumptions!$C$28)-MAX(0,($O754*(1-(Assumptions!$C$25+0.06*(1-$J754))-Assumptions!$C$27)-Assumptions!$C$28)*Assumptions!$C$31)+Assumptions!$C$28-Assumptions!$C$29-$O754*Assumptions!$C$30</f>
        <v>116.144739</v>
      </c>
      <c r="U754" s="139">
        <f>($P754*(1-(Assumptions!$C$25+0.06*(1-$K754))-Assumptions!$C$27)-Assumptions!$C$28)-MAX(0,($P754*(1-(Assumptions!$C$25+0.06*(1-$K754))-Assumptions!$C$27)-Assumptions!$C$28)*Assumptions!$C$31)+Assumptions!$C$28-Assumptions!$C$29-$P754*Assumptions!$C$30</f>
        <v>124.5005783</v>
      </c>
      <c r="V754" s="143">
        <f>(($Q754/(1+$D754)^1+$R754/(1+$D754)^2+$S754/(1+$D754)^3+$T754/(1+$D754)^4+$U754/(1+$D754)^5+$U754*(1+$E754)/($D754-$E754)/(1+$D754)^5)-Assumptions!$C$37)/Assumptions!$C$40/Assumptions!$C$38</f>
        <v>3.787842261</v>
      </c>
    </row>
    <row r="755" ht="12.0" customHeight="1">
      <c r="B755" s="139">
        <v>703.0</v>
      </c>
      <c r="C755" s="140">
        <f t="shared" si="6"/>
        <v>0.7571134255</v>
      </c>
      <c r="D755" s="141">
        <f t="shared" si="7"/>
        <v>0.1033269812</v>
      </c>
      <c r="E755" s="141">
        <f t="shared" si="8"/>
        <v>0.01712442501</v>
      </c>
      <c r="F755" s="140">
        <f t="shared" si="9"/>
        <v>0.9327735181</v>
      </c>
      <c r="G755" s="141">
        <f t="shared" si="10"/>
        <v>0.07899965148</v>
      </c>
      <c r="H755" s="142">
        <f t="shared" si="11"/>
        <v>1</v>
      </c>
      <c r="I755" s="142">
        <f t="shared" si="12"/>
        <v>0</v>
      </c>
      <c r="J755" s="142">
        <f t="shared" si="13"/>
        <v>0</v>
      </c>
      <c r="K755" s="142">
        <f t="shared" si="14"/>
        <v>1</v>
      </c>
      <c r="L755" s="139">
        <f>Assumptions!$C$6*Assumptions!$C$7*(1+$G755-0.05*(1-1))^1+Assumptions!$C$6*Assumptions!$C$8*(1+Assumptions!$C$11)^1+Assumptions!$C$16*1+Assumptions!$C$6*Assumptions!$C$9*(1+Assumptions!$C$12)^1</f>
        <v>753.0592827</v>
      </c>
      <c r="M755" s="139">
        <f>Assumptions!$C$6*Assumptions!$C$7*(1+$G755-0.05*(1-$H755))^2+Assumptions!$C$6*Assumptions!$C$8*(1+Assumptions!$C$11)^2+Assumptions!$C$16*$H755+Assumptions!$C$6*Assumptions!$C$9*(1+Assumptions!$C$12)^2</f>
        <v>788.3486274</v>
      </c>
      <c r="N755" s="139">
        <f>Assumptions!$C$6*Assumptions!$C$7*(1+$G755-0.05*(1-$I755))^3+Assumptions!$C$6*Assumptions!$C$8*(1+Assumptions!$C$11)^3+Assumptions!$C$16*$I755+Assumptions!$C$6*Assumptions!$C$9*(1+Assumptions!$C$12)^3</f>
        <v>709.9359457</v>
      </c>
      <c r="O755" s="139">
        <f>Assumptions!$C$6*Assumptions!$C$7*(1+$G755-0.05*(1-$J755))^4+Assumptions!$C$6*Assumptions!$C$8*(1+Assumptions!$C$11)^4+Assumptions!$C$16*$J755+Assumptions!$C$6*Assumptions!$C$9*(1+Assumptions!$C$12)^4</f>
        <v>727.4352083</v>
      </c>
      <c r="P755" s="139">
        <f>Assumptions!$C$6*Assumptions!$C$7*(1+$G755-0.05*(1-$K755))^5+Assumptions!$C$6*Assumptions!$C$8*(1+Assumptions!$C$11)^5+Assumptions!$C$16*$K755+Assumptions!$C$6*Assumptions!$C$9*(1+Assumptions!$C$12)^5</f>
        <v>909.3493007</v>
      </c>
      <c r="Q755" s="139">
        <f>($L755*(1-(Assumptions!$C$25+0.06*(1-1))-Assumptions!$C$27)-Assumptions!$C$28)-MAX(0,($L755*(1-(Assumptions!$C$25+0.06*(1-1))-Assumptions!$C$27)-Assumptions!$C$28)*Assumptions!$C$31)+Assumptions!$C$28-Assumptions!$C$29-$L755*Assumptions!$C$30</f>
        <v>94.40774578</v>
      </c>
      <c r="R755" s="139">
        <f>($M755*(1-(Assumptions!$C$25+0.06*(1-$H755))-Assumptions!$C$27)-Assumptions!$C$28)-MAX(0,($M755*(1-(Assumptions!$C$25+0.06*(1-$H755))-Assumptions!$C$27)-Assumptions!$C$28)*Assumptions!$C$31)+Assumptions!$C$28-Assumptions!$C$29-$M755*Assumptions!$C$30</f>
        <v>101.9949549</v>
      </c>
      <c r="S755" s="139">
        <f>($N755*(1-(Assumptions!$C$25+0.06*(1-$I755))-Assumptions!$C$27)-Assumptions!$C$28)-MAX(0,($N755*(1-(Assumptions!$C$25+0.06*(1-$I755))-Assumptions!$C$27)-Assumptions!$C$28)*Assumptions!$C$31)+Assumptions!$C$28-Assumptions!$C$29-$N755*Assumptions!$C$30</f>
        <v>43.28526751</v>
      </c>
      <c r="T755" s="139">
        <f>($O755*(1-(Assumptions!$C$25+0.06*(1-$J755))-Assumptions!$C$27)-Assumptions!$C$28)-MAX(0,($O755*(1-(Assumptions!$C$25+0.06*(1-$J755))-Assumptions!$C$27)-Assumptions!$C$28)*Assumptions!$C$31)+Assumptions!$C$28-Assumptions!$C$29-$O755*Assumptions!$C$30</f>
        <v>47.31009791</v>
      </c>
      <c r="U755" s="139">
        <f>($P755*(1-(Assumptions!$C$25+0.06*(1-$K755))-Assumptions!$C$27)-Assumptions!$C$28)-MAX(0,($P755*(1-(Assumptions!$C$25+0.06*(1-$K755))-Assumptions!$C$27)-Assumptions!$C$28)*Assumptions!$C$31)+Assumptions!$C$28-Assumptions!$C$29-$P755*Assumptions!$C$30</f>
        <v>128.0100997</v>
      </c>
      <c r="V755" s="143">
        <f>(($Q755/(1+$D755)^1+$R755/(1+$D755)^2+$S755/(1+$D755)^3+$T755/(1+$D755)^4+$U755/(1+$D755)^5+$U755*(1+$E755)/($D755-$E755)/(1+$D755)^5)-Assumptions!$C$37)/Assumptions!$C$40/Assumptions!$C$38</f>
        <v>4.244546003</v>
      </c>
    </row>
    <row r="756" ht="12.0" customHeight="1">
      <c r="B756" s="139">
        <v>704.0</v>
      </c>
      <c r="C756" s="140">
        <f t="shared" si="6"/>
        <v>0.7471143061</v>
      </c>
      <c r="D756" s="141">
        <f t="shared" si="7"/>
        <v>0.1030891279</v>
      </c>
      <c r="E756" s="141">
        <f t="shared" si="8"/>
        <v>0.0169700688</v>
      </c>
      <c r="F756" s="140">
        <f t="shared" si="9"/>
        <v>0.3220378429</v>
      </c>
      <c r="G756" s="141">
        <f t="shared" si="10"/>
        <v>0.05407629783</v>
      </c>
      <c r="H756" s="142">
        <f t="shared" si="11"/>
        <v>1</v>
      </c>
      <c r="I756" s="142">
        <f t="shared" si="12"/>
        <v>1</v>
      </c>
      <c r="J756" s="142">
        <f t="shared" si="13"/>
        <v>0</v>
      </c>
      <c r="K756" s="142">
        <f t="shared" si="14"/>
        <v>0</v>
      </c>
      <c r="L756" s="139">
        <f>Assumptions!$C$6*Assumptions!$C$7*(1+$G756-0.05*(1-1))^1+Assumptions!$C$6*Assumptions!$C$8*(1+Assumptions!$C$11)^1+Assumptions!$C$16*1+Assumptions!$C$6*Assumptions!$C$9*(1+Assumptions!$C$12)^1</f>
        <v>744.6700819</v>
      </c>
      <c r="M756" s="139">
        <f>Assumptions!$C$6*Assumptions!$C$7*(1+$G756-0.05*(1-$H756))^2+Assumptions!$C$6*Assumptions!$C$8*(1+Assumptions!$C$11)^2+Assumptions!$C$16*$H756+Assumptions!$C$6*Assumptions!$C$9*(1+Assumptions!$C$12)^2</f>
        <v>770.4538249</v>
      </c>
      <c r="N756" s="139">
        <f>Assumptions!$C$6*Assumptions!$C$7*(1+$G756-0.05*(1-$I756))^3+Assumptions!$C$6*Assumptions!$C$8*(1+Assumptions!$C$11)^3+Assumptions!$C$16*$I756+Assumptions!$C$6*Assumptions!$C$9*(1+Assumptions!$C$12)^3</f>
        <v>797.4070437</v>
      </c>
      <c r="O756" s="139">
        <f>Assumptions!$C$6*Assumptions!$C$7*(1+$G756-0.05*(1-$J756))^4+Assumptions!$C$6*Assumptions!$C$8*(1+Assumptions!$C$11)^4+Assumptions!$C$16*$J756+Assumptions!$C$6*Assumptions!$C$9*(1+Assumptions!$C$12)^4</f>
        <v>692.1805373</v>
      </c>
      <c r="P756" s="139">
        <f>Assumptions!$C$6*Assumptions!$C$7*(1+$G756-0.05*(1-$K756))^5+Assumptions!$C$6*Assumptions!$C$8*(1+Assumptions!$C$11)^5+Assumptions!$C$16*$K756+Assumptions!$C$6*Assumptions!$C$9*(1+Assumptions!$C$12)^5</f>
        <v>700.5762996</v>
      </c>
      <c r="Q756" s="139">
        <f>($L756*(1-(Assumptions!$C$25+0.06*(1-1))-Assumptions!$C$27)-Assumptions!$C$28)-MAX(0,($L756*(1-(Assumptions!$C$25+0.06*(1-1))-Assumptions!$C$27)-Assumptions!$C$28)*Assumptions!$C$31)+Assumptions!$C$28-Assumptions!$C$29-$L756*Assumptions!$C$30</f>
        <v>92.6040676</v>
      </c>
      <c r="R756" s="139">
        <f>($M756*(1-(Assumptions!$C$25+0.06*(1-$H756))-Assumptions!$C$27)-Assumptions!$C$28)-MAX(0,($M756*(1-(Assumptions!$C$25+0.06*(1-$H756))-Assumptions!$C$27)-Assumptions!$C$28)*Assumptions!$C$31)+Assumptions!$C$28-Assumptions!$C$29-$M756*Assumptions!$C$30</f>
        <v>98.14757235</v>
      </c>
      <c r="S756" s="139">
        <f>($N756*(1-(Assumptions!$C$25+0.06*(1-$I756))-Assumptions!$C$27)-Assumptions!$C$28)-MAX(0,($N756*(1-(Assumptions!$C$25+0.06*(1-$I756))-Assumptions!$C$27)-Assumptions!$C$28)*Assumptions!$C$31)+Assumptions!$C$28-Assumptions!$C$29-$N756*Assumptions!$C$30</f>
        <v>103.9425144</v>
      </c>
      <c r="T756" s="139">
        <f>($O756*(1-(Assumptions!$C$25+0.06*(1-$J756))-Assumptions!$C$27)-Assumptions!$C$28)-MAX(0,($O756*(1-(Assumptions!$C$25+0.06*(1-$J756))-Assumptions!$C$27)-Assumptions!$C$28)*Assumptions!$C$31)+Assumptions!$C$28-Assumptions!$C$29-$O756*Assumptions!$C$30</f>
        <v>39.20152358</v>
      </c>
      <c r="U756" s="139">
        <f>($P756*(1-(Assumptions!$C$25+0.06*(1-$K756))-Assumptions!$C$27)-Assumptions!$C$28)-MAX(0,($P756*(1-(Assumptions!$C$25+0.06*(1-$K756))-Assumptions!$C$27)-Assumptions!$C$28)*Assumptions!$C$31)+Assumptions!$C$28-Assumptions!$C$29-$P756*Assumptions!$C$30</f>
        <v>41.13254891</v>
      </c>
      <c r="V756" s="143">
        <f>(($Q756/(1+$D756)^1+$R756/(1+$D756)^2+$S756/(1+$D756)^3+$T756/(1+$D756)^4+$U756/(1+$D756)^5+$U756*(1+$E756)/($D756-$E756)/(1+$D756)^5)-Assumptions!$C$37)/Assumptions!$C$40/Assumptions!$C$38</f>
        <v>-0.7849976389</v>
      </c>
    </row>
    <row r="757" ht="12.0" customHeight="1">
      <c r="B757" s="139">
        <v>705.0</v>
      </c>
      <c r="C757" s="140">
        <f t="shared" si="6"/>
        <v>0.4075315906</v>
      </c>
      <c r="D757" s="141">
        <f t="shared" si="7"/>
        <v>0.09676885144</v>
      </c>
      <c r="E757" s="141">
        <f t="shared" si="8"/>
        <v>0.01778817983</v>
      </c>
      <c r="F757" s="140">
        <f t="shared" si="9"/>
        <v>0.6670133177</v>
      </c>
      <c r="G757" s="141">
        <f t="shared" si="10"/>
        <v>0.06551784266</v>
      </c>
      <c r="H757" s="142">
        <f t="shared" si="11"/>
        <v>1</v>
      </c>
      <c r="I757" s="142">
        <f t="shared" si="12"/>
        <v>1</v>
      </c>
      <c r="J757" s="142">
        <f t="shared" si="13"/>
        <v>1</v>
      </c>
      <c r="K757" s="142">
        <f t="shared" si="14"/>
        <v>1</v>
      </c>
      <c r="L757" s="139">
        <f>Assumptions!$C$6*Assumptions!$C$7*(1+$G757-0.05*(1-1))^1+Assumptions!$C$6*Assumptions!$C$8*(1+Assumptions!$C$11)^1+Assumptions!$C$16*1+Assumptions!$C$6*Assumptions!$C$9*(1+Assumptions!$C$12)^1</f>
        <v>748.5213058</v>
      </c>
      <c r="M757" s="139">
        <f>Assumptions!$C$6*Assumptions!$C$7*(1+$G757-0.05*(1-$H757))^2+Assumptions!$C$6*Assumptions!$C$8*(1+Assumptions!$C$11)^2+Assumptions!$C$16*$H757+Assumptions!$C$6*Assumptions!$C$9*(1+Assumptions!$C$12)^2</f>
        <v>778.6168567</v>
      </c>
      <c r="N757" s="139">
        <f>Assumptions!$C$6*Assumptions!$C$7*(1+$G757-0.05*(1-$I757))^3+Assumptions!$C$6*Assumptions!$C$8*(1+Assumptions!$C$11)^3+Assumptions!$C$16*$I757+Assumptions!$C$6*Assumptions!$C$9*(1+Assumptions!$C$12)^3</f>
        <v>810.3839055</v>
      </c>
      <c r="O757" s="139">
        <f>Assumptions!$C$6*Assumptions!$C$7*(1+$G757-0.05*(1-$J757))^4+Assumptions!$C$6*Assumptions!$C$8*(1+Assumptions!$C$11)^4+Assumptions!$C$16*$J757+Assumptions!$C$6*Assumptions!$C$9*(1+Assumptions!$C$12)^4</f>
        <v>843.9259593</v>
      </c>
      <c r="P757" s="139">
        <f>Assumptions!$C$6*Assumptions!$C$7*(1+$G757-0.05*(1-$K757))^5+Assumptions!$C$6*Assumptions!$C$8*(1+Assumptions!$C$11)^5+Assumptions!$C$16*$K757+Assumptions!$C$6*Assumptions!$C$9*(1+Assumptions!$C$12)^5</f>
        <v>879.3531865</v>
      </c>
      <c r="Q757" s="139">
        <f>($L757*(1-(Assumptions!$C$25+0.06*(1-1))-Assumptions!$C$27)-Assumptions!$C$28)-MAX(0,($L757*(1-(Assumptions!$C$25+0.06*(1-1))-Assumptions!$C$27)-Assumptions!$C$28)*Assumptions!$C$31)+Assumptions!$C$28-Assumptions!$C$29-$L757*Assumptions!$C$30</f>
        <v>93.43208076</v>
      </c>
      <c r="R757" s="139">
        <f>($M757*(1-(Assumptions!$C$25+0.06*(1-$H757))-Assumptions!$C$27)-Assumptions!$C$28)-MAX(0,($M757*(1-(Assumptions!$C$25+0.06*(1-$H757))-Assumptions!$C$27)-Assumptions!$C$28)*Assumptions!$C$31)+Assumptions!$C$28-Assumptions!$C$29-$M757*Assumptions!$C$30</f>
        <v>99.90262419</v>
      </c>
      <c r="S757" s="139">
        <f>($N757*(1-(Assumptions!$C$25+0.06*(1-$I757))-Assumptions!$C$27)-Assumptions!$C$28)-MAX(0,($N757*(1-(Assumptions!$C$25+0.06*(1-$I757))-Assumptions!$C$27)-Assumptions!$C$28)*Assumptions!$C$31)+Assumptions!$C$28-Assumptions!$C$29-$N757*Assumptions!$C$30</f>
        <v>106.7325397</v>
      </c>
      <c r="T757" s="139">
        <f>($O757*(1-(Assumptions!$C$25+0.06*(1-$J757))-Assumptions!$C$27)-Assumptions!$C$28)-MAX(0,($O757*(1-(Assumptions!$C$25+0.06*(1-$J757))-Assumptions!$C$27)-Assumptions!$C$28)*Assumptions!$C$31)+Assumptions!$C$28-Assumptions!$C$29-$O757*Assumptions!$C$30</f>
        <v>113.9440813</v>
      </c>
      <c r="U757" s="139">
        <f>($P757*(1-(Assumptions!$C$25+0.06*(1-$K757))-Assumptions!$C$27)-Assumptions!$C$28)-MAX(0,($P757*(1-(Assumptions!$C$25+0.06*(1-$K757))-Assumptions!$C$27)-Assumptions!$C$28)*Assumptions!$C$31)+Assumptions!$C$28-Assumptions!$C$29-$P757*Assumptions!$C$30</f>
        <v>121.5609351</v>
      </c>
      <c r="V757" s="143">
        <f>(($Q757/(1+$D757)^1+$R757/(1+$D757)^2+$S757/(1+$D757)^3+$T757/(1+$D757)^4+$U757/(1+$D757)^5+$U757*(1+$E757)/($D757-$E757)/(1+$D757)^5)-Assumptions!$C$37)/Assumptions!$C$40/Assumptions!$C$38</f>
        <v>5.461770564</v>
      </c>
    </row>
    <row r="758" ht="12.0" customHeight="1">
      <c r="B758" s="139">
        <v>706.0</v>
      </c>
      <c r="C758" s="140">
        <f t="shared" si="6"/>
        <v>0.04507971942</v>
      </c>
      <c r="D758" s="141">
        <f t="shared" si="7"/>
        <v>0.08890922305</v>
      </c>
      <c r="E758" s="141">
        <f t="shared" si="8"/>
        <v>0.0256101375</v>
      </c>
      <c r="F758" s="140">
        <f t="shared" si="9"/>
        <v>0.3134675329</v>
      </c>
      <c r="G758" s="141">
        <f t="shared" si="10"/>
        <v>0.05375376937</v>
      </c>
      <c r="H758" s="142">
        <f t="shared" si="11"/>
        <v>1</v>
      </c>
      <c r="I758" s="142">
        <f t="shared" si="12"/>
        <v>1</v>
      </c>
      <c r="J758" s="142">
        <f t="shared" si="13"/>
        <v>0</v>
      </c>
      <c r="K758" s="142">
        <f t="shared" si="14"/>
        <v>1</v>
      </c>
      <c r="L758" s="139">
        <f>Assumptions!$C$6*Assumptions!$C$7*(1+$G758-0.05*(1-1))^1+Assumptions!$C$6*Assumptions!$C$8*(1+Assumptions!$C$11)^1+Assumptions!$C$16*1+Assumptions!$C$6*Assumptions!$C$9*(1+Assumptions!$C$12)^1</f>
        <v>744.5615188</v>
      </c>
      <c r="M758" s="139">
        <f>Assumptions!$C$6*Assumptions!$C$7*(1+$G758-0.05*(1-$H758))^2+Assumptions!$C$6*Assumptions!$C$8*(1+Assumptions!$C$11)^2+Assumptions!$C$16*$H758+Assumptions!$C$6*Assumptions!$C$9*(1+Assumptions!$C$12)^2</f>
        <v>770.2249924</v>
      </c>
      <c r="N758" s="139">
        <f>Assumptions!$C$6*Assumptions!$C$7*(1+$G758-0.05*(1-$I758))^3+Assumptions!$C$6*Assumptions!$C$8*(1+Assumptions!$C$11)^3+Assumptions!$C$16*$I758+Assumptions!$C$6*Assumptions!$C$9*(1+Assumptions!$C$12)^3</f>
        <v>797.0452887</v>
      </c>
      <c r="O758" s="139">
        <f>Assumptions!$C$6*Assumptions!$C$7*(1+$G758-0.05*(1-$J758))^4+Assumptions!$C$6*Assumptions!$C$8*(1+Assumptions!$C$11)^4+Assumptions!$C$16*$J758+Assumptions!$C$6*Assumptions!$C$9*(1+Assumptions!$C$12)^4</f>
        <v>691.7411647</v>
      </c>
      <c r="P758" s="139">
        <f>Assumptions!$C$6*Assumptions!$C$7*(1+$G758-0.05*(1-$K758))^5+Assumptions!$C$6*Assumptions!$C$8*(1+Assumptions!$C$11)^5+Assumptions!$C$16*$K758+Assumptions!$C$6*Assumptions!$C$9*(1+Assumptions!$C$12)^5</f>
        <v>854.3902828</v>
      </c>
      <c r="Q758" s="139">
        <f>($L758*(1-(Assumptions!$C$25+0.06*(1-1))-Assumptions!$C$27)-Assumptions!$C$28)-MAX(0,($L758*(1-(Assumptions!$C$25+0.06*(1-1))-Assumptions!$C$27)-Assumptions!$C$28)*Assumptions!$C$31)+Assumptions!$C$28-Assumptions!$C$29-$L758*Assumptions!$C$30</f>
        <v>92.58072654</v>
      </c>
      <c r="R758" s="139">
        <f>($M758*(1-(Assumptions!$C$25+0.06*(1-$H758))-Assumptions!$C$27)-Assumptions!$C$28)-MAX(0,($M758*(1-(Assumptions!$C$25+0.06*(1-$H758))-Assumptions!$C$27)-Assumptions!$C$28)*Assumptions!$C$31)+Assumptions!$C$28-Assumptions!$C$29-$M758*Assumptions!$C$30</f>
        <v>98.09837336</v>
      </c>
      <c r="S758" s="139">
        <f>($N758*(1-(Assumptions!$C$25+0.06*(1-$I758))-Assumptions!$C$27)-Assumptions!$C$28)-MAX(0,($N758*(1-(Assumptions!$C$25+0.06*(1-$I758))-Assumptions!$C$27)-Assumptions!$C$28)*Assumptions!$C$31)+Assumptions!$C$28-Assumptions!$C$29-$N758*Assumptions!$C$30</f>
        <v>103.8647371</v>
      </c>
      <c r="T758" s="139">
        <f>($O758*(1-(Assumptions!$C$25+0.06*(1-$J758))-Assumptions!$C$27)-Assumptions!$C$28)-MAX(0,($O758*(1-(Assumptions!$C$25+0.06*(1-$J758))-Assumptions!$C$27)-Assumptions!$C$28)*Assumptions!$C$31)+Assumptions!$C$28-Assumptions!$C$29-$O758*Assumptions!$C$30</f>
        <v>39.10046787</v>
      </c>
      <c r="U758" s="139">
        <f>($P758*(1-(Assumptions!$C$25+0.06*(1-$K758))-Assumptions!$C$27)-Assumptions!$C$28)-MAX(0,($P758*(1-(Assumptions!$C$25+0.06*(1-$K758))-Assumptions!$C$27)-Assumptions!$C$28)*Assumptions!$C$31)+Assumptions!$C$28-Assumptions!$C$29-$P758*Assumptions!$C$30</f>
        <v>116.1939108</v>
      </c>
      <c r="V758" s="143">
        <f>(($Q758/(1+$D758)^1+$R758/(1+$D758)^2+$S758/(1+$D758)^3+$T758/(1+$D758)^4+$U758/(1+$D758)^5+$U758*(1+$E758)/($D758-$E758)/(1+$D758)^5)-Assumptions!$C$37)/Assumptions!$C$40/Assumptions!$C$38</f>
        <v>6.94503351</v>
      </c>
    </row>
    <row r="759" ht="12.0" customHeight="1">
      <c r="B759" s="139">
        <v>707.0</v>
      </c>
      <c r="C759" s="140">
        <f t="shared" si="6"/>
        <v>0.8200073219</v>
      </c>
      <c r="D759" s="141">
        <f t="shared" si="7"/>
        <v>0.1049513238</v>
      </c>
      <c r="E759" s="141">
        <f t="shared" si="8"/>
        <v>0.02367747115</v>
      </c>
      <c r="F759" s="140">
        <f t="shared" si="9"/>
        <v>0.20464044</v>
      </c>
      <c r="G759" s="141">
        <f t="shared" si="10"/>
        <v>0.04919251917</v>
      </c>
      <c r="H759" s="142">
        <f t="shared" si="11"/>
        <v>1</v>
      </c>
      <c r="I759" s="142">
        <f t="shared" si="12"/>
        <v>1</v>
      </c>
      <c r="J759" s="142">
        <f t="shared" si="13"/>
        <v>1</v>
      </c>
      <c r="K759" s="142">
        <f t="shared" si="14"/>
        <v>1</v>
      </c>
      <c r="L759" s="139">
        <f>Assumptions!$C$6*Assumptions!$C$7*(1+$G759-0.05*(1-1))^1+Assumptions!$C$6*Assumptions!$C$8*(1+Assumptions!$C$11)^1+Assumptions!$C$16*1+Assumptions!$C$6*Assumptions!$C$9*(1+Assumptions!$C$12)^1</f>
        <v>743.026202</v>
      </c>
      <c r="M759" s="139">
        <f>Assumptions!$C$6*Assumptions!$C$7*(1+$G759-0.05*(1-$H759))^2+Assumptions!$C$6*Assumptions!$C$8*(1+Assumptions!$C$11)^2+Assumptions!$C$16*$H759+Assumptions!$C$6*Assumptions!$C$9*(1+Assumptions!$C$12)^2</f>
        <v>766.9963036</v>
      </c>
      <c r="N759" s="139">
        <f>Assumptions!$C$6*Assumptions!$C$7*(1+$G759-0.05*(1-$I759))^3+Assumptions!$C$6*Assumptions!$C$8*(1+Assumptions!$C$11)^3+Assumptions!$C$16*$I759+Assumptions!$C$6*Assumptions!$C$9*(1+Assumptions!$C$12)^3</f>
        <v>791.9529613</v>
      </c>
      <c r="O759" s="139">
        <f>Assumptions!$C$6*Assumptions!$C$7*(1+$G759-0.05*(1-$J759))^4+Assumptions!$C$6*Assumptions!$C$8*(1+Assumptions!$C$11)^4+Assumptions!$C$16*$J759+Assumptions!$C$6*Assumptions!$C$9*(1+Assumptions!$C$12)^4</f>
        <v>817.9408545</v>
      </c>
      <c r="P759" s="139">
        <f>Assumptions!$C$6*Assumptions!$C$7*(1+$G759-0.05*(1-$K759))^5+Assumptions!$C$6*Assumptions!$C$8*(1+Assumptions!$C$11)^5+Assumptions!$C$16*$K759+Assumptions!$C$6*Assumptions!$C$9*(1+Assumptions!$C$12)^5</f>
        <v>845.0067833</v>
      </c>
      <c r="Q759" s="139">
        <f>($L759*(1-(Assumptions!$C$25+0.06*(1-1))-Assumptions!$C$27)-Assumptions!$C$28)-MAX(0,($L759*(1-(Assumptions!$C$25+0.06*(1-1))-Assumptions!$C$27)-Assumptions!$C$28)*Assumptions!$C$31)+Assumptions!$C$28-Assumptions!$C$29-$L759*Assumptions!$C$30</f>
        <v>92.25063342</v>
      </c>
      <c r="R759" s="139">
        <f>($M759*(1-(Assumptions!$C$25+0.06*(1-$H759))-Assumptions!$C$27)-Assumptions!$C$28)-MAX(0,($M759*(1-(Assumptions!$C$25+0.06*(1-$H759))-Assumptions!$C$27)-Assumptions!$C$28)*Assumptions!$C$31)+Assumptions!$C$28-Assumptions!$C$29-$M759*Assumptions!$C$30</f>
        <v>97.40420527</v>
      </c>
      <c r="S759" s="139">
        <f>($N759*(1-(Assumptions!$C$25+0.06*(1-$I759))-Assumptions!$C$27)-Assumptions!$C$28)-MAX(0,($N759*(1-(Assumptions!$C$25+0.06*(1-$I759))-Assumptions!$C$27)-Assumptions!$C$28)*Assumptions!$C$31)+Assumptions!$C$28-Assumptions!$C$29-$N759*Assumptions!$C$30</f>
        <v>102.7698867</v>
      </c>
      <c r="T759" s="139">
        <f>($O759*(1-(Assumptions!$C$25+0.06*(1-$J759))-Assumptions!$C$27)-Assumptions!$C$28)-MAX(0,($O759*(1-(Assumptions!$C$25+0.06*(1-$J759))-Assumptions!$C$27)-Assumptions!$C$28)*Assumptions!$C$31)+Assumptions!$C$28-Assumptions!$C$29-$O759*Assumptions!$C$30</f>
        <v>108.3572837</v>
      </c>
      <c r="U759" s="139">
        <f>($P759*(1-(Assumptions!$C$25+0.06*(1-$K759))-Assumptions!$C$27)-Assumptions!$C$28)-MAX(0,($P759*(1-(Assumptions!$C$25+0.06*(1-$K759))-Assumptions!$C$27)-Assumptions!$C$28)*Assumptions!$C$31)+Assumptions!$C$28-Assumptions!$C$29-$P759*Assumptions!$C$30</f>
        <v>114.1764584</v>
      </c>
      <c r="V759" s="143">
        <f>(($Q759/(1+$D759)^1+$R759/(1+$D759)^2+$S759/(1+$D759)^3+$T759/(1+$D759)^4+$U759/(1+$D759)^5+$U759*(1+$E759)/($D759-$E759)/(1+$D759)^5)-Assumptions!$C$37)/Assumptions!$C$40/Assumptions!$C$38</f>
        <v>4.392677568</v>
      </c>
    </row>
    <row r="760" ht="12.0" customHeight="1">
      <c r="B760" s="139">
        <v>708.0</v>
      </c>
      <c r="C760" s="140">
        <f t="shared" si="6"/>
        <v>0.2163789728</v>
      </c>
      <c r="D760" s="141">
        <f t="shared" si="7"/>
        <v>0.09356460576</v>
      </c>
      <c r="E760" s="141">
        <f t="shared" si="8"/>
        <v>0.02400061945</v>
      </c>
      <c r="F760" s="140">
        <f t="shared" si="9"/>
        <v>0.1081313114</v>
      </c>
      <c r="G760" s="141">
        <f t="shared" si="10"/>
        <v>0.04395121359</v>
      </c>
      <c r="H760" s="142">
        <f t="shared" si="11"/>
        <v>0</v>
      </c>
      <c r="I760" s="142">
        <f t="shared" si="12"/>
        <v>0</v>
      </c>
      <c r="J760" s="142">
        <f t="shared" si="13"/>
        <v>0</v>
      </c>
      <c r="K760" s="142">
        <f t="shared" si="14"/>
        <v>0</v>
      </c>
      <c r="L760" s="139">
        <f>Assumptions!$C$6*Assumptions!$C$7*(1+$G760-0.05*(1-1))^1+Assumptions!$C$6*Assumptions!$C$8*(1+Assumptions!$C$11)^1+Assumptions!$C$16*1+Assumptions!$C$6*Assumptions!$C$9*(1+Assumptions!$C$12)^1</f>
        <v>741.2619785</v>
      </c>
      <c r="M760" s="139">
        <f>Assumptions!$C$6*Assumptions!$C$7*(1+$G760-0.05*(1-$H760))^2+Assumptions!$C$6*Assumptions!$C$8*(1+Assumptions!$C$11)^2+Assumptions!$C$16*$H760+Assumptions!$C$6*Assumptions!$C$9*(1+Assumptions!$C$12)^2</f>
        <v>669.0056324</v>
      </c>
      <c r="N760" s="139">
        <f>Assumptions!$C$6*Assumptions!$C$7*(1+$G760-0.05*(1-$I760))^3+Assumptions!$C$6*Assumptions!$C$8*(1+Assumptions!$C$11)^3+Assumptions!$C$16*$I760+Assumptions!$C$6*Assumptions!$C$9*(1+Assumptions!$C$12)^3</f>
        <v>673.7234746</v>
      </c>
      <c r="O760" s="139">
        <f>Assumptions!$C$6*Assumptions!$C$7*(1+$G760-0.05*(1-$J760))^4+Assumptions!$C$6*Assumptions!$C$8*(1+Assumptions!$C$11)^4+Assumptions!$C$16*$J760+Assumptions!$C$6*Assumptions!$C$9*(1+Assumptions!$C$12)^4</f>
        <v>678.5880697</v>
      </c>
      <c r="P760" s="139">
        <f>Assumptions!$C$6*Assumptions!$C$7*(1+$G760-0.05*(1-$K760))^5+Assumptions!$C$6*Assumptions!$C$8*(1+Assumptions!$C$11)^5+Assumptions!$C$16*$K760+Assumptions!$C$6*Assumptions!$C$9*(1+Assumptions!$C$12)^5</f>
        <v>683.6020361</v>
      </c>
      <c r="Q760" s="139">
        <f>($L760*(1-(Assumptions!$C$25+0.06*(1-1))-Assumptions!$C$27)-Assumptions!$C$28)-MAX(0,($L760*(1-(Assumptions!$C$25+0.06*(1-1))-Assumptions!$C$27)-Assumptions!$C$28)*Assumptions!$C$31)+Assumptions!$C$28-Assumptions!$C$29-$L760*Assumptions!$C$30</f>
        <v>91.87132538</v>
      </c>
      <c r="R760" s="139">
        <f>($M760*(1-(Assumptions!$C$25+0.06*(1-$H760))-Assumptions!$C$27)-Assumptions!$C$28)-MAX(0,($M760*(1-(Assumptions!$C$25+0.06*(1-$H760))-Assumptions!$C$27)-Assumptions!$C$28)*Assumptions!$C$31)+Assumptions!$C$28-Assumptions!$C$29-$M760*Assumptions!$C$30</f>
        <v>33.87129546</v>
      </c>
      <c r="S760" s="139">
        <f>($N760*(1-(Assumptions!$C$25+0.06*(1-$I760))-Assumptions!$C$27)-Assumptions!$C$28)-MAX(0,($N760*(1-(Assumptions!$C$25+0.06*(1-$I760))-Assumptions!$C$27)-Assumptions!$C$28)*Assumptions!$C$31)+Assumptions!$C$28-Assumptions!$C$29-$N760*Assumptions!$C$30</f>
        <v>34.95639915</v>
      </c>
      <c r="T760" s="139">
        <f>($O760*(1-(Assumptions!$C$25+0.06*(1-$J760))-Assumptions!$C$27)-Assumptions!$C$28)-MAX(0,($O760*(1-(Assumptions!$C$25+0.06*(1-$J760))-Assumptions!$C$27)-Assumptions!$C$28)*Assumptions!$C$31)+Assumptions!$C$28-Assumptions!$C$29-$O760*Assumptions!$C$30</f>
        <v>36.07525604</v>
      </c>
      <c r="U760" s="139">
        <f>($P760*(1-(Assumptions!$C$25+0.06*(1-$K760))-Assumptions!$C$27)-Assumptions!$C$28)-MAX(0,($P760*(1-(Assumptions!$C$25+0.06*(1-$K760))-Assumptions!$C$27)-Assumptions!$C$28)*Assumptions!$C$31)+Assumptions!$C$28-Assumptions!$C$29-$P760*Assumptions!$C$30</f>
        <v>37.22846831</v>
      </c>
      <c r="V760" s="143">
        <f>(($Q760/(1+$D760)^1+$R760/(1+$D760)^2+$S760/(1+$D760)^3+$T760/(1+$D760)^4+$U760/(1+$D760)^5+$U760*(1+$E760)/($D760-$E760)/(1+$D760)^5)-Assumptions!$C$37)/Assumptions!$C$40/Assumptions!$C$38</f>
        <v>-1.195593265</v>
      </c>
    </row>
    <row r="761" ht="12.0" customHeight="1">
      <c r="B761" s="139">
        <v>709.0</v>
      </c>
      <c r="C761" s="140">
        <f t="shared" si="6"/>
        <v>0.07633984529</v>
      </c>
      <c r="D761" s="141">
        <f t="shared" si="7"/>
        <v>0.09008716105</v>
      </c>
      <c r="E761" s="141">
        <f t="shared" si="8"/>
        <v>0.02510472506</v>
      </c>
      <c r="F761" s="140">
        <f t="shared" si="9"/>
        <v>0.6514899549</v>
      </c>
      <c r="G761" s="141">
        <f t="shared" si="10"/>
        <v>0.06495368128</v>
      </c>
      <c r="H761" s="142">
        <f t="shared" si="11"/>
        <v>1</v>
      </c>
      <c r="I761" s="142">
        <f t="shared" si="12"/>
        <v>0</v>
      </c>
      <c r="J761" s="142">
        <f t="shared" si="13"/>
        <v>1</v>
      </c>
      <c r="K761" s="142">
        <f t="shared" si="14"/>
        <v>0</v>
      </c>
      <c r="L761" s="139">
        <f>Assumptions!$C$6*Assumptions!$C$7*(1+$G761-0.05*(1-1))^1+Assumptions!$C$6*Assumptions!$C$8*(1+Assumptions!$C$11)^1+Assumptions!$C$16*1+Assumptions!$C$6*Assumptions!$C$9*(1+Assumptions!$C$12)^1</f>
        <v>748.3314091</v>
      </c>
      <c r="M761" s="139">
        <f>Assumptions!$C$6*Assumptions!$C$7*(1+$G761-0.05*(1-$H761))^2+Assumptions!$C$6*Assumptions!$C$8*(1+Assumptions!$C$11)^2+Assumptions!$C$16*$H761+Assumptions!$C$6*Assumptions!$C$9*(1+Assumptions!$C$12)^2</f>
        <v>778.2122871</v>
      </c>
      <c r="N761" s="139">
        <f>Assumptions!$C$6*Assumptions!$C$7*(1+$G761-0.05*(1-$I761))^3+Assumptions!$C$6*Assumptions!$C$8*(1+Assumptions!$C$11)^3+Assumptions!$C$16*$I761+Assumptions!$C$6*Assumptions!$C$9*(1+Assumptions!$C$12)^3</f>
        <v>695.1218241</v>
      </c>
      <c r="O761" s="139">
        <f>Assumptions!$C$6*Assumptions!$C$7*(1+$G761-0.05*(1-$J761))^4+Assumptions!$C$6*Assumptions!$C$8*(1+Assumptions!$C$11)^4+Assumptions!$C$16*$J761+Assumptions!$C$6*Assumptions!$C$9*(1+Assumptions!$C$12)^4</f>
        <v>843.0078071</v>
      </c>
      <c r="P761" s="139">
        <f>Assumptions!$C$6*Assumptions!$C$7*(1+$G761-0.05*(1-$K761))^5+Assumptions!$C$6*Assumptions!$C$8*(1+Assumptions!$C$11)^5+Assumptions!$C$16*$K761+Assumptions!$C$6*Assumptions!$C$9*(1+Assumptions!$C$12)^5</f>
        <v>719.5907971</v>
      </c>
      <c r="Q761" s="139">
        <f>($L761*(1-(Assumptions!$C$25+0.06*(1-1))-Assumptions!$C$27)-Assumptions!$C$28)-MAX(0,($L761*(1-(Assumptions!$C$25+0.06*(1-1))-Assumptions!$C$27)-Assumptions!$C$28)*Assumptions!$C$31)+Assumptions!$C$28-Assumptions!$C$29-$L761*Assumptions!$C$30</f>
        <v>93.39125296</v>
      </c>
      <c r="R761" s="139">
        <f>($M761*(1-(Assumptions!$C$25+0.06*(1-$H761))-Assumptions!$C$27)-Assumptions!$C$28)-MAX(0,($M761*(1-(Assumptions!$C$25+0.06*(1-$H761))-Assumptions!$C$27)-Assumptions!$C$28)*Assumptions!$C$31)+Assumptions!$C$28-Assumptions!$C$29-$M761*Assumptions!$C$30</f>
        <v>99.81564174</v>
      </c>
      <c r="S761" s="139">
        <f>($N761*(1-(Assumptions!$C$25+0.06*(1-$I761))-Assumptions!$C$27)-Assumptions!$C$28)-MAX(0,($N761*(1-(Assumptions!$C$25+0.06*(1-$I761))-Assumptions!$C$27)-Assumptions!$C$28)*Assumptions!$C$31)+Assumptions!$C$28-Assumptions!$C$29-$N761*Assumptions!$C$30</f>
        <v>39.87801954</v>
      </c>
      <c r="T761" s="139">
        <f>($O761*(1-(Assumptions!$C$25+0.06*(1-$J761))-Assumptions!$C$27)-Assumptions!$C$28)-MAX(0,($O761*(1-(Assumptions!$C$25+0.06*(1-$J761))-Assumptions!$C$27)-Assumptions!$C$28)*Assumptions!$C$31)+Assumptions!$C$28-Assumptions!$C$29-$O761*Assumptions!$C$30</f>
        <v>113.7466785</v>
      </c>
      <c r="U761" s="139">
        <f>($P761*(1-(Assumptions!$C$25+0.06*(1-$K761))-Assumptions!$C$27)-Assumptions!$C$28)-MAX(0,($P761*(1-(Assumptions!$C$25+0.06*(1-$K761))-Assumptions!$C$27)-Assumptions!$C$28)*Assumptions!$C$31)+Assumptions!$C$28-Assumptions!$C$29-$P761*Assumptions!$C$30</f>
        <v>45.50588332</v>
      </c>
      <c r="V761" s="143">
        <f>(($Q761/(1+$D761)^1+$R761/(1+$D761)^2+$S761/(1+$D761)^3+$T761/(1+$D761)^4+$U761/(1+$D761)^5+$U761*(1+$E761)/($D761-$E761)/(1+$D761)^5)-Assumptions!$C$37)/Assumptions!$C$40/Assumptions!$C$38</f>
        <v>0.6652940028</v>
      </c>
    </row>
    <row r="762" ht="12.0" customHeight="1">
      <c r="B762" s="139">
        <v>710.0</v>
      </c>
      <c r="C762" s="140">
        <f t="shared" si="6"/>
        <v>0.5609523378</v>
      </c>
      <c r="D762" s="141">
        <f t="shared" si="7"/>
        <v>0.0993058693</v>
      </c>
      <c r="E762" s="141">
        <f t="shared" si="8"/>
        <v>0.01084492481</v>
      </c>
      <c r="F762" s="140">
        <f t="shared" si="9"/>
        <v>0.9042063582</v>
      </c>
      <c r="G762" s="141">
        <f t="shared" si="10"/>
        <v>0.0768687946</v>
      </c>
      <c r="H762" s="142">
        <f t="shared" si="11"/>
        <v>1</v>
      </c>
      <c r="I762" s="142">
        <f t="shared" si="12"/>
        <v>1</v>
      </c>
      <c r="J762" s="142">
        <f t="shared" si="13"/>
        <v>1</v>
      </c>
      <c r="K762" s="142">
        <f t="shared" si="14"/>
        <v>1</v>
      </c>
      <c r="L762" s="139">
        <f>Assumptions!$C$6*Assumptions!$C$7*(1+$G762-0.05*(1-1))^1+Assumptions!$C$6*Assumptions!$C$8*(1+Assumptions!$C$11)^1+Assumptions!$C$16*1+Assumptions!$C$6*Assumptions!$C$9*(1+Assumptions!$C$12)^1</f>
        <v>752.3420363</v>
      </c>
      <c r="M762" s="139">
        <f>Assumptions!$C$6*Assumptions!$C$7*(1+$G762-0.05*(1-$H762))^2+Assumptions!$C$6*Assumptions!$C$8*(1+Assumptions!$C$11)^2+Assumptions!$C$16*$H762+Assumptions!$C$6*Assumptions!$C$9*(1+Assumptions!$C$12)^2</f>
        <v>786.8023385</v>
      </c>
      <c r="N762" s="139">
        <f>Assumptions!$C$6*Assumptions!$C$7*(1+$G762-0.05*(1-$I762))^3+Assumptions!$C$6*Assumptions!$C$8*(1+Assumptions!$C$11)^3+Assumptions!$C$16*$I762+Assumptions!$C$6*Assumptions!$C$9*(1+Assumptions!$C$12)^3</f>
        <v>823.5363787</v>
      </c>
      <c r="O762" s="139">
        <f>Assumptions!$C$6*Assumptions!$C$7*(1+$G762-0.05*(1-$J762))^4+Assumptions!$C$6*Assumptions!$C$8*(1+Assumptions!$C$11)^4+Assumptions!$C$16*$J762+Assumptions!$C$6*Assumptions!$C$9*(1+Assumptions!$C$12)^4</f>
        <v>862.7114328</v>
      </c>
      <c r="P762" s="139">
        <f>Assumptions!$C$6*Assumptions!$C$7*(1+$G762-0.05*(1-$K762))^5+Assumptions!$C$6*Assumptions!$C$8*(1+Assumptions!$C$11)^5+Assumptions!$C$16*$K762+Assumptions!$C$6*Assumptions!$C$9*(1+Assumptions!$C$12)^5</f>
        <v>904.5074846</v>
      </c>
      <c r="Q762" s="139">
        <f>($L762*(1-(Assumptions!$C$25+0.06*(1-1))-Assumptions!$C$27)-Assumptions!$C$28)-MAX(0,($L762*(1-(Assumptions!$C$25+0.06*(1-1))-Assumptions!$C$27)-Assumptions!$C$28)*Assumptions!$C$31)+Assumptions!$C$28-Assumptions!$C$29-$L762*Assumptions!$C$30</f>
        <v>94.2535378</v>
      </c>
      <c r="R762" s="139">
        <f>($M762*(1-(Assumptions!$C$25+0.06*(1-$H762))-Assumptions!$C$27)-Assumptions!$C$28)-MAX(0,($M762*(1-(Assumptions!$C$25+0.06*(1-$H762))-Assumptions!$C$27)-Assumptions!$C$28)*Assumptions!$C$31)+Assumptions!$C$28-Assumptions!$C$29-$M762*Assumptions!$C$30</f>
        <v>101.6625028</v>
      </c>
      <c r="S762" s="139">
        <f>($N762*(1-(Assumptions!$C$25+0.06*(1-$I762))-Assumptions!$C$27)-Assumptions!$C$28)-MAX(0,($N762*(1-(Assumptions!$C$25+0.06*(1-$I762))-Assumptions!$C$27)-Assumptions!$C$28)*Assumptions!$C$31)+Assumptions!$C$28-Assumptions!$C$29-$N762*Assumptions!$C$30</f>
        <v>109.5603214</v>
      </c>
      <c r="T762" s="139">
        <f>($O762*(1-(Assumptions!$C$25+0.06*(1-$J762))-Assumptions!$C$27)-Assumptions!$C$28)-MAX(0,($O762*(1-(Assumptions!$C$25+0.06*(1-$J762))-Assumptions!$C$27)-Assumptions!$C$28)*Assumptions!$C$31)+Assumptions!$C$28-Assumptions!$C$29-$O762*Assumptions!$C$30</f>
        <v>117.982958</v>
      </c>
      <c r="U762" s="139">
        <f>($P762*(1-(Assumptions!$C$25+0.06*(1-$K762))-Assumptions!$C$27)-Assumptions!$C$28)-MAX(0,($P762*(1-(Assumptions!$C$25+0.06*(1-$K762))-Assumptions!$C$27)-Assumptions!$C$28)*Assumptions!$C$31)+Assumptions!$C$28-Assumptions!$C$29-$P762*Assumptions!$C$30</f>
        <v>126.9691092</v>
      </c>
      <c r="V762" s="143">
        <f>(($Q762/(1+$D762)^1+$R762/(1+$D762)^2+$S762/(1+$D762)^3+$T762/(1+$D762)^4+$U762/(1+$D762)^5+$U762*(1+$E762)/($D762-$E762)/(1+$D762)^5)-Assumptions!$C$37)/Assumptions!$C$40/Assumptions!$C$38</f>
        <v>4.871531735</v>
      </c>
    </row>
    <row r="763" ht="12.0" customHeight="1">
      <c r="B763" s="139">
        <v>711.0</v>
      </c>
      <c r="C763" s="140">
        <f t="shared" si="6"/>
        <v>0.8957541531</v>
      </c>
      <c r="D763" s="141">
        <f t="shared" si="7"/>
        <v>0.1073526527</v>
      </c>
      <c r="E763" s="141">
        <f t="shared" si="8"/>
        <v>0.01820256432</v>
      </c>
      <c r="F763" s="140">
        <f t="shared" si="9"/>
        <v>0.5194531694</v>
      </c>
      <c r="G763" s="141">
        <f t="shared" si="10"/>
        <v>0.06058938465</v>
      </c>
      <c r="H763" s="142">
        <f t="shared" si="11"/>
        <v>0</v>
      </c>
      <c r="I763" s="142">
        <f t="shared" si="12"/>
        <v>1</v>
      </c>
      <c r="J763" s="142">
        <f t="shared" si="13"/>
        <v>1</v>
      </c>
      <c r="K763" s="142">
        <f t="shared" si="14"/>
        <v>1</v>
      </c>
      <c r="L763" s="139">
        <f>Assumptions!$C$6*Assumptions!$C$7*(1+$G763-0.05*(1-1))^1+Assumptions!$C$6*Assumptions!$C$8*(1+Assumptions!$C$11)^1+Assumptions!$C$16*1+Assumptions!$C$6*Assumptions!$C$9*(1+Assumptions!$C$12)^1</f>
        <v>746.8623869</v>
      </c>
      <c r="M763" s="139">
        <f>Assumptions!$C$6*Assumptions!$C$7*(1+$G763-0.05*(1-$H763))^2+Assumptions!$C$6*Assumptions!$C$8*(1+Assumptions!$C$11)^2+Assumptions!$C$16*$H763+Assumptions!$C$6*Assumptions!$C$9*(1+Assumptions!$C$12)^2</f>
        <v>680.2318784</v>
      </c>
      <c r="N763" s="139">
        <f>Assumptions!$C$6*Assumptions!$C$7*(1+$G763-0.05*(1-$I763))^3+Assumptions!$C$6*Assumptions!$C$8*(1+Assumptions!$C$11)^3+Assumptions!$C$16*$I763+Assumptions!$C$6*Assumptions!$C$9*(1+Assumptions!$C$12)^3</f>
        <v>804.7597472</v>
      </c>
      <c r="O763" s="139">
        <f>Assumptions!$C$6*Assumptions!$C$7*(1+$G763-0.05*(1-$J763))^4+Assumptions!$C$6*Assumptions!$C$8*(1+Assumptions!$C$11)^4+Assumptions!$C$16*$J763+Assumptions!$C$6*Assumptions!$C$9*(1+Assumptions!$C$12)^4</f>
        <v>835.9542216</v>
      </c>
      <c r="P763" s="139">
        <f>Assumptions!$C$6*Assumptions!$C$7*(1+$G763-0.05*(1-$K763))^5+Assumptions!$C$6*Assumptions!$C$8*(1+Assumptions!$C$11)^5+Assumptions!$C$16*$K763+Assumptions!$C$6*Assumptions!$C$9*(1+Assumptions!$C$12)^5</f>
        <v>868.7601488</v>
      </c>
      <c r="Q763" s="139">
        <f>($L763*(1-(Assumptions!$C$25+0.06*(1-1))-Assumptions!$C$27)-Assumptions!$C$28)-MAX(0,($L763*(1-(Assumptions!$C$25+0.06*(1-1))-Assumptions!$C$27)-Assumptions!$C$28)*Assumptions!$C$31)+Assumptions!$C$28-Assumptions!$C$29-$L763*Assumptions!$C$30</f>
        <v>93.07541318</v>
      </c>
      <c r="R763" s="139">
        <f>($M763*(1-(Assumptions!$C$25+0.06*(1-$H763))-Assumptions!$C$27)-Assumptions!$C$28)-MAX(0,($M763*(1-(Assumptions!$C$25+0.06*(1-$H763))-Assumptions!$C$27)-Assumptions!$C$28)*Assumptions!$C$31)+Assumptions!$C$28-Assumptions!$C$29-$M763*Assumptions!$C$30</f>
        <v>36.45333203</v>
      </c>
      <c r="S763" s="139">
        <f>($N763*(1-(Assumptions!$C$25+0.06*(1-$I763))-Assumptions!$C$27)-Assumptions!$C$28)-MAX(0,($N763*(1-(Assumptions!$C$25+0.06*(1-$I763))-Assumptions!$C$27)-Assumptions!$C$28)*Assumptions!$C$31)+Assumptions!$C$28-Assumptions!$C$29-$N763*Assumptions!$C$30</f>
        <v>105.5233456</v>
      </c>
      <c r="T763" s="139">
        <f>($O763*(1-(Assumptions!$C$25+0.06*(1-$J763))-Assumptions!$C$27)-Assumptions!$C$28)-MAX(0,($O763*(1-(Assumptions!$C$25+0.06*(1-$J763))-Assumptions!$C$27)-Assumptions!$C$28)*Assumptions!$C$31)+Assumptions!$C$28-Assumptions!$C$29-$O763*Assumptions!$C$30</f>
        <v>112.2301576</v>
      </c>
      <c r="U763" s="139">
        <f>($P763*(1-(Assumptions!$C$25+0.06*(1-$K763))-Assumptions!$C$27)-Assumptions!$C$28)-MAX(0,($P763*(1-(Assumptions!$C$25+0.06*(1-$K763))-Assumptions!$C$27)-Assumptions!$C$28)*Assumptions!$C$31)+Assumptions!$C$28-Assumptions!$C$29-$P763*Assumptions!$C$30</f>
        <v>119.283432</v>
      </c>
      <c r="V763" s="143">
        <f>(($Q763/(1+$D763)^1+$R763/(1+$D763)^2+$S763/(1+$D763)^3+$T763/(1+$D763)^4+$U763/(1+$D763)^5+$U763*(1+$E763)/($D763-$E763)/(1+$D763)^5)-Assumptions!$C$37)/Assumptions!$C$40/Assumptions!$C$38</f>
        <v>3.623201159</v>
      </c>
    </row>
    <row r="764" ht="12.0" customHeight="1">
      <c r="B764" s="139">
        <v>712.0</v>
      </c>
      <c r="C764" s="140">
        <f t="shared" si="6"/>
        <v>0.5208270317</v>
      </c>
      <c r="D764" s="141">
        <f t="shared" si="7"/>
        <v>0.09860438976</v>
      </c>
      <c r="E764" s="141">
        <f t="shared" si="8"/>
        <v>0.02606668432</v>
      </c>
      <c r="F764" s="140">
        <f t="shared" si="9"/>
        <v>0.1767258768</v>
      </c>
      <c r="G764" s="141">
        <f t="shared" si="10"/>
        <v>0.04783554256</v>
      </c>
      <c r="H764" s="142">
        <f t="shared" si="11"/>
        <v>0</v>
      </c>
      <c r="I764" s="142">
        <f t="shared" si="12"/>
        <v>0</v>
      </c>
      <c r="J764" s="142">
        <f t="shared" si="13"/>
        <v>0</v>
      </c>
      <c r="K764" s="142">
        <f t="shared" si="14"/>
        <v>1</v>
      </c>
      <c r="L764" s="139">
        <f>Assumptions!$C$6*Assumptions!$C$7*(1+$G764-0.05*(1-1))^1+Assumptions!$C$6*Assumptions!$C$8*(1+Assumptions!$C$11)^1+Assumptions!$C$16*1+Assumptions!$C$6*Assumptions!$C$9*(1+Assumptions!$C$12)^1</f>
        <v>742.5694436</v>
      </c>
      <c r="M764" s="139">
        <f>Assumptions!$C$6*Assumptions!$C$7*(1+$G764-0.05*(1-$H764))^2+Assumptions!$C$6*Assumptions!$C$8*(1+Assumptions!$C$11)^2+Assumptions!$C$16*$H764+Assumptions!$C$6*Assumptions!$C$9*(1+Assumptions!$C$12)^2</f>
        <v>671.6098242</v>
      </c>
      <c r="N764" s="139">
        <f>Assumptions!$C$6*Assumptions!$C$7*(1+$G764-0.05*(1-$I764))^3+Assumptions!$C$6*Assumptions!$C$8*(1+Assumptions!$C$11)^3+Assumptions!$C$16*$I764+Assumptions!$C$6*Assumptions!$C$9*(1+Assumptions!$C$12)^3</f>
        <v>677.6137254</v>
      </c>
      <c r="O764" s="139">
        <f>Assumptions!$C$6*Assumptions!$C$7*(1+$G764-0.05*(1-$J764))^4+Assumptions!$C$6*Assumptions!$C$8*(1+Assumptions!$C$11)^4+Assumptions!$C$16*$J764+Assumptions!$C$6*Assumptions!$C$9*(1+Assumptions!$C$12)^4</f>
        <v>683.753783</v>
      </c>
      <c r="P764" s="139">
        <f>Assumptions!$C$6*Assumptions!$C$7*(1+$G764-0.05*(1-$K764))^5+Assumptions!$C$6*Assumptions!$C$8*(1+Assumptions!$C$11)^5+Assumptions!$C$16*$K764+Assumptions!$C$6*Assumptions!$C$9*(1+Assumptions!$C$12)^5</f>
        <v>842.2464989</v>
      </c>
      <c r="Q764" s="139">
        <f>($L764*(1-(Assumptions!$C$25+0.06*(1-1))-Assumptions!$C$27)-Assumptions!$C$28)-MAX(0,($L764*(1-(Assumptions!$C$25+0.06*(1-1))-Assumptions!$C$27)-Assumptions!$C$28)*Assumptions!$C$31)+Assumptions!$C$28-Assumptions!$C$29-$L764*Assumptions!$C$30</f>
        <v>92.15243038</v>
      </c>
      <c r="R764" s="139">
        <f>($M764*(1-(Assumptions!$C$25+0.06*(1-$H764))-Assumptions!$C$27)-Assumptions!$C$28)-MAX(0,($M764*(1-(Assumptions!$C$25+0.06*(1-$H764))-Assumptions!$C$27)-Assumptions!$C$28)*Assumptions!$C$31)+Assumptions!$C$28-Assumptions!$C$29-$M764*Assumptions!$C$30</f>
        <v>34.47025956</v>
      </c>
      <c r="S764" s="139">
        <f>($N764*(1-(Assumptions!$C$25+0.06*(1-$I764))-Assumptions!$C$27)-Assumptions!$C$28)-MAX(0,($N764*(1-(Assumptions!$C$25+0.06*(1-$I764))-Assumptions!$C$27)-Assumptions!$C$28)*Assumptions!$C$31)+Assumptions!$C$28-Assumptions!$C$29-$N764*Assumptions!$C$30</f>
        <v>35.85115685</v>
      </c>
      <c r="T764" s="139">
        <f>($O764*(1-(Assumptions!$C$25+0.06*(1-$J764))-Assumptions!$C$27)-Assumptions!$C$28)-MAX(0,($O764*(1-(Assumptions!$C$25+0.06*(1-$J764))-Assumptions!$C$27)-Assumptions!$C$28)*Assumptions!$C$31)+Assumptions!$C$28-Assumptions!$C$29-$O764*Assumptions!$C$30</f>
        <v>37.26337008</v>
      </c>
      <c r="U764" s="139">
        <f>($P764*(1-(Assumptions!$C$25+0.06*(1-$K764))-Assumptions!$C$27)-Assumptions!$C$28)-MAX(0,($P764*(1-(Assumptions!$C$25+0.06*(1-$K764))-Assumptions!$C$27)-Assumptions!$C$28)*Assumptions!$C$31)+Assumptions!$C$28-Assumptions!$C$29-$P764*Assumptions!$C$30</f>
        <v>113.5829973</v>
      </c>
      <c r="V764" s="143">
        <f>(($Q764/(1+$D764)^1+$R764/(1+$D764)^2+$S764/(1+$D764)^3+$T764/(1+$D764)^4+$U764/(1+$D764)^5+$U764*(1+$E764)/($D764-$E764)/(1+$D764)^5)-Assumptions!$C$37)/Assumptions!$C$40/Assumptions!$C$38</f>
        <v>4.278919679</v>
      </c>
    </row>
    <row r="765" ht="12.0" customHeight="1">
      <c r="B765" s="139">
        <v>713.0</v>
      </c>
      <c r="C765" s="140">
        <f t="shared" si="6"/>
        <v>0.8813363886</v>
      </c>
      <c r="D765" s="141">
        <f t="shared" si="7"/>
        <v>0.1068409384</v>
      </c>
      <c r="E765" s="141">
        <f t="shared" si="8"/>
        <v>0.02152498259</v>
      </c>
      <c r="F765" s="140">
        <f t="shared" si="9"/>
        <v>0.4732017997</v>
      </c>
      <c r="G765" s="141">
        <f t="shared" si="10"/>
        <v>0.05918498311</v>
      </c>
      <c r="H765" s="142">
        <f t="shared" si="11"/>
        <v>1</v>
      </c>
      <c r="I765" s="142">
        <f t="shared" si="12"/>
        <v>0</v>
      </c>
      <c r="J765" s="142">
        <f t="shared" si="13"/>
        <v>1</v>
      </c>
      <c r="K765" s="142">
        <f t="shared" si="14"/>
        <v>0</v>
      </c>
      <c r="L765" s="139">
        <f>Assumptions!$C$6*Assumptions!$C$7*(1+$G765-0.05*(1-1))^1+Assumptions!$C$6*Assumptions!$C$8*(1+Assumptions!$C$11)^1+Assumptions!$C$16*1+Assumptions!$C$6*Assumptions!$C$9*(1+Assumptions!$C$12)^1</f>
        <v>746.3896653</v>
      </c>
      <c r="M765" s="139">
        <f>Assumptions!$C$6*Assumptions!$C$7*(1+$G765-0.05*(1-$H765))^2+Assumptions!$C$6*Assumptions!$C$8*(1+Assumptions!$C$11)^2+Assumptions!$C$16*$H765+Assumptions!$C$6*Assumptions!$C$9*(1+Assumptions!$C$12)^2</f>
        <v>774.0877541</v>
      </c>
      <c r="N765" s="139">
        <f>Assumptions!$C$6*Assumptions!$C$7*(1+$G765-0.05*(1-$I765))^3+Assumptions!$C$6*Assumptions!$C$8*(1+Assumptions!$C$11)^3+Assumptions!$C$16*$I765+Assumptions!$C$6*Assumptions!$C$9*(1+Assumptions!$C$12)^3</f>
        <v>689.1551147</v>
      </c>
      <c r="O765" s="139">
        <f>Assumptions!$C$6*Assumptions!$C$7*(1+$G765-0.05*(1-$J765))^4+Assumptions!$C$6*Assumptions!$C$8*(1+Assumptions!$C$11)^4+Assumptions!$C$16*$J765+Assumptions!$C$6*Assumptions!$C$9*(1+Assumptions!$C$12)^4</f>
        <v>833.7028639</v>
      </c>
      <c r="P765" s="139">
        <f>Assumptions!$C$6*Assumptions!$C$7*(1+$G765-0.05*(1-$K765))^5+Assumptions!$C$6*Assumptions!$C$8*(1+Assumptions!$C$11)^5+Assumptions!$C$16*$K765+Assumptions!$C$6*Assumptions!$C$9*(1+Assumptions!$C$12)^5</f>
        <v>709.4046475</v>
      </c>
      <c r="Q765" s="139">
        <f>($L765*(1-(Assumptions!$C$25+0.06*(1-1))-Assumptions!$C$27)-Assumptions!$C$28)-MAX(0,($L765*(1-(Assumptions!$C$25+0.06*(1-1))-Assumptions!$C$27)-Assumptions!$C$28)*Assumptions!$C$31)+Assumptions!$C$28-Assumptions!$C$29-$L765*Assumptions!$C$30</f>
        <v>92.97377804</v>
      </c>
      <c r="R765" s="139">
        <f>($M765*(1-(Assumptions!$C$25+0.06*(1-$H765))-Assumptions!$C$27)-Assumptions!$C$28)-MAX(0,($M765*(1-(Assumptions!$C$25+0.06*(1-$H765))-Assumptions!$C$27)-Assumptions!$C$28)*Assumptions!$C$31)+Assumptions!$C$28-Assumptions!$C$29-$M765*Assumptions!$C$30</f>
        <v>98.92886712</v>
      </c>
      <c r="S765" s="139">
        <f>($N765*(1-(Assumptions!$C$25+0.06*(1-$I765))-Assumptions!$C$27)-Assumptions!$C$28)-MAX(0,($N765*(1-(Assumptions!$C$25+0.06*(1-$I765))-Assumptions!$C$27)-Assumptions!$C$28)*Assumptions!$C$31)+Assumptions!$C$28-Assumptions!$C$29-$N765*Assumptions!$C$30</f>
        <v>38.50567637</v>
      </c>
      <c r="T765" s="139">
        <f>($O765*(1-(Assumptions!$C$25+0.06*(1-$J765))-Assumptions!$C$27)-Assumptions!$C$28)-MAX(0,($O765*(1-(Assumptions!$C$25+0.06*(1-$J765))-Assumptions!$C$27)-Assumptions!$C$28)*Assumptions!$C$31)+Assumptions!$C$28-Assumptions!$C$29-$O765*Assumptions!$C$30</f>
        <v>111.7461157</v>
      </c>
      <c r="U765" s="139">
        <f>($P765*(1-(Assumptions!$C$25+0.06*(1-$K765))-Assumptions!$C$27)-Assumptions!$C$28)-MAX(0,($P765*(1-(Assumptions!$C$25+0.06*(1-$K765))-Assumptions!$C$27)-Assumptions!$C$28)*Assumptions!$C$31)+Assumptions!$C$28-Assumptions!$C$29-$P765*Assumptions!$C$30</f>
        <v>43.16306893</v>
      </c>
      <c r="V765" s="143">
        <f>(($Q765/(1+$D765)^1+$R765/(1+$D765)^2+$S765/(1+$D765)^3+$T765/(1+$D765)^4+$U765/(1+$D765)^5+$U765*(1+$E765)/($D765-$E765)/(1+$D765)^5)-Assumptions!$C$37)/Assumptions!$C$40/Assumptions!$C$38</f>
        <v>-0.679031835</v>
      </c>
    </row>
    <row r="766" ht="12.0" customHeight="1">
      <c r="B766" s="139">
        <v>714.0</v>
      </c>
      <c r="C766" s="140">
        <f t="shared" si="6"/>
        <v>0.7805171057</v>
      </c>
      <c r="D766" s="141">
        <f t="shared" si="7"/>
        <v>0.1039036085</v>
      </c>
      <c r="E766" s="141">
        <f t="shared" si="8"/>
        <v>0.0174359284</v>
      </c>
      <c r="F766" s="140">
        <f t="shared" si="9"/>
        <v>0.7971131799</v>
      </c>
      <c r="G766" s="141">
        <f t="shared" si="10"/>
        <v>0.07088989073</v>
      </c>
      <c r="H766" s="142">
        <f t="shared" si="11"/>
        <v>1</v>
      </c>
      <c r="I766" s="142">
        <f t="shared" si="12"/>
        <v>1</v>
      </c>
      <c r="J766" s="142">
        <f t="shared" si="13"/>
        <v>1</v>
      </c>
      <c r="K766" s="142">
        <f t="shared" si="14"/>
        <v>1</v>
      </c>
      <c r="L766" s="139">
        <f>Assumptions!$C$6*Assumptions!$C$7*(1+$G766-0.05*(1-1))^1+Assumptions!$C$6*Assumptions!$C$8*(1+Assumptions!$C$11)^1+Assumptions!$C$16*1+Assumptions!$C$6*Assumptions!$C$9*(1+Assumptions!$C$12)^1</f>
        <v>750.3295372</v>
      </c>
      <c r="M766" s="139">
        <f>Assumptions!$C$6*Assumptions!$C$7*(1+$G766-0.05*(1-$H766))^2+Assumptions!$C$6*Assumptions!$C$8*(1+Assumptions!$C$11)^2+Assumptions!$C$16*$H766+Assumptions!$C$6*Assumptions!$C$9*(1+Assumptions!$C$12)^2</f>
        <v>782.4799762</v>
      </c>
      <c r="N766" s="139">
        <f>Assumptions!$C$6*Assumptions!$C$7*(1+$G766-0.05*(1-$I766))^3+Assumptions!$C$6*Assumptions!$C$8*(1+Assumptions!$C$11)^3+Assumptions!$C$16*$I766+Assumptions!$C$6*Assumptions!$C$9*(1+Assumptions!$C$12)^3</f>
        <v>816.5738174</v>
      </c>
      <c r="O766" s="139">
        <f>Assumptions!$C$6*Assumptions!$C$7*(1+$G766-0.05*(1-$J766))^4+Assumptions!$C$6*Assumptions!$C$8*(1+Assumptions!$C$11)^4+Assumptions!$C$16*$J766+Assumptions!$C$6*Assumptions!$C$9*(1+Assumptions!$C$12)^4</f>
        <v>852.7421135</v>
      </c>
      <c r="P766" s="139">
        <f>Assumptions!$C$6*Assumptions!$C$7*(1+$G766-0.05*(1-$K766))^5+Assumptions!$C$6*Assumptions!$C$8*(1+Assumptions!$C$11)^5+Assumptions!$C$16*$K766+Assumptions!$C$6*Assumptions!$C$9*(1+Assumptions!$C$12)^5</f>
        <v>891.1250734</v>
      </c>
      <c r="Q766" s="139">
        <f>($L766*(1-(Assumptions!$C$25+0.06*(1-1))-Assumptions!$C$27)-Assumptions!$C$28)-MAX(0,($L766*(1-(Assumptions!$C$25+0.06*(1-1))-Assumptions!$C$27)-Assumptions!$C$28)*Assumptions!$C$31)+Assumptions!$C$28-Assumptions!$C$29-$L766*Assumptions!$C$30</f>
        <v>93.8208505</v>
      </c>
      <c r="R766" s="139">
        <f>($M766*(1-(Assumptions!$C$25+0.06*(1-$H766))-Assumptions!$C$27)-Assumptions!$C$28)-MAX(0,($M766*(1-(Assumptions!$C$25+0.06*(1-$H766))-Assumptions!$C$27)-Assumptions!$C$28)*Assumptions!$C$31)+Assumptions!$C$28-Assumptions!$C$29-$M766*Assumptions!$C$30</f>
        <v>100.7331949</v>
      </c>
      <c r="S766" s="139">
        <f>($N766*(1-(Assumptions!$C$25+0.06*(1-$I766))-Assumptions!$C$27)-Assumptions!$C$28)-MAX(0,($N766*(1-(Assumptions!$C$25+0.06*(1-$I766))-Assumptions!$C$27)-Assumptions!$C$28)*Assumptions!$C$31)+Assumptions!$C$28-Assumptions!$C$29-$N766*Assumptions!$C$30</f>
        <v>108.0633707</v>
      </c>
      <c r="T766" s="139">
        <f>($O766*(1-(Assumptions!$C$25+0.06*(1-$J766))-Assumptions!$C$27)-Assumptions!$C$28)-MAX(0,($O766*(1-(Assumptions!$C$25+0.06*(1-$J766))-Assumptions!$C$27)-Assumptions!$C$28)*Assumptions!$C$31)+Assumptions!$C$28-Assumptions!$C$29-$O766*Assumptions!$C$30</f>
        <v>115.8395544</v>
      </c>
      <c r="U766" s="139">
        <f>($P766*(1-(Assumptions!$C$25+0.06*(1-$K766))-Assumptions!$C$27)-Assumptions!$C$28)-MAX(0,($P766*(1-(Assumptions!$C$25+0.06*(1-$K766))-Assumptions!$C$27)-Assumptions!$C$28)*Assumptions!$C$31)+Assumptions!$C$28-Assumptions!$C$29-$P766*Assumptions!$C$30</f>
        <v>124.0918908</v>
      </c>
      <c r="V766" s="143">
        <f>(($Q766/(1+$D766)^1+$R766/(1+$D766)^2+$S766/(1+$D766)^3+$T766/(1+$D766)^4+$U766/(1+$D766)^5+$U766*(1+$E766)/($D766-$E766)/(1+$D766)^5)-Assumptions!$C$37)/Assumptions!$C$40/Assumptions!$C$38</f>
        <v>4.687911361</v>
      </c>
    </row>
    <row r="767" ht="12.0" customHeight="1">
      <c r="B767" s="139">
        <v>715.0</v>
      </c>
      <c r="C767" s="140">
        <f t="shared" si="6"/>
        <v>0.7946854287</v>
      </c>
      <c r="D767" s="141">
        <f t="shared" si="7"/>
        <v>0.1042677367</v>
      </c>
      <c r="E767" s="141">
        <f t="shared" si="8"/>
        <v>0.0264990694</v>
      </c>
      <c r="F767" s="140">
        <f t="shared" si="9"/>
        <v>0.3473860426</v>
      </c>
      <c r="G767" s="141">
        <f t="shared" si="10"/>
        <v>0.05500589684</v>
      </c>
      <c r="H767" s="142">
        <f t="shared" si="11"/>
        <v>1</v>
      </c>
      <c r="I767" s="142">
        <f t="shared" si="12"/>
        <v>1</v>
      </c>
      <c r="J767" s="142">
        <f t="shared" si="13"/>
        <v>0</v>
      </c>
      <c r="K767" s="142">
        <f t="shared" si="14"/>
        <v>1</v>
      </c>
      <c r="L767" s="139">
        <f>Assumptions!$C$6*Assumptions!$C$7*(1+$G767-0.05*(1-1))^1+Assumptions!$C$6*Assumptions!$C$8*(1+Assumptions!$C$11)^1+Assumptions!$C$16*1+Assumptions!$C$6*Assumptions!$C$9*(1+Assumptions!$C$12)^1</f>
        <v>744.9829849</v>
      </c>
      <c r="M767" s="139">
        <f>Assumptions!$C$6*Assumptions!$C$7*(1+$G767-0.05*(1-$H767))^2+Assumptions!$C$6*Assumptions!$C$8*(1+Assumptions!$C$11)^2+Assumptions!$C$16*$H767+Assumptions!$C$6*Assumptions!$C$9*(1+Assumptions!$C$12)^2</f>
        <v>771.1137631</v>
      </c>
      <c r="N767" s="139">
        <f>Assumptions!$C$6*Assumptions!$C$7*(1+$G767-0.05*(1-$I767))^3+Assumptions!$C$6*Assumptions!$C$8*(1+Assumptions!$C$11)^3+Assumptions!$C$16*$I767+Assumptions!$C$6*Assumptions!$C$9*(1+Assumptions!$C$12)^3</f>
        <v>798.4509417</v>
      </c>
      <c r="O767" s="139">
        <f>Assumptions!$C$6*Assumptions!$C$7*(1+$G767-0.05*(1-$J767))^4+Assumptions!$C$6*Assumptions!$C$8*(1+Assumptions!$C$11)^4+Assumptions!$C$16*$J767+Assumptions!$C$6*Assumptions!$C$9*(1+Assumptions!$C$12)^4</f>
        <v>693.4492783</v>
      </c>
      <c r="P767" s="139">
        <f>Assumptions!$C$6*Assumptions!$C$7*(1+$G767-0.05*(1-$K767))^5+Assumptions!$C$6*Assumptions!$C$8*(1+Assumptions!$C$11)^5+Assumptions!$C$16*$K767+Assumptions!$C$6*Assumptions!$C$9*(1+Assumptions!$C$12)^5</f>
        <v>856.9947646</v>
      </c>
      <c r="Q767" s="139">
        <f>($L767*(1-(Assumptions!$C$25+0.06*(1-1))-Assumptions!$C$27)-Assumptions!$C$28)-MAX(0,($L767*(1-(Assumptions!$C$25+0.06*(1-1))-Assumptions!$C$27)-Assumptions!$C$28)*Assumptions!$C$31)+Assumptions!$C$28-Assumptions!$C$29-$L767*Assumptions!$C$30</f>
        <v>92.67134175</v>
      </c>
      <c r="R767" s="139">
        <f>($M767*(1-(Assumptions!$C$25+0.06*(1-$H767))-Assumptions!$C$27)-Assumptions!$C$28)-MAX(0,($M767*(1-(Assumptions!$C$25+0.06*(1-$H767))-Assumptions!$C$27)-Assumptions!$C$28)*Assumptions!$C$31)+Assumptions!$C$28-Assumptions!$C$29-$M767*Assumptions!$C$30</f>
        <v>98.28945907</v>
      </c>
      <c r="S767" s="139">
        <f>($N767*(1-(Assumptions!$C$25+0.06*(1-$I767))-Assumptions!$C$27)-Assumptions!$C$28)-MAX(0,($N767*(1-(Assumptions!$C$25+0.06*(1-$I767))-Assumptions!$C$27)-Assumptions!$C$28)*Assumptions!$C$31)+Assumptions!$C$28-Assumptions!$C$29-$N767*Assumptions!$C$30</f>
        <v>104.1669525</v>
      </c>
      <c r="T767" s="139">
        <f>($O767*(1-(Assumptions!$C$25+0.06*(1-$J767))-Assumptions!$C$27)-Assumptions!$C$28)-MAX(0,($O767*(1-(Assumptions!$C$25+0.06*(1-$J767))-Assumptions!$C$27)-Assumptions!$C$28)*Assumptions!$C$31)+Assumptions!$C$28-Assumptions!$C$29-$O767*Assumptions!$C$30</f>
        <v>39.49333401</v>
      </c>
      <c r="U767" s="139">
        <f>($P767*(1-(Assumptions!$C$25+0.06*(1-$K767))-Assumptions!$C$27)-Assumptions!$C$28)-MAX(0,($P767*(1-(Assumptions!$C$25+0.06*(1-$K767))-Assumptions!$C$27)-Assumptions!$C$28)*Assumptions!$C$31)+Assumptions!$C$28-Assumptions!$C$29-$P767*Assumptions!$C$30</f>
        <v>116.7538744</v>
      </c>
      <c r="V767" s="143">
        <f>(($Q767/(1+$D767)^1+$R767/(1+$D767)^2+$S767/(1+$D767)^3+$T767/(1+$D767)^4+$U767/(1+$D767)^5+$U767*(1+$E767)/($D767-$E767)/(1+$D767)^5)-Assumptions!$C$37)/Assumptions!$C$40/Assumptions!$C$38</f>
        <v>4.576162789</v>
      </c>
    </row>
    <row r="768" ht="12.0" customHeight="1">
      <c r="B768" s="139">
        <v>716.0</v>
      </c>
      <c r="C768" s="140">
        <f t="shared" si="6"/>
        <v>0.6565470578</v>
      </c>
      <c r="D768" s="141">
        <f t="shared" si="7"/>
        <v>0.1011191823</v>
      </c>
      <c r="E768" s="141">
        <f t="shared" si="8"/>
        <v>0.02077584332</v>
      </c>
      <c r="F768" s="140">
        <f t="shared" si="9"/>
        <v>0.0596009704</v>
      </c>
      <c r="G768" s="141">
        <f t="shared" si="10"/>
        <v>0.04035769022</v>
      </c>
      <c r="H768" s="142">
        <f t="shared" si="11"/>
        <v>0</v>
      </c>
      <c r="I768" s="142">
        <f t="shared" si="12"/>
        <v>0</v>
      </c>
      <c r="J768" s="142">
        <f t="shared" si="13"/>
        <v>0</v>
      </c>
      <c r="K768" s="142">
        <f t="shared" si="14"/>
        <v>1</v>
      </c>
      <c r="L768" s="139">
        <f>Assumptions!$C$6*Assumptions!$C$7*(1+$G768-0.05*(1-1))^1+Assumptions!$C$6*Assumptions!$C$8*(1+Assumptions!$C$11)^1+Assumptions!$C$16*1+Assumptions!$C$6*Assumptions!$C$9*(1+Assumptions!$C$12)^1</f>
        <v>740.0523985</v>
      </c>
      <c r="M768" s="139">
        <f>Assumptions!$C$6*Assumptions!$C$7*(1+$G768-0.05*(1-$H768))^2+Assumptions!$C$6*Assumptions!$C$8*(1+Assumptions!$C$11)^2+Assumptions!$C$16*$H768+Assumptions!$C$6*Assumptions!$C$9*(1+Assumptions!$C$12)^2</f>
        <v>666.6054522</v>
      </c>
      <c r="N768" s="139">
        <f>Assumptions!$C$6*Assumptions!$C$7*(1+$G768-0.05*(1-$I768))^3+Assumptions!$C$6*Assumptions!$C$8*(1+Assumptions!$C$11)^3+Assumptions!$C$16*$I768+Assumptions!$C$6*Assumptions!$C$9*(1+Assumptions!$C$12)^3</f>
        <v>670.1514463</v>
      </c>
      <c r="O768" s="139">
        <f>Assumptions!$C$6*Assumptions!$C$7*(1+$G768-0.05*(1-$J768))^4+Assumptions!$C$6*Assumptions!$C$8*(1+Assumptions!$C$11)^4+Assumptions!$C$16*$J768+Assumptions!$C$6*Assumptions!$C$9*(1+Assumptions!$C$12)^4</f>
        <v>673.8627211</v>
      </c>
      <c r="P768" s="139">
        <f>Assumptions!$C$6*Assumptions!$C$7*(1+$G768-0.05*(1-$K768))^5+Assumptions!$C$6*Assumptions!$C$8*(1+Assumptions!$C$11)^5+Assumptions!$C$16*$K768+Assumptions!$C$6*Assumptions!$C$9*(1+Assumptions!$C$12)^5</f>
        <v>827.2898295</v>
      </c>
      <c r="Q768" s="139">
        <f>($L768*(1-(Assumptions!$C$25+0.06*(1-1))-Assumptions!$C$27)-Assumptions!$C$28)-MAX(0,($L768*(1-(Assumptions!$C$25+0.06*(1-1))-Assumptions!$C$27)-Assumptions!$C$28)*Assumptions!$C$31)+Assumptions!$C$28-Assumptions!$C$29-$L768*Assumptions!$C$30</f>
        <v>91.61126568</v>
      </c>
      <c r="R768" s="139">
        <f>($M768*(1-(Assumptions!$C$25+0.06*(1-$H768))-Assumptions!$C$27)-Assumptions!$C$28)-MAX(0,($M768*(1-(Assumptions!$C$25+0.06*(1-$H768))-Assumptions!$C$27)-Assumptions!$C$28)*Assumptions!$C$31)+Assumptions!$C$28-Assumptions!$C$29-$M768*Assumptions!$C$30</f>
        <v>33.31925399</v>
      </c>
      <c r="S768" s="139">
        <f>($N768*(1-(Assumptions!$C$25+0.06*(1-$I768))-Assumptions!$C$27)-Assumptions!$C$28)-MAX(0,($N768*(1-(Assumptions!$C$25+0.06*(1-$I768))-Assumptions!$C$27)-Assumptions!$C$28)*Assumptions!$C$31)+Assumptions!$C$28-Assumptions!$C$29-$N768*Assumptions!$C$30</f>
        <v>34.13483265</v>
      </c>
      <c r="T768" s="139">
        <f>($O768*(1-(Assumptions!$C$25+0.06*(1-$J768))-Assumptions!$C$27)-Assumptions!$C$28)-MAX(0,($O768*(1-(Assumptions!$C$25+0.06*(1-$J768))-Assumptions!$C$27)-Assumptions!$C$28)*Assumptions!$C$31)+Assumptions!$C$28-Assumptions!$C$29-$O768*Assumptions!$C$30</f>
        <v>34.98842585</v>
      </c>
      <c r="U768" s="139">
        <f>($P768*(1-(Assumptions!$C$25+0.06*(1-$K768))-Assumptions!$C$27)-Assumptions!$C$28)-MAX(0,($P768*(1-(Assumptions!$C$25+0.06*(1-$K768))-Assumptions!$C$27)-Assumptions!$C$28)*Assumptions!$C$31)+Assumptions!$C$28-Assumptions!$C$29-$P768*Assumptions!$C$30</f>
        <v>110.3673134</v>
      </c>
      <c r="V768" s="143">
        <f>(($Q768/(1+$D768)^1+$R768/(1+$D768)^2+$S768/(1+$D768)^3+$T768/(1+$D768)^4+$U768/(1+$D768)^5+$U768*(1+$E768)/($D768-$E768)/(1+$D768)^5)-Assumptions!$C$37)/Assumptions!$C$40/Assumptions!$C$38</f>
        <v>3.143369645</v>
      </c>
    </row>
    <row r="769" ht="12.0" customHeight="1">
      <c r="B769" s="139">
        <v>717.0</v>
      </c>
      <c r="C769" s="140">
        <f t="shared" si="6"/>
        <v>0.18889291</v>
      </c>
      <c r="D769" s="141">
        <f t="shared" si="7"/>
        <v>0.09300216824</v>
      </c>
      <c r="E769" s="141">
        <f t="shared" si="8"/>
        <v>0.01697851574</v>
      </c>
      <c r="F769" s="140">
        <f t="shared" si="9"/>
        <v>0.8568571575</v>
      </c>
      <c r="G769" s="141">
        <f t="shared" si="10"/>
        <v>0.07394829864</v>
      </c>
      <c r="H769" s="142">
        <f t="shared" si="11"/>
        <v>0</v>
      </c>
      <c r="I769" s="142">
        <f t="shared" si="12"/>
        <v>1</v>
      </c>
      <c r="J769" s="142">
        <f t="shared" si="13"/>
        <v>0</v>
      </c>
      <c r="K769" s="142">
        <f t="shared" si="14"/>
        <v>1</v>
      </c>
      <c r="L769" s="139">
        <f>Assumptions!$C$6*Assumptions!$C$7*(1+$G769-0.05*(1-1))^1+Assumptions!$C$6*Assumptions!$C$8*(1+Assumptions!$C$11)^1+Assumptions!$C$16*1+Assumptions!$C$6*Assumptions!$C$9*(1+Assumptions!$C$12)^1</f>
        <v>751.3589973</v>
      </c>
      <c r="M769" s="139">
        <f>Assumptions!$C$6*Assumptions!$C$7*(1+$G769-0.05*(1-$H769))^2+Assumptions!$C$6*Assumptions!$C$8*(1+Assumptions!$C$11)^2+Assumptions!$C$16*$H769+Assumptions!$C$6*Assumptions!$C$9*(1+Assumptions!$C$12)^2</f>
        <v>689.3804018</v>
      </c>
      <c r="N769" s="139">
        <f>Assumptions!$C$6*Assumptions!$C$7*(1+$G769-0.05*(1-$I769))^3+Assumptions!$C$6*Assumptions!$C$8*(1+Assumptions!$C$11)^3+Assumptions!$C$16*$I769+Assumptions!$C$6*Assumptions!$C$9*(1+Assumptions!$C$12)^3</f>
        <v>820.1257126</v>
      </c>
      <c r="O769" s="139">
        <f>Assumptions!$C$6*Assumptions!$C$7*(1+$G769-0.05*(1-$J769))^4+Assumptions!$C$6*Assumptions!$C$8*(1+Assumptions!$C$11)^4+Assumptions!$C$16*$J769+Assumptions!$C$6*Assumptions!$C$9*(1+Assumptions!$C$12)^4</f>
        <v>720.0794362</v>
      </c>
      <c r="P769" s="139">
        <f>Assumptions!$C$6*Assumptions!$C$7*(1+$G769-0.05*(1-$K769))^5+Assumptions!$C$6*Assumptions!$C$8*(1+Assumptions!$C$11)^5+Assumptions!$C$16*$K769+Assumptions!$C$6*Assumptions!$C$9*(1+Assumptions!$C$12)^5</f>
        <v>897.9333853</v>
      </c>
      <c r="Q769" s="139">
        <f>($L769*(1-(Assumptions!$C$25+0.06*(1-1))-Assumptions!$C$27)-Assumptions!$C$28)-MAX(0,($L769*(1-(Assumptions!$C$25+0.06*(1-1))-Assumptions!$C$27)-Assumptions!$C$28)*Assumptions!$C$31)+Assumptions!$C$28-Assumptions!$C$29-$L769*Assumptions!$C$30</f>
        <v>94.04218442</v>
      </c>
      <c r="R769" s="139">
        <f>($M769*(1-(Assumptions!$C$25+0.06*(1-$H769))-Assumptions!$C$27)-Assumptions!$C$28)-MAX(0,($M769*(1-(Assumptions!$C$25+0.06*(1-$H769))-Assumptions!$C$27)-Assumptions!$C$28)*Assumptions!$C$31)+Assumptions!$C$28-Assumptions!$C$29-$M769*Assumptions!$C$30</f>
        <v>38.55749242</v>
      </c>
      <c r="S769" s="139">
        <f>($N769*(1-(Assumptions!$C$25+0.06*(1-$I769))-Assumptions!$C$27)-Assumptions!$C$28)-MAX(0,($N769*(1-(Assumptions!$C$25+0.06*(1-$I769))-Assumptions!$C$27)-Assumptions!$C$28)*Assumptions!$C$31)+Assumptions!$C$28-Assumptions!$C$29-$N769*Assumptions!$C$30</f>
        <v>108.8270282</v>
      </c>
      <c r="T769" s="139">
        <f>($O769*(1-(Assumptions!$C$25+0.06*(1-$J769))-Assumptions!$C$27)-Assumptions!$C$28)-MAX(0,($O769*(1-(Assumptions!$C$25+0.06*(1-$J769))-Assumptions!$C$27)-Assumptions!$C$28)*Assumptions!$C$31)+Assumptions!$C$28-Assumptions!$C$29-$O769*Assumptions!$C$30</f>
        <v>45.61827032</v>
      </c>
      <c r="U769" s="139">
        <f>($P769*(1-(Assumptions!$C$25+0.06*(1-$K769))-Assumptions!$C$27)-Assumptions!$C$28)-MAX(0,($P769*(1-(Assumptions!$C$25+0.06*(1-$K769))-Assumptions!$C$27)-Assumptions!$C$28)*Assumptions!$C$31)+Assumptions!$C$28-Assumptions!$C$29-$P769*Assumptions!$C$30</f>
        <v>125.5556778</v>
      </c>
      <c r="V769" s="143">
        <f>(($Q769/(1+$D769)^1+$R769/(1+$D769)^2+$S769/(1+$D769)^3+$T769/(1+$D769)^4+$U769/(1+$D769)^5+$U769*(1+$E769)/($D769-$E769)/(1+$D769)^5)-Assumptions!$C$37)/Assumptions!$C$40/Assumptions!$C$38</f>
        <v>5.455826897</v>
      </c>
    </row>
    <row r="770" ht="12.0" customHeight="1">
      <c r="B770" s="139">
        <v>718.0</v>
      </c>
      <c r="C770" s="140">
        <f t="shared" si="6"/>
        <v>0.02643301818</v>
      </c>
      <c r="D770" s="141">
        <f t="shared" si="7"/>
        <v>0.08799345839</v>
      </c>
      <c r="E770" s="141">
        <f t="shared" si="8"/>
        <v>0.0283066435</v>
      </c>
      <c r="F770" s="140">
        <f t="shared" si="9"/>
        <v>0.2114581437</v>
      </c>
      <c r="G770" s="141">
        <f t="shared" si="10"/>
        <v>0.04950960427</v>
      </c>
      <c r="H770" s="142">
        <f t="shared" si="11"/>
        <v>1</v>
      </c>
      <c r="I770" s="142">
        <f t="shared" si="12"/>
        <v>0</v>
      </c>
      <c r="J770" s="142">
        <f t="shared" si="13"/>
        <v>0</v>
      </c>
      <c r="K770" s="142">
        <f t="shared" si="14"/>
        <v>1</v>
      </c>
      <c r="L770" s="139">
        <f>Assumptions!$C$6*Assumptions!$C$7*(1+$G770-0.05*(1-1))^1+Assumptions!$C$6*Assumptions!$C$8*(1+Assumptions!$C$11)^1+Assumptions!$C$16*1+Assumptions!$C$6*Assumptions!$C$9*(1+Assumptions!$C$12)^1</f>
        <v>743.1329328</v>
      </c>
      <c r="M770" s="139">
        <f>Assumptions!$C$6*Assumptions!$C$7*(1+$G770-0.05*(1-$H770))^2+Assumptions!$C$6*Assumptions!$C$8*(1+Assumptions!$C$11)^2+Assumptions!$C$16*$H770+Assumptions!$C$6*Assumptions!$C$9*(1+Assumptions!$C$12)^2</f>
        <v>767.2202998</v>
      </c>
      <c r="N770" s="139">
        <f>Assumptions!$C$6*Assumptions!$C$7*(1+$G770-0.05*(1-$I770))^3+Assumptions!$C$6*Assumptions!$C$8*(1+Assumptions!$C$11)^3+Assumptions!$C$16*$I770+Assumptions!$C$6*Assumptions!$C$9*(1+Assumptions!$C$12)^3</f>
        <v>679.2997084</v>
      </c>
      <c r="O770" s="139">
        <f>Assumptions!$C$6*Assumptions!$C$7*(1+$G770-0.05*(1-$J770))^4+Assumptions!$C$6*Assumptions!$C$8*(1+Assumptions!$C$11)^4+Assumptions!$C$16*$J770+Assumptions!$C$6*Assumptions!$C$9*(1+Assumptions!$C$12)^4</f>
        <v>685.9987773</v>
      </c>
      <c r="P770" s="139">
        <f>Assumptions!$C$6*Assumptions!$C$7*(1+$G770-0.05*(1-$K770))^5+Assumptions!$C$6*Assumptions!$C$8*(1+Assumptions!$C$11)^5+Assumptions!$C$16*$K770+Assumptions!$C$6*Assumptions!$C$9*(1+Assumptions!$C$12)^5</f>
        <v>845.6538412</v>
      </c>
      <c r="Q770" s="139">
        <f>($L770*(1-(Assumptions!$C$25+0.06*(1-1))-Assumptions!$C$27)-Assumptions!$C$28)-MAX(0,($L770*(1-(Assumptions!$C$25+0.06*(1-1))-Assumptions!$C$27)-Assumptions!$C$28)*Assumptions!$C$31)+Assumptions!$C$28-Assumptions!$C$29-$L770*Assumptions!$C$30</f>
        <v>92.27358055</v>
      </c>
      <c r="R770" s="139">
        <f>($M770*(1-(Assumptions!$C$25+0.06*(1-$H770))-Assumptions!$C$27)-Assumptions!$C$28)-MAX(0,($M770*(1-(Assumptions!$C$25+0.06*(1-$H770))-Assumptions!$C$27)-Assumptions!$C$28)*Assumptions!$C$31)+Assumptions!$C$28-Assumptions!$C$29-$M770*Assumptions!$C$30</f>
        <v>97.45236446</v>
      </c>
      <c r="S770" s="139">
        <f>($N770*(1-(Assumptions!$C$25+0.06*(1-$I770))-Assumptions!$C$27)-Assumptions!$C$28)-MAX(0,($N770*(1-(Assumptions!$C$25+0.06*(1-$I770))-Assumptions!$C$27)-Assumptions!$C$28)*Assumptions!$C$31)+Assumptions!$C$28-Assumptions!$C$29-$N770*Assumptions!$C$30</f>
        <v>36.23893293</v>
      </c>
      <c r="T770" s="139">
        <f>($O770*(1-(Assumptions!$C$25+0.06*(1-$J770))-Assumptions!$C$27)-Assumptions!$C$28)-MAX(0,($O770*(1-(Assumptions!$C$25+0.06*(1-$J770))-Assumptions!$C$27)-Assumptions!$C$28)*Assumptions!$C$31)+Assumptions!$C$28-Assumptions!$C$29-$O770*Assumptions!$C$30</f>
        <v>37.77971877</v>
      </c>
      <c r="U770" s="139">
        <f>($P770*(1-(Assumptions!$C$25+0.06*(1-$K770))-Assumptions!$C$27)-Assumptions!$C$28)-MAX(0,($P770*(1-(Assumptions!$C$25+0.06*(1-$K770))-Assumptions!$C$27)-Assumptions!$C$28)*Assumptions!$C$31)+Assumptions!$C$28-Assumptions!$C$29-$P770*Assumptions!$C$30</f>
        <v>114.3155759</v>
      </c>
      <c r="V770" s="143">
        <f>(($Q770/(1+$D770)^1+$R770/(1+$D770)^2+$S770/(1+$D770)^3+$T770/(1+$D770)^4+$U770/(1+$D770)^5+$U770*(1+$E770)/($D770-$E770)/(1+$D770)^5)-Assumptions!$C$37)/Assumptions!$C$40/Assumptions!$C$38</f>
        <v>7.003205907</v>
      </c>
    </row>
    <row r="771" ht="12.0" customHeight="1">
      <c r="B771" s="139">
        <v>719.0</v>
      </c>
      <c r="C771" s="140">
        <f t="shared" si="6"/>
        <v>0.04002696513</v>
      </c>
      <c r="D771" s="141">
        <f t="shared" si="7"/>
        <v>0.08868363152</v>
      </c>
      <c r="E771" s="141">
        <f t="shared" si="8"/>
        <v>0.0210945657</v>
      </c>
      <c r="F771" s="140">
        <f t="shared" si="9"/>
        <v>0.2974687393</v>
      </c>
      <c r="G771" s="141">
        <f t="shared" si="10"/>
        <v>0.0531396571</v>
      </c>
      <c r="H771" s="142">
        <f t="shared" si="11"/>
        <v>0</v>
      </c>
      <c r="I771" s="142">
        <f t="shared" si="12"/>
        <v>0</v>
      </c>
      <c r="J771" s="142">
        <f t="shared" si="13"/>
        <v>1</v>
      </c>
      <c r="K771" s="142">
        <f t="shared" si="14"/>
        <v>0</v>
      </c>
      <c r="L771" s="139">
        <f>Assumptions!$C$6*Assumptions!$C$7*(1+$G771-0.05*(1-1))^1+Assumptions!$C$6*Assumptions!$C$8*(1+Assumptions!$C$11)^1+Assumptions!$C$16*1+Assumptions!$C$6*Assumptions!$C$9*(1+Assumptions!$C$12)^1</f>
        <v>744.3548086</v>
      </c>
      <c r="M771" s="139">
        <f>Assumptions!$C$6*Assumptions!$C$7*(1+$G771-0.05*(1-$H771))^2+Assumptions!$C$6*Assumptions!$C$8*(1+Assumptions!$C$11)^2+Assumptions!$C$16*$H771+Assumptions!$C$6*Assumptions!$C$9*(1+Assumptions!$C$12)^2</f>
        <v>675.1822952</v>
      </c>
      <c r="N771" s="139">
        <f>Assumptions!$C$6*Assumptions!$C$7*(1+$G771-0.05*(1-$I771))^3+Assumptions!$C$6*Assumptions!$C$8*(1+Assumptions!$C$11)^3+Assumptions!$C$16*$I771+Assumptions!$C$6*Assumptions!$C$9*(1+Assumptions!$C$12)^3</f>
        <v>682.9750574</v>
      </c>
      <c r="O771" s="139">
        <f>Assumptions!$C$6*Assumptions!$C$7*(1+$G771-0.05*(1-$J771))^4+Assumptions!$C$6*Assumptions!$C$8*(1+Assumptions!$C$11)^4+Assumptions!$C$16*$J771+Assumptions!$C$6*Assumptions!$C$9*(1+Assumptions!$C$12)^4</f>
        <v>824.1135089</v>
      </c>
      <c r="P771" s="139">
        <f>Assumptions!$C$6*Assumptions!$C$7*(1+$G771-0.05*(1-$K771))^5+Assumptions!$C$6*Assumptions!$C$8*(1+Assumptions!$C$11)^5+Assumptions!$C$16*$K771+Assumptions!$C$6*Assumptions!$C$9*(1+Assumptions!$C$12)^5</f>
        <v>698.9770592</v>
      </c>
      <c r="Q771" s="139">
        <f>($L771*(1-(Assumptions!$C$25+0.06*(1-1))-Assumptions!$C$27)-Assumptions!$C$28)-MAX(0,($L771*(1-(Assumptions!$C$25+0.06*(1-1))-Assumptions!$C$27)-Assumptions!$C$28)*Assumptions!$C$31)+Assumptions!$C$28-Assumptions!$C$29-$L771*Assumptions!$C$30</f>
        <v>92.53628384</v>
      </c>
      <c r="R771" s="139">
        <f>($M771*(1-(Assumptions!$C$25+0.06*(1-$H771))-Assumptions!$C$27)-Assumptions!$C$28)-MAX(0,($M771*(1-(Assumptions!$C$25+0.06*(1-$H771))-Assumptions!$C$27)-Assumptions!$C$28)*Assumptions!$C$31)+Assumptions!$C$28-Assumptions!$C$29-$M771*Assumptions!$C$30</f>
        <v>35.29192789</v>
      </c>
      <c r="S771" s="139">
        <f>($N771*(1-(Assumptions!$C$25+0.06*(1-$I771))-Assumptions!$C$27)-Assumptions!$C$28)-MAX(0,($N771*(1-(Assumptions!$C$25+0.06*(1-$I771))-Assumptions!$C$27)-Assumptions!$C$28)*Assumptions!$C$31)+Assumptions!$C$28-Assumptions!$C$29-$N771*Assumptions!$C$30</f>
        <v>37.0842632</v>
      </c>
      <c r="T771" s="139">
        <f>($O771*(1-(Assumptions!$C$25+0.06*(1-$J771))-Assumptions!$C$27)-Assumptions!$C$28)-MAX(0,($O771*(1-(Assumptions!$C$25+0.06*(1-$J771))-Assumptions!$C$27)-Assumptions!$C$28)*Assumptions!$C$31)+Assumptions!$C$28-Assumptions!$C$29-$O771*Assumptions!$C$30</f>
        <v>109.6844044</v>
      </c>
      <c r="U771" s="139">
        <f>($P771*(1-(Assumptions!$C$25+0.06*(1-$K771))-Assumptions!$C$27)-Assumptions!$C$28)-MAX(0,($P771*(1-(Assumptions!$C$25+0.06*(1-$K771))-Assumptions!$C$27)-Assumptions!$C$28)*Assumptions!$C$31)+Assumptions!$C$28-Assumptions!$C$29-$P771*Assumptions!$C$30</f>
        <v>40.76472361</v>
      </c>
      <c r="V771" s="143">
        <f>(($Q771/(1+$D771)^1+$R771/(1+$D771)^2+$S771/(1+$D771)^3+$T771/(1+$D771)^4+$U771/(1+$D771)^5+$U771*(1+$E771)/($D771-$E771)/(1+$D771)^5)-Assumptions!$C$37)/Assumptions!$C$40/Assumptions!$C$38</f>
        <v>-0.3181348957</v>
      </c>
    </row>
    <row r="772" ht="12.0" customHeight="1">
      <c r="B772" s="139">
        <v>720.0</v>
      </c>
      <c r="C772" s="140">
        <f t="shared" si="6"/>
        <v>0.3637741976</v>
      </c>
      <c r="D772" s="141">
        <f t="shared" si="7"/>
        <v>0.09610492922</v>
      </c>
      <c r="E772" s="141">
        <f t="shared" si="8"/>
        <v>0.01154170495</v>
      </c>
      <c r="F772" s="140">
        <f t="shared" si="9"/>
        <v>0.9691122449</v>
      </c>
      <c r="G772" s="141">
        <f t="shared" si="10"/>
        <v>0.08254359609</v>
      </c>
      <c r="H772" s="142">
        <f t="shared" si="11"/>
        <v>0</v>
      </c>
      <c r="I772" s="142">
        <f t="shared" si="12"/>
        <v>0</v>
      </c>
      <c r="J772" s="142">
        <f t="shared" si="13"/>
        <v>1</v>
      </c>
      <c r="K772" s="142">
        <f t="shared" si="14"/>
        <v>0</v>
      </c>
      <c r="L772" s="139">
        <f>Assumptions!$C$6*Assumptions!$C$7*(1+$G772-0.05*(1-1))^1+Assumptions!$C$6*Assumptions!$C$8*(1+Assumptions!$C$11)^1+Assumptions!$C$16*1+Assumptions!$C$6*Assumptions!$C$9*(1+Assumptions!$C$12)^1</f>
        <v>754.2521744</v>
      </c>
      <c r="M772" s="139">
        <f>Assumptions!$C$6*Assumptions!$C$7*(1+$G772-0.05*(1-$H772))^2+Assumptions!$C$6*Assumptions!$C$8*(1+Assumptions!$C$11)^2+Assumptions!$C$16*$H772+Assumptions!$C$6*Assumptions!$C$9*(1+Assumptions!$C$12)^2</f>
        <v>695.3301971</v>
      </c>
      <c r="N772" s="139">
        <f>Assumptions!$C$6*Assumptions!$C$7*(1+$G772-0.05*(1-$I772))^3+Assumptions!$C$6*Assumptions!$C$8*(1+Assumptions!$C$11)^3+Assumptions!$C$16*$I772+Assumptions!$C$6*Assumptions!$C$9*(1+Assumptions!$C$12)^3</f>
        <v>713.7382566</v>
      </c>
      <c r="O772" s="139">
        <f>Assumptions!$C$6*Assumptions!$C$7*(1+$G772-0.05*(1-$J772))^4+Assumptions!$C$6*Assumptions!$C$8*(1+Assumptions!$C$11)^4+Assumptions!$C$16*$J772+Assumptions!$C$6*Assumptions!$C$9*(1+Assumptions!$C$12)^4</f>
        <v>872.3285422</v>
      </c>
      <c r="P772" s="139">
        <f>Assumptions!$C$6*Assumptions!$C$7*(1+$G772-0.05*(1-$K772))^5+Assumptions!$C$6*Assumptions!$C$8*(1+Assumptions!$C$11)^5+Assumptions!$C$16*$K772+Assumptions!$C$6*Assumptions!$C$9*(1+Assumptions!$C$12)^5</f>
        <v>752.1134004</v>
      </c>
      <c r="Q772" s="139">
        <f>($L772*(1-(Assumptions!$C$25+0.06*(1-1))-Assumptions!$C$27)-Assumptions!$C$28)-MAX(0,($L772*(1-(Assumptions!$C$25+0.06*(1-1))-Assumptions!$C$27)-Assumptions!$C$28)*Assumptions!$C$31)+Assumptions!$C$28-Assumptions!$C$29-$L772*Assumptions!$C$30</f>
        <v>94.66421751</v>
      </c>
      <c r="R772" s="139">
        <f>($M772*(1-(Assumptions!$C$25+0.06*(1-$H772))-Assumptions!$C$27)-Assumptions!$C$28)-MAX(0,($M772*(1-(Assumptions!$C$25+0.06*(1-$H772))-Assumptions!$C$27)-Assumptions!$C$28)*Assumptions!$C$31)+Assumptions!$C$28-Assumptions!$C$29-$M772*Assumptions!$C$30</f>
        <v>39.92594534</v>
      </c>
      <c r="S772" s="139">
        <f>($N772*(1-(Assumptions!$C$25+0.06*(1-$I772))-Assumptions!$C$27)-Assumptions!$C$28)-MAX(0,($N772*(1-(Assumptions!$C$25+0.06*(1-$I772))-Assumptions!$C$27)-Assumptions!$C$28)*Assumptions!$C$31)+Assumptions!$C$28-Assumptions!$C$29-$N772*Assumptions!$C$30</f>
        <v>44.15979902</v>
      </c>
      <c r="T772" s="139">
        <f>($O772*(1-(Assumptions!$C$25+0.06*(1-$J772))-Assumptions!$C$27)-Assumptions!$C$28)-MAX(0,($O772*(1-(Assumptions!$C$25+0.06*(1-$J772))-Assumptions!$C$27)-Assumptions!$C$28)*Assumptions!$C$31)+Assumptions!$C$28-Assumptions!$C$29-$O772*Assumptions!$C$30</f>
        <v>120.0506366</v>
      </c>
      <c r="U772" s="139">
        <f>($P772*(1-(Assumptions!$C$25+0.06*(1-$K772))-Assumptions!$C$27)-Assumptions!$C$28)-MAX(0,($P772*(1-(Assumptions!$C$25+0.06*(1-$K772))-Assumptions!$C$27)-Assumptions!$C$28)*Assumptions!$C$31)+Assumptions!$C$28-Assumptions!$C$29-$P772*Assumptions!$C$30</f>
        <v>52.98608209</v>
      </c>
      <c r="V772" s="143">
        <f>(($Q772/(1+$D772)^1+$R772/(1+$D772)^2+$S772/(1+$D772)^3+$T772/(1+$D772)^4+$U772/(1+$D772)^5+$U772*(1+$E772)/($D772-$E772)/(1+$D772)^5)-Assumptions!$C$37)/Assumptions!$C$40/Assumptions!$C$38</f>
        <v>-0.1663918294</v>
      </c>
    </row>
    <row r="773" ht="12.0" customHeight="1">
      <c r="B773" s="139">
        <v>721.0</v>
      </c>
      <c r="C773" s="140">
        <f t="shared" si="6"/>
        <v>0.006129248951</v>
      </c>
      <c r="D773" s="141">
        <f t="shared" si="7"/>
        <v>0.08644146294</v>
      </c>
      <c r="E773" s="141">
        <f t="shared" si="8"/>
        <v>0.02176053376</v>
      </c>
      <c r="F773" s="140">
        <f t="shared" si="9"/>
        <v>0.5028491215</v>
      </c>
      <c r="G773" s="141">
        <f t="shared" si="10"/>
        <v>0.06008559576</v>
      </c>
      <c r="H773" s="142">
        <f t="shared" si="11"/>
        <v>0</v>
      </c>
      <c r="I773" s="142">
        <f t="shared" si="12"/>
        <v>1</v>
      </c>
      <c r="J773" s="142">
        <f t="shared" si="13"/>
        <v>1</v>
      </c>
      <c r="K773" s="142">
        <f t="shared" si="14"/>
        <v>0</v>
      </c>
      <c r="L773" s="139">
        <f>Assumptions!$C$6*Assumptions!$C$7*(1+$G773-0.05*(1-1))^1+Assumptions!$C$6*Assumptions!$C$8*(1+Assumptions!$C$11)^1+Assumptions!$C$16*1+Assumptions!$C$6*Assumptions!$C$9*(1+Assumptions!$C$12)^1</f>
        <v>746.6928115</v>
      </c>
      <c r="M773" s="139">
        <f>Assumptions!$C$6*Assumptions!$C$7*(1+$G773-0.05*(1-$H773))^2+Assumptions!$C$6*Assumptions!$C$8*(1+Assumptions!$C$11)^2+Assumptions!$C$16*$H773+Assumptions!$C$6*Assumptions!$C$9*(1+Assumptions!$C$12)^2</f>
        <v>679.8892218</v>
      </c>
      <c r="N773" s="139">
        <f>Assumptions!$C$6*Assumptions!$C$7*(1+$G773-0.05*(1-$I773))^3+Assumptions!$C$6*Assumptions!$C$8*(1+Assumptions!$C$11)^3+Assumptions!$C$16*$I773+Assumptions!$C$6*Assumptions!$C$9*(1+Assumptions!$C$12)^3</f>
        <v>804.1877786</v>
      </c>
      <c r="O773" s="139">
        <f>Assumptions!$C$6*Assumptions!$C$7*(1+$G773-0.05*(1-$J773))^4+Assumptions!$C$6*Assumptions!$C$8*(1+Assumptions!$C$11)^4+Assumptions!$C$16*$J773+Assumptions!$C$6*Assumptions!$C$9*(1+Assumptions!$C$12)^4</f>
        <v>835.1455819</v>
      </c>
      <c r="P773" s="139">
        <f>Assumptions!$C$6*Assumptions!$C$7*(1+$G773-0.05*(1-$K773))^5+Assumptions!$C$6*Assumptions!$C$8*(1+Assumptions!$C$11)^5+Assumptions!$C$16*$K773+Assumptions!$C$6*Assumptions!$C$9*(1+Assumptions!$C$12)^5</f>
        <v>710.979647</v>
      </c>
      <c r="Q773" s="139">
        <f>($L773*(1-(Assumptions!$C$25+0.06*(1-1))-Assumptions!$C$27)-Assumptions!$C$28)-MAX(0,($L773*(1-(Assumptions!$C$25+0.06*(1-1))-Assumptions!$C$27)-Assumptions!$C$28)*Assumptions!$C$31)+Assumptions!$C$28-Assumptions!$C$29-$L773*Assumptions!$C$30</f>
        <v>93.03895448</v>
      </c>
      <c r="R773" s="139">
        <f>($M773*(1-(Assumptions!$C$25+0.06*(1-$H773))-Assumptions!$C$27)-Assumptions!$C$28)-MAX(0,($M773*(1-(Assumptions!$C$25+0.06*(1-$H773))-Assumptions!$C$27)-Assumptions!$C$28)*Assumptions!$C$31)+Assumptions!$C$28-Assumptions!$C$29-$M773*Assumptions!$C$30</f>
        <v>36.374521</v>
      </c>
      <c r="S773" s="139">
        <f>($N773*(1-(Assumptions!$C$25+0.06*(1-$I773))-Assumptions!$C$27)-Assumptions!$C$28)-MAX(0,($N773*(1-(Assumptions!$C$25+0.06*(1-$I773))-Assumptions!$C$27)-Assumptions!$C$28)*Assumptions!$C$31)+Assumptions!$C$28-Assumptions!$C$29-$N773*Assumptions!$C$30</f>
        <v>105.4003724</v>
      </c>
      <c r="T773" s="139">
        <f>($O773*(1-(Assumptions!$C$25+0.06*(1-$J773))-Assumptions!$C$27)-Assumptions!$C$28)-MAX(0,($O773*(1-(Assumptions!$C$25+0.06*(1-$J773))-Assumptions!$C$27)-Assumptions!$C$28)*Assumptions!$C$31)+Assumptions!$C$28-Assumptions!$C$29-$O773*Assumptions!$C$30</f>
        <v>112.0563001</v>
      </c>
      <c r="U773" s="139">
        <f>($P773*(1-(Assumptions!$C$25+0.06*(1-$K773))-Assumptions!$C$27)-Assumptions!$C$28)-MAX(0,($P773*(1-(Assumptions!$C$25+0.06*(1-$K773))-Assumptions!$C$27)-Assumptions!$C$28)*Assumptions!$C$31)+Assumptions!$C$28-Assumptions!$C$29-$P773*Assumptions!$C$30</f>
        <v>43.52531881</v>
      </c>
      <c r="V773" s="143">
        <f>(($Q773/(1+$D773)^1+$R773/(1+$D773)^2+$S773/(1+$D773)^3+$T773/(1+$D773)^4+$U773/(1+$D773)^5+$U773*(1+$E773)/($D773-$E773)/(1+$D773)^5)-Assumptions!$C$37)/Assumptions!$C$40/Assumptions!$C$38</f>
        <v>0.5491257849</v>
      </c>
    </row>
    <row r="774" ht="12.0" customHeight="1">
      <c r="B774" s="139">
        <v>722.0</v>
      </c>
      <c r="C774" s="140">
        <f t="shared" si="6"/>
        <v>0.689732863</v>
      </c>
      <c r="D774" s="141">
        <f t="shared" si="7"/>
        <v>0.1018068251</v>
      </c>
      <c r="E774" s="141">
        <f t="shared" si="8"/>
        <v>0.02782147186</v>
      </c>
      <c r="F774" s="140">
        <f t="shared" si="9"/>
        <v>0.7912919593</v>
      </c>
      <c r="G774" s="141">
        <f t="shared" si="10"/>
        <v>0.07061767627</v>
      </c>
      <c r="H774" s="142">
        <f t="shared" si="11"/>
        <v>0</v>
      </c>
      <c r="I774" s="142">
        <f t="shared" si="12"/>
        <v>0</v>
      </c>
      <c r="J774" s="142">
        <f t="shared" si="13"/>
        <v>0</v>
      </c>
      <c r="K774" s="142">
        <f t="shared" si="14"/>
        <v>1</v>
      </c>
      <c r="L774" s="139">
        <f>Assumptions!$C$6*Assumptions!$C$7*(1+$G774-0.05*(1-1))^1+Assumptions!$C$6*Assumptions!$C$8*(1+Assumptions!$C$11)^1+Assumptions!$C$16*1+Assumptions!$C$6*Assumptions!$C$9*(1+Assumptions!$C$12)^1</f>
        <v>750.2379098</v>
      </c>
      <c r="M774" s="139">
        <f>Assumptions!$C$6*Assumptions!$C$7*(1+$G774-0.05*(1-$H774))^2+Assumptions!$C$6*Assumptions!$C$8*(1+Assumptions!$C$11)^2+Assumptions!$C$16*$H774+Assumptions!$C$6*Assumptions!$C$9*(1+Assumptions!$C$12)^2</f>
        <v>687.0882645</v>
      </c>
      <c r="N774" s="139">
        <f>Assumptions!$C$6*Assumptions!$C$7*(1+$G774-0.05*(1-$I774))^3+Assumptions!$C$6*Assumptions!$C$8*(1+Assumptions!$C$11)^3+Assumptions!$C$16*$I774+Assumptions!$C$6*Assumptions!$C$9*(1+Assumptions!$C$12)^3</f>
        <v>701.0466012</v>
      </c>
      <c r="O774" s="139">
        <f>Assumptions!$C$6*Assumptions!$C$7*(1+$G774-0.05*(1-$J774))^4+Assumptions!$C$6*Assumptions!$C$8*(1+Assumptions!$C$11)^4+Assumptions!$C$16*$J774+Assumptions!$C$6*Assumptions!$C$9*(1+Assumptions!$C$12)^4</f>
        <v>715.2885699</v>
      </c>
      <c r="P774" s="139">
        <f>Assumptions!$C$6*Assumptions!$C$7*(1+$G774-0.05*(1-$K774))^5+Assumptions!$C$6*Assumptions!$C$8*(1+Assumptions!$C$11)^5+Assumptions!$C$16*$K774+Assumptions!$C$6*Assumptions!$C$9*(1+Assumptions!$C$12)^5</f>
        <v>890.5228553</v>
      </c>
      <c r="Q774" s="139">
        <f>($L774*(1-(Assumptions!$C$25+0.06*(1-1))-Assumptions!$C$27)-Assumptions!$C$28)-MAX(0,($L774*(1-(Assumptions!$C$25+0.06*(1-1))-Assumptions!$C$27)-Assumptions!$C$28)*Assumptions!$C$31)+Assumptions!$C$28-Assumptions!$C$29-$L774*Assumptions!$C$30</f>
        <v>93.80115061</v>
      </c>
      <c r="R774" s="139">
        <f>($M774*(1-(Assumptions!$C$25+0.06*(1-$H774))-Assumptions!$C$27)-Assumptions!$C$28)-MAX(0,($M774*(1-(Assumptions!$C$25+0.06*(1-$H774))-Assumptions!$C$27)-Assumptions!$C$28)*Assumptions!$C$31)+Assumptions!$C$28-Assumptions!$C$29-$M774*Assumptions!$C$30</f>
        <v>38.03030083</v>
      </c>
      <c r="S774" s="139">
        <f>($N774*(1-(Assumptions!$C$25+0.06*(1-$I774))-Assumptions!$C$27)-Assumptions!$C$28)-MAX(0,($N774*(1-(Assumptions!$C$25+0.06*(1-$I774))-Assumptions!$C$27)-Assumptions!$C$28)*Assumptions!$C$31)+Assumptions!$C$28-Assumptions!$C$29-$N774*Assumptions!$C$30</f>
        <v>41.24071828</v>
      </c>
      <c r="T774" s="139">
        <f>($O774*(1-(Assumptions!$C$25+0.06*(1-$J774))-Assumptions!$C$27)-Assumptions!$C$28)-MAX(0,($O774*(1-(Assumptions!$C$25+0.06*(1-$J774))-Assumptions!$C$27)-Assumptions!$C$28)*Assumptions!$C$31)+Assumptions!$C$28-Assumptions!$C$29-$O774*Assumptions!$C$30</f>
        <v>44.51637107</v>
      </c>
      <c r="U774" s="139">
        <f>($P774*(1-(Assumptions!$C$25+0.06*(1-$K774))-Assumptions!$C$27)-Assumptions!$C$28)-MAX(0,($P774*(1-(Assumptions!$C$25+0.06*(1-$K774))-Assumptions!$C$27)-Assumptions!$C$28)*Assumptions!$C$31)+Assumptions!$C$28-Assumptions!$C$29-$P774*Assumptions!$C$30</f>
        <v>123.9624139</v>
      </c>
      <c r="V774" s="143">
        <f>(($Q774/(1+$D774)^1+$R774/(1+$D774)^2+$S774/(1+$D774)^3+$T774/(1+$D774)^4+$U774/(1+$D774)^5+$U774*(1+$E774)/($D774-$E774)/(1+$D774)^5)-Assumptions!$C$37)/Assumptions!$C$40/Assumptions!$C$38</f>
        <v>4.859530958</v>
      </c>
    </row>
    <row r="775" ht="12.0" customHeight="1">
      <c r="B775" s="139">
        <v>723.0</v>
      </c>
      <c r="C775" s="140">
        <f t="shared" si="6"/>
        <v>0.20506736</v>
      </c>
      <c r="D775" s="141">
        <f t="shared" si="7"/>
        <v>0.09333773561</v>
      </c>
      <c r="E775" s="141">
        <f t="shared" si="8"/>
        <v>0.02870709516</v>
      </c>
      <c r="F775" s="140">
        <f t="shared" si="9"/>
        <v>0.6029368515</v>
      </c>
      <c r="G775" s="141">
        <f t="shared" si="10"/>
        <v>0.06326587074</v>
      </c>
      <c r="H775" s="142">
        <f t="shared" si="11"/>
        <v>1</v>
      </c>
      <c r="I775" s="142">
        <f t="shared" si="12"/>
        <v>1</v>
      </c>
      <c r="J775" s="142">
        <f t="shared" si="13"/>
        <v>1</v>
      </c>
      <c r="K775" s="142">
        <f t="shared" si="14"/>
        <v>0</v>
      </c>
      <c r="L775" s="139">
        <f>Assumptions!$C$6*Assumptions!$C$7*(1+$G775-0.05*(1-1))^1+Assumptions!$C$6*Assumptions!$C$8*(1+Assumptions!$C$11)^1+Assumptions!$C$16*1+Assumptions!$C$6*Assumptions!$C$9*(1+Assumptions!$C$12)^1</f>
        <v>747.7632921</v>
      </c>
      <c r="M775" s="139">
        <f>Assumptions!$C$6*Assumptions!$C$7*(1+$G775-0.05*(1-$H775))^2+Assumptions!$C$6*Assumptions!$C$8*(1+Assumptions!$C$11)^2+Assumptions!$C$16*$H775+Assumptions!$C$6*Assumptions!$C$9*(1+Assumptions!$C$12)^2</f>
        <v>777.0032094</v>
      </c>
      <c r="N775" s="139">
        <f>Assumptions!$C$6*Assumptions!$C$7*(1+$G775-0.05*(1-$I775))^3+Assumptions!$C$6*Assumptions!$C$8*(1+Assumptions!$C$11)^3+Assumptions!$C$16*$I775+Assumptions!$C$6*Assumptions!$C$9*(1+Assumptions!$C$12)^3</f>
        <v>807.807575</v>
      </c>
      <c r="O775" s="139">
        <f>Assumptions!$C$6*Assumptions!$C$7*(1+$G775-0.05*(1-$J775))^4+Assumptions!$C$6*Assumptions!$C$8*(1+Assumptions!$C$11)^4+Assumptions!$C$16*$J775+Assumptions!$C$6*Assumptions!$C$9*(1+Assumptions!$C$12)^4</f>
        <v>840.2696562</v>
      </c>
      <c r="P775" s="139">
        <f>Assumptions!$C$6*Assumptions!$C$7*(1+$G775-0.05*(1-$K775))^5+Assumptions!$C$6*Assumptions!$C$8*(1+Assumptions!$C$11)^5+Assumptions!$C$16*$K775+Assumptions!$C$6*Assumptions!$C$9*(1+Assumptions!$C$12)^5</f>
        <v>716.5864625</v>
      </c>
      <c r="Q775" s="139">
        <f>($L775*(1-(Assumptions!$C$25+0.06*(1-1))-Assumptions!$C$27)-Assumptions!$C$28)-MAX(0,($L775*(1-(Assumptions!$C$25+0.06*(1-1))-Assumptions!$C$27)-Assumptions!$C$28)*Assumptions!$C$31)+Assumptions!$C$28-Assumptions!$C$29-$L775*Assumptions!$C$30</f>
        <v>93.2691078</v>
      </c>
      <c r="R775" s="139">
        <f>($M775*(1-(Assumptions!$C$25+0.06*(1-$H775))-Assumptions!$C$27)-Assumptions!$C$28)-MAX(0,($M775*(1-(Assumptions!$C$25+0.06*(1-$H775))-Assumptions!$C$27)-Assumptions!$C$28)*Assumptions!$C$31)+Assumptions!$C$28-Assumptions!$C$29-$M775*Assumptions!$C$30</f>
        <v>99.55569002</v>
      </c>
      <c r="S775" s="139">
        <f>($N775*(1-(Assumptions!$C$25+0.06*(1-$I775))-Assumptions!$C$27)-Assumptions!$C$28)-MAX(0,($N775*(1-(Assumptions!$C$25+0.06*(1-$I775))-Assumptions!$C$27)-Assumptions!$C$28)*Assumptions!$C$31)+Assumptions!$C$28-Assumptions!$C$29-$N775*Assumptions!$C$30</f>
        <v>106.1786286</v>
      </c>
      <c r="T775" s="139">
        <f>($O775*(1-(Assumptions!$C$25+0.06*(1-$J775))-Assumptions!$C$27)-Assumptions!$C$28)-MAX(0,($O775*(1-(Assumptions!$C$25+0.06*(1-$J775))-Assumptions!$C$27)-Assumptions!$C$28)*Assumptions!$C$31)+Assumptions!$C$28-Assumptions!$C$29-$O775*Assumptions!$C$30</f>
        <v>113.1579761</v>
      </c>
      <c r="U775" s="139">
        <f>($P775*(1-(Assumptions!$C$25+0.06*(1-$K775))-Assumptions!$C$27)-Assumptions!$C$28)-MAX(0,($P775*(1-(Assumptions!$C$25+0.06*(1-$K775))-Assumptions!$C$27)-Assumptions!$C$28)*Assumptions!$C$31)+Assumptions!$C$28-Assumptions!$C$29-$P775*Assumptions!$C$30</f>
        <v>44.81488638</v>
      </c>
      <c r="V775" s="143">
        <f>(($Q775/(1+$D775)^1+$R775/(1+$D775)^2+$S775/(1+$D775)^3+$T775/(1+$D775)^4+$U775/(1+$D775)^5+$U775*(1+$E775)/($D775-$E775)/(1+$D775)^5)-Assumptions!$C$37)/Assumptions!$C$40/Assumptions!$C$38</f>
        <v>0.9565424374</v>
      </c>
    </row>
    <row r="776" ht="12.0" customHeight="1">
      <c r="B776" s="139">
        <v>724.0</v>
      </c>
      <c r="C776" s="140">
        <f t="shared" si="6"/>
        <v>0.3684024831</v>
      </c>
      <c r="D776" s="141">
        <f t="shared" si="7"/>
        <v>0.09617534974</v>
      </c>
      <c r="E776" s="141">
        <f t="shared" si="8"/>
        <v>0.02822854944</v>
      </c>
      <c r="F776" s="140">
        <f t="shared" si="9"/>
        <v>0.9445080212</v>
      </c>
      <c r="G776" s="141">
        <f t="shared" si="10"/>
        <v>0.08000572355</v>
      </c>
      <c r="H776" s="142">
        <f t="shared" si="11"/>
        <v>1</v>
      </c>
      <c r="I776" s="142">
        <f t="shared" si="12"/>
        <v>0</v>
      </c>
      <c r="J776" s="142">
        <f t="shared" si="13"/>
        <v>0</v>
      </c>
      <c r="K776" s="142">
        <f t="shared" si="14"/>
        <v>1</v>
      </c>
      <c r="L776" s="139">
        <f>Assumptions!$C$6*Assumptions!$C$7*(1+$G776-0.05*(1-1))^1+Assumptions!$C$6*Assumptions!$C$8*(1+Assumptions!$C$11)^1+Assumptions!$C$16*1+Assumptions!$C$6*Assumptions!$C$9*(1+Assumptions!$C$12)^1</f>
        <v>753.3979265</v>
      </c>
      <c r="M776" s="139">
        <f>Assumptions!$C$6*Assumptions!$C$7*(1+$G776-0.05*(1-$H776))^2+Assumptions!$C$6*Assumptions!$C$8*(1+Assumptions!$C$11)^2+Assumptions!$C$16*$H776+Assumptions!$C$6*Assumptions!$C$9*(1+Assumptions!$C$12)^2</f>
        <v>789.0797614</v>
      </c>
      <c r="N776" s="139">
        <f>Assumptions!$C$6*Assumptions!$C$7*(1+$G776-0.05*(1-$I776))^3+Assumptions!$C$6*Assumptions!$C$8*(1+Assumptions!$C$11)^3+Assumptions!$C$16*$I776+Assumptions!$C$6*Assumptions!$C$9*(1+Assumptions!$C$12)^3</f>
        <v>711.0127071</v>
      </c>
      <c r="O776" s="139">
        <f>Assumptions!$C$6*Assumptions!$C$7*(1+$G776-0.05*(1-$J776))^4+Assumptions!$C$6*Assumptions!$C$8*(1+Assumptions!$C$11)^4+Assumptions!$C$16*$J776+Assumptions!$C$6*Assumptions!$C$9*(1+Assumptions!$C$12)^4</f>
        <v>728.9132468</v>
      </c>
      <c r="P776" s="139">
        <f>Assumptions!$C$6*Assumptions!$C$7*(1+$G776-0.05*(1-$K776))^5+Assumptions!$C$6*Assumptions!$C$8*(1+Assumptions!$C$11)^5+Assumptions!$C$16*$K776+Assumptions!$C$6*Assumptions!$C$9*(1+Assumptions!$C$12)^5</f>
        <v>911.6486678</v>
      </c>
      <c r="Q776" s="139">
        <f>($L776*(1-(Assumptions!$C$25+0.06*(1-1))-Assumptions!$C$27)-Assumptions!$C$28)-MAX(0,($L776*(1-(Assumptions!$C$25+0.06*(1-1))-Assumptions!$C$27)-Assumptions!$C$28)*Assumptions!$C$31)+Assumptions!$C$28-Assumptions!$C$29-$L776*Assumptions!$C$30</f>
        <v>94.48055421</v>
      </c>
      <c r="R776" s="139">
        <f>($M776*(1-(Assumptions!$C$25+0.06*(1-$H776))-Assumptions!$C$27)-Assumptions!$C$28)-MAX(0,($M776*(1-(Assumptions!$C$25+0.06*(1-$H776))-Assumptions!$C$27)-Assumptions!$C$28)*Assumptions!$C$31)+Assumptions!$C$28-Assumptions!$C$29-$M776*Assumptions!$C$30</f>
        <v>102.1521487</v>
      </c>
      <c r="S776" s="139">
        <f>($N776*(1-(Assumptions!$C$25+0.06*(1-$I776))-Assumptions!$C$27)-Assumptions!$C$28)-MAX(0,($N776*(1-(Assumptions!$C$25+0.06*(1-$I776))-Assumptions!$C$27)-Assumptions!$C$28)*Assumptions!$C$31)+Assumptions!$C$28-Assumptions!$C$29-$N776*Assumptions!$C$30</f>
        <v>43.53292262</v>
      </c>
      <c r="T776" s="139">
        <f>($O776*(1-(Assumptions!$C$25+0.06*(1-$J776))-Assumptions!$C$27)-Assumptions!$C$28)-MAX(0,($O776*(1-(Assumptions!$C$25+0.06*(1-$J776))-Assumptions!$C$27)-Assumptions!$C$28)*Assumptions!$C$31)+Assumptions!$C$28-Assumptions!$C$29-$O776*Assumptions!$C$30</f>
        <v>47.65004677</v>
      </c>
      <c r="U776" s="139">
        <f>($P776*(1-(Assumptions!$C$25+0.06*(1-$K776))-Assumptions!$C$27)-Assumptions!$C$28)-MAX(0,($P776*(1-(Assumptions!$C$25+0.06*(1-$K776))-Assumptions!$C$27)-Assumptions!$C$28)*Assumptions!$C$31)+Assumptions!$C$28-Assumptions!$C$29-$P776*Assumptions!$C$30</f>
        <v>128.5044636</v>
      </c>
      <c r="V776" s="143">
        <f>(($Q776/(1+$D776)^1+$R776/(1+$D776)^2+$S776/(1+$D776)^3+$T776/(1+$D776)^4+$U776/(1+$D776)^5+$U776*(1+$E776)/($D776-$E776)/(1+$D776)^5)-Assumptions!$C$37)/Assumptions!$C$40/Assumptions!$C$38</f>
        <v>6.675744217</v>
      </c>
    </row>
    <row r="777" ht="12.0" customHeight="1">
      <c r="B777" s="139">
        <v>725.0</v>
      </c>
      <c r="C777" s="140">
        <f t="shared" si="6"/>
        <v>0.7987684971</v>
      </c>
      <c r="D777" s="141">
        <f t="shared" si="7"/>
        <v>0.1043749883</v>
      </c>
      <c r="E777" s="141">
        <f t="shared" si="8"/>
        <v>0.02826424851</v>
      </c>
      <c r="F777" s="140">
        <f t="shared" si="9"/>
        <v>0.2083831126</v>
      </c>
      <c r="G777" s="141">
        <f t="shared" si="10"/>
        <v>0.04936723013</v>
      </c>
      <c r="H777" s="142">
        <f t="shared" si="11"/>
        <v>1</v>
      </c>
      <c r="I777" s="142">
        <f t="shared" si="12"/>
        <v>0</v>
      </c>
      <c r="J777" s="142">
        <f t="shared" si="13"/>
        <v>0</v>
      </c>
      <c r="K777" s="142">
        <f t="shared" si="14"/>
        <v>1</v>
      </c>
      <c r="L777" s="139">
        <f>Assumptions!$C$6*Assumptions!$C$7*(1+$G777-0.05*(1-1))^1+Assumptions!$C$6*Assumptions!$C$8*(1+Assumptions!$C$11)^1+Assumptions!$C$16*1+Assumptions!$C$6*Assumptions!$C$9*(1+Assumptions!$C$12)^1</f>
        <v>743.0850097</v>
      </c>
      <c r="M777" s="139">
        <f>Assumptions!$C$6*Assumptions!$C$7*(1+$G777-0.05*(1-$H777))^2+Assumptions!$C$6*Assumptions!$C$8*(1+Assumptions!$C$11)^2+Assumptions!$C$16*$H777+Assumptions!$C$6*Assumptions!$C$9*(1+Assumptions!$C$12)^2</f>
        <v>767.1197151</v>
      </c>
      <c r="N777" s="139">
        <f>Assumptions!$C$6*Assumptions!$C$7*(1+$G777-0.05*(1-$I777))^3+Assumptions!$C$6*Assumptions!$C$8*(1+Assumptions!$C$11)^3+Assumptions!$C$16*$I777+Assumptions!$C$6*Assumptions!$C$9*(1+Assumptions!$C$12)^3</f>
        <v>679.1561004</v>
      </c>
      <c r="O777" s="139">
        <f>Assumptions!$C$6*Assumptions!$C$7*(1+$G777-0.05*(1-$J777))^4+Assumptions!$C$6*Assumptions!$C$8*(1+Assumptions!$C$11)^4+Assumptions!$C$16*$J777+Assumptions!$C$6*Assumptions!$C$9*(1+Assumptions!$C$12)^4</f>
        <v>685.8074075</v>
      </c>
      <c r="P777" s="139">
        <f>Assumptions!$C$6*Assumptions!$C$7*(1+$G777-0.05*(1-$K777))^5+Assumptions!$C$6*Assumptions!$C$8*(1+Assumptions!$C$11)^5+Assumptions!$C$16*$K777+Assumptions!$C$6*Assumptions!$C$9*(1+Assumptions!$C$12)^5</f>
        <v>845.3632095</v>
      </c>
      <c r="Q777" s="139">
        <f>($L777*(1-(Assumptions!$C$25+0.06*(1-1))-Assumptions!$C$27)-Assumptions!$C$28)-MAX(0,($L777*(1-(Assumptions!$C$25+0.06*(1-1))-Assumptions!$C$27)-Assumptions!$C$28)*Assumptions!$C$31)+Assumptions!$C$28-Assumptions!$C$29-$L777*Assumptions!$C$30</f>
        <v>92.26327708</v>
      </c>
      <c r="R777" s="139">
        <f>($M777*(1-(Assumptions!$C$25+0.06*(1-$H777))-Assumptions!$C$27)-Assumptions!$C$28)-MAX(0,($M777*(1-(Assumptions!$C$25+0.06*(1-$H777))-Assumptions!$C$27)-Assumptions!$C$28)*Assumptions!$C$31)+Assumptions!$C$28-Assumptions!$C$29-$M777*Assumptions!$C$30</f>
        <v>97.43073874</v>
      </c>
      <c r="S777" s="139">
        <f>($N777*(1-(Assumptions!$C$25+0.06*(1-$I777))-Assumptions!$C$27)-Assumptions!$C$28)-MAX(0,($N777*(1-(Assumptions!$C$25+0.06*(1-$I777))-Assumptions!$C$27)-Assumptions!$C$28)*Assumptions!$C$31)+Assumptions!$C$28-Assumptions!$C$29-$N777*Assumptions!$C$30</f>
        <v>36.2059031</v>
      </c>
      <c r="T777" s="139">
        <f>($O777*(1-(Assumptions!$C$25+0.06*(1-$J777))-Assumptions!$C$27)-Assumptions!$C$28)-MAX(0,($O777*(1-(Assumptions!$C$25+0.06*(1-$J777))-Assumptions!$C$27)-Assumptions!$C$28)*Assumptions!$C$31)+Assumptions!$C$28-Assumptions!$C$29-$O777*Assumptions!$C$30</f>
        <v>37.73570372</v>
      </c>
      <c r="U777" s="139">
        <f>($P777*(1-(Assumptions!$C$25+0.06*(1-$K777))-Assumptions!$C$27)-Assumptions!$C$28)-MAX(0,($P777*(1-(Assumptions!$C$25+0.06*(1-$K777))-Assumptions!$C$27)-Assumptions!$C$28)*Assumptions!$C$31)+Assumptions!$C$28-Assumptions!$C$29-$P777*Assumptions!$C$30</f>
        <v>114.25309</v>
      </c>
      <c r="V777" s="143">
        <f>(($Q777/(1+$D777)^1+$R777/(1+$D777)^2+$S777/(1+$D777)^3+$T777/(1+$D777)^4+$U777/(1+$D777)^5+$U777*(1+$E777)/($D777-$E777)/(1+$D777)^5)-Assumptions!$C$37)/Assumptions!$C$40/Assumptions!$C$38</f>
        <v>4.160497186</v>
      </c>
    </row>
    <row r="778" ht="12.0" customHeight="1">
      <c r="B778" s="139">
        <v>726.0</v>
      </c>
      <c r="C778" s="140">
        <f t="shared" si="6"/>
        <v>0.5012966549</v>
      </c>
      <c r="D778" s="141">
        <f t="shared" si="7"/>
        <v>0.09827359642</v>
      </c>
      <c r="E778" s="141">
        <f t="shared" si="8"/>
        <v>0.01226115427</v>
      </c>
      <c r="F778" s="140">
        <f t="shared" si="9"/>
        <v>0.09745847817</v>
      </c>
      <c r="G778" s="141">
        <f t="shared" si="10"/>
        <v>0.04324482015</v>
      </c>
      <c r="H778" s="142">
        <f t="shared" si="11"/>
        <v>1</v>
      </c>
      <c r="I778" s="142">
        <f t="shared" si="12"/>
        <v>1</v>
      </c>
      <c r="J778" s="142">
        <f t="shared" si="13"/>
        <v>1</v>
      </c>
      <c r="K778" s="142">
        <f t="shared" si="14"/>
        <v>1</v>
      </c>
      <c r="L778" s="139">
        <f>Assumptions!$C$6*Assumptions!$C$7*(1+$G778-0.05*(1-1))^1+Assumptions!$C$6*Assumptions!$C$8*(1+Assumptions!$C$11)^1+Assumptions!$C$16*1+Assumptions!$C$6*Assumptions!$C$9*(1+Assumptions!$C$12)^1</f>
        <v>741.0242065</v>
      </c>
      <c r="M778" s="139">
        <f>Assumptions!$C$6*Assumptions!$C$7*(1+$G778-0.05*(1-$H778))^2+Assumptions!$C$6*Assumptions!$C$8*(1+Assumptions!$C$11)^2+Assumptions!$C$16*$H778+Assumptions!$C$6*Assumptions!$C$9*(1+Assumptions!$C$12)^2</f>
        <v>762.8072535</v>
      </c>
      <c r="N778" s="139">
        <f>Assumptions!$C$6*Assumptions!$C$7*(1+$G778-0.05*(1-$I778))^3+Assumptions!$C$6*Assumptions!$C$8*(1+Assumptions!$C$11)^3+Assumptions!$C$16*$I778+Assumptions!$C$6*Assumptions!$C$9*(1+Assumptions!$C$12)^3</f>
        <v>785.3789499</v>
      </c>
      <c r="O778" s="139">
        <f>Assumptions!$C$6*Assumptions!$C$7*(1+$G778-0.05*(1-$J778))^4+Assumptions!$C$6*Assumptions!$C$8*(1+Assumptions!$C$11)^4+Assumptions!$C$16*$J778+Assumptions!$C$6*Assumptions!$C$9*(1+Assumptions!$C$12)^4</f>
        <v>808.7703339</v>
      </c>
      <c r="P778" s="139">
        <f>Assumptions!$C$6*Assumptions!$C$7*(1+$G778-0.05*(1-$K778))^5+Assumptions!$C$6*Assumptions!$C$8*(1+Assumptions!$C$11)^5+Assumptions!$C$16*$K778+Assumptions!$C$6*Assumptions!$C$9*(1+Assumptions!$C$12)^5</f>
        <v>833.013724</v>
      </c>
      <c r="Q778" s="139">
        <f>($L778*(1-(Assumptions!$C$25+0.06*(1-1))-Assumptions!$C$27)-Assumptions!$C$28)-MAX(0,($L778*(1-(Assumptions!$C$25+0.06*(1-1))-Assumptions!$C$27)-Assumptions!$C$28)*Assumptions!$C$31)+Assumptions!$C$28-Assumptions!$C$29-$L778*Assumptions!$C$30</f>
        <v>91.82020439</v>
      </c>
      <c r="R778" s="139">
        <f>($M778*(1-(Assumptions!$C$25+0.06*(1-$H778))-Assumptions!$C$27)-Assumptions!$C$28)-MAX(0,($M778*(1-(Assumptions!$C$25+0.06*(1-$H778))-Assumptions!$C$27)-Assumptions!$C$28)*Assumptions!$C$31)+Assumptions!$C$28-Assumptions!$C$29-$M778*Assumptions!$C$30</f>
        <v>96.50355949</v>
      </c>
      <c r="S778" s="139">
        <f>($N778*(1-(Assumptions!$C$25+0.06*(1-$I778))-Assumptions!$C$27)-Assumptions!$C$28)-MAX(0,($N778*(1-(Assumptions!$C$25+0.06*(1-$I778))-Assumptions!$C$27)-Assumptions!$C$28)*Assumptions!$C$31)+Assumptions!$C$28-Assumptions!$C$29-$N778*Assumptions!$C$30</f>
        <v>101.3564742</v>
      </c>
      <c r="T778" s="139">
        <f>($O778*(1-(Assumptions!$C$25+0.06*(1-$J778))-Assumptions!$C$27)-Assumptions!$C$28)-MAX(0,($O778*(1-(Assumptions!$C$25+0.06*(1-$J778))-Assumptions!$C$27)-Assumptions!$C$28)*Assumptions!$C$31)+Assumptions!$C$28-Assumptions!$C$29-$O778*Assumptions!$C$30</f>
        <v>106.3856218</v>
      </c>
      <c r="U778" s="139">
        <f>($P778*(1-(Assumptions!$C$25+0.06*(1-$K778))-Assumptions!$C$27)-Assumptions!$C$28)-MAX(0,($P778*(1-(Assumptions!$C$25+0.06*(1-$K778))-Assumptions!$C$27)-Assumptions!$C$28)*Assumptions!$C$31)+Assumptions!$C$28-Assumptions!$C$29-$P778*Assumptions!$C$30</f>
        <v>111.5979507</v>
      </c>
      <c r="V778" s="143">
        <f>(($Q778/(1+$D778)^1+$R778/(1+$D778)^2+$S778/(1+$D778)^3+$T778/(1+$D778)^4+$U778/(1+$D778)^5+$U778*(1+$E778)/($D778-$E778)/(1+$D778)^5)-Assumptions!$C$37)/Assumptions!$C$40/Assumptions!$C$38</f>
        <v>4.005860395</v>
      </c>
    </row>
    <row r="779" ht="12.0" customHeight="1">
      <c r="B779" s="139">
        <v>727.0</v>
      </c>
      <c r="C779" s="140">
        <f t="shared" si="6"/>
        <v>0.5773690253</v>
      </c>
      <c r="D779" s="141">
        <f t="shared" si="7"/>
        <v>0.09960207882</v>
      </c>
      <c r="E779" s="141">
        <f t="shared" si="8"/>
        <v>0.01103171067</v>
      </c>
      <c r="F779" s="140">
        <f t="shared" si="9"/>
        <v>0.5221257227</v>
      </c>
      <c r="G779" s="141">
        <f t="shared" si="10"/>
        <v>0.06067128201</v>
      </c>
      <c r="H779" s="142">
        <f t="shared" si="11"/>
        <v>1</v>
      </c>
      <c r="I779" s="142">
        <f t="shared" si="12"/>
        <v>1</v>
      </c>
      <c r="J779" s="142">
        <f t="shared" si="13"/>
        <v>1</v>
      </c>
      <c r="K779" s="142">
        <f t="shared" si="14"/>
        <v>1</v>
      </c>
      <c r="L779" s="139">
        <f>Assumptions!$C$6*Assumptions!$C$7*(1+$G779-0.05*(1-1))^1+Assumptions!$C$6*Assumptions!$C$8*(1+Assumptions!$C$11)^1+Assumptions!$C$16*1+Assumptions!$C$6*Assumptions!$C$9*(1+Assumptions!$C$12)^1</f>
        <v>746.8899535</v>
      </c>
      <c r="M779" s="139">
        <f>Assumptions!$C$6*Assumptions!$C$7*(1+$G779-0.05*(1-$H779))^2+Assumptions!$C$6*Assumptions!$C$8*(1+Assumptions!$C$11)^2+Assumptions!$C$16*$H779+Assumptions!$C$6*Assumptions!$C$9*(1+Assumptions!$C$12)^2</f>
        <v>775.1482931</v>
      </c>
      <c r="N779" s="139">
        <f>Assumptions!$C$6*Assumptions!$C$7*(1+$G779-0.05*(1-$I779))^3+Assumptions!$C$6*Assumptions!$C$8*(1+Assumptions!$C$11)^3+Assumptions!$C$16*$I779+Assumptions!$C$6*Assumptions!$C$9*(1+Assumptions!$C$12)^3</f>
        <v>804.8527794</v>
      </c>
      <c r="O779" s="139">
        <f>Assumptions!$C$6*Assumptions!$C$7*(1+$G779-0.05*(1-$J779))^4+Assumptions!$C$6*Assumptions!$C$8*(1+Assumptions!$C$11)^4+Assumptions!$C$16*$J779+Assumptions!$C$6*Assumptions!$C$9*(1+Assumptions!$C$12)^4</f>
        <v>836.0857853</v>
      </c>
      <c r="P779" s="139">
        <f>Assumptions!$C$6*Assumptions!$C$7*(1+$G779-0.05*(1-$K779))^5+Assumptions!$C$6*Assumptions!$C$8*(1+Assumptions!$C$11)^5+Assumptions!$C$16*$K779+Assumptions!$C$6*Assumptions!$C$9*(1+Assumptions!$C$12)^5</f>
        <v>868.9345744</v>
      </c>
      <c r="Q779" s="139">
        <f>($L779*(1-(Assumptions!$C$25+0.06*(1-1))-Assumptions!$C$27)-Assumptions!$C$28)-MAX(0,($L779*(1-(Assumptions!$C$25+0.06*(1-1))-Assumptions!$C$27)-Assumptions!$C$28)*Assumptions!$C$31)+Assumptions!$C$28-Assumptions!$C$29-$L779*Assumptions!$C$30</f>
        <v>93.08134001</v>
      </c>
      <c r="R779" s="139">
        <f>($M779*(1-(Assumptions!$C$25+0.06*(1-$H779))-Assumptions!$C$27)-Assumptions!$C$28)-MAX(0,($M779*(1-(Assumptions!$C$25+0.06*(1-$H779))-Assumptions!$C$27)-Assumptions!$C$28)*Assumptions!$C$31)+Assumptions!$C$28-Assumptions!$C$29-$M779*Assumptions!$C$30</f>
        <v>99.15688303</v>
      </c>
      <c r="S779" s="139">
        <f>($N779*(1-(Assumptions!$C$25+0.06*(1-$I779))-Assumptions!$C$27)-Assumptions!$C$28)-MAX(0,($N779*(1-(Assumptions!$C$25+0.06*(1-$I779))-Assumptions!$C$27)-Assumptions!$C$28)*Assumptions!$C$31)+Assumptions!$C$28-Assumptions!$C$29-$N779*Assumptions!$C$30</f>
        <v>105.5433476</v>
      </c>
      <c r="T779" s="139">
        <f>($O779*(1-(Assumptions!$C$25+0.06*(1-$J779))-Assumptions!$C$27)-Assumptions!$C$28)-MAX(0,($O779*(1-(Assumptions!$C$25+0.06*(1-$J779))-Assumptions!$C$27)-Assumptions!$C$28)*Assumptions!$C$31)+Assumptions!$C$28-Assumptions!$C$29-$O779*Assumptions!$C$30</f>
        <v>112.2584438</v>
      </c>
      <c r="U779" s="139">
        <f>($P779*(1-(Assumptions!$C$25+0.06*(1-$K779))-Assumptions!$C$27)-Assumptions!$C$28)-MAX(0,($P779*(1-(Assumptions!$C$25+0.06*(1-$K779))-Assumptions!$C$27)-Assumptions!$C$28)*Assumptions!$C$31)+Assumptions!$C$28-Assumptions!$C$29-$P779*Assumptions!$C$30</f>
        <v>119.3209335</v>
      </c>
      <c r="V779" s="143">
        <f>(($Q779/(1+$D779)^1+$R779/(1+$D779)^2+$S779/(1+$D779)^3+$T779/(1+$D779)^4+$U779/(1+$D779)^5+$U779*(1+$E779)/($D779-$E779)/(1+$D779)^5)-Assumptions!$C$37)/Assumptions!$C$40/Assumptions!$C$38</f>
        <v>4.312508193</v>
      </c>
    </row>
    <row r="780" ht="12.0" customHeight="1">
      <c r="B780" s="139">
        <v>728.0</v>
      </c>
      <c r="C780" s="140">
        <f t="shared" si="6"/>
        <v>0.1919718636</v>
      </c>
      <c r="D780" s="141">
        <f t="shared" si="7"/>
        <v>0.09306712227</v>
      </c>
      <c r="E780" s="141">
        <f t="shared" si="8"/>
        <v>0.01705243462</v>
      </c>
      <c r="F780" s="140">
        <f t="shared" si="9"/>
        <v>0.9218232477</v>
      </c>
      <c r="G780" s="141">
        <f t="shared" si="10"/>
        <v>0.0781375317</v>
      </c>
      <c r="H780" s="142">
        <f t="shared" si="11"/>
        <v>0</v>
      </c>
      <c r="I780" s="142">
        <f t="shared" si="12"/>
        <v>0</v>
      </c>
      <c r="J780" s="142">
        <f t="shared" si="13"/>
        <v>0</v>
      </c>
      <c r="K780" s="142">
        <f t="shared" si="14"/>
        <v>1</v>
      </c>
      <c r="L780" s="139">
        <f>Assumptions!$C$6*Assumptions!$C$7*(1+$G780-0.05*(1-1))^1+Assumptions!$C$6*Assumptions!$C$8*(1+Assumptions!$C$11)^1+Assumptions!$C$16*1+Assumptions!$C$6*Assumptions!$C$9*(1+Assumptions!$C$12)^1</f>
        <v>752.7690932</v>
      </c>
      <c r="M780" s="139">
        <f>Assumptions!$C$6*Assumptions!$C$7*(1+$G780-0.05*(1-$H780))^2+Assumptions!$C$6*Assumptions!$C$8*(1+Assumptions!$C$11)^2+Assumptions!$C$16*$H780+Assumptions!$C$6*Assumptions!$C$9*(1+Assumptions!$C$12)^2</f>
        <v>692.2740395</v>
      </c>
      <c r="N780" s="139">
        <f>Assumptions!$C$6*Assumptions!$C$7*(1+$G780-0.05*(1-$I780))^3+Assumptions!$C$6*Assumptions!$C$8*(1+Assumptions!$C$11)^3+Assumptions!$C$16*$I780+Assumptions!$C$6*Assumptions!$C$9*(1+Assumptions!$C$12)^3</f>
        <v>709.0149247</v>
      </c>
      <c r="O780" s="139">
        <f>Assumptions!$C$6*Assumptions!$C$7*(1+$G780-0.05*(1-$J780))^4+Assumptions!$C$6*Assumptions!$C$8*(1+Assumptions!$C$11)^4+Assumptions!$C$16*$J780+Assumptions!$C$6*Assumptions!$C$9*(1+Assumptions!$C$12)^4</f>
        <v>726.1720972</v>
      </c>
      <c r="P780" s="139">
        <f>Assumptions!$C$6*Assumptions!$C$7*(1+$G780-0.05*(1-$K780))^5+Assumptions!$C$6*Assumptions!$C$8*(1+Assumptions!$C$11)^5+Assumptions!$C$16*$K780+Assumptions!$C$6*Assumptions!$C$9*(1+Assumptions!$C$12)^5</f>
        <v>907.3857463</v>
      </c>
      <c r="Q780" s="139">
        <f>($L780*(1-(Assumptions!$C$25+0.06*(1-1))-Assumptions!$C$27)-Assumptions!$C$28)-MAX(0,($L780*(1-(Assumptions!$C$25+0.06*(1-1))-Assumptions!$C$27)-Assumptions!$C$28)*Assumptions!$C$31)+Assumptions!$C$28-Assumptions!$C$29-$L780*Assumptions!$C$30</f>
        <v>94.34535503</v>
      </c>
      <c r="R780" s="139">
        <f>($M780*(1-(Assumptions!$C$25+0.06*(1-$H780))-Assumptions!$C$27)-Assumptions!$C$28)-MAX(0,($M780*(1-(Assumptions!$C$25+0.06*(1-$H780))-Assumptions!$C$27)-Assumptions!$C$28)*Assumptions!$C$31)+Assumptions!$C$28-Assumptions!$C$29-$M780*Assumptions!$C$30</f>
        <v>39.22302909</v>
      </c>
      <c r="S780" s="139">
        <f>($N780*(1-(Assumptions!$C$25+0.06*(1-$I780))-Assumptions!$C$27)-Assumptions!$C$28)-MAX(0,($N780*(1-(Assumptions!$C$25+0.06*(1-$I780))-Assumptions!$C$27)-Assumptions!$C$28)*Assumptions!$C$31)+Assumptions!$C$28-Assumptions!$C$29-$N780*Assumptions!$C$30</f>
        <v>43.07343269</v>
      </c>
      <c r="T780" s="139">
        <f>($O780*(1-(Assumptions!$C$25+0.06*(1-$J780))-Assumptions!$C$27)-Assumptions!$C$28)-MAX(0,($O780*(1-(Assumptions!$C$25+0.06*(1-$J780))-Assumptions!$C$27)-Assumptions!$C$28)*Assumptions!$C$31)+Assumptions!$C$28-Assumptions!$C$29-$O780*Assumptions!$C$30</f>
        <v>47.01958235</v>
      </c>
      <c r="U780" s="139">
        <f>($P780*(1-(Assumptions!$C$25+0.06*(1-$K780))-Assumptions!$C$27)-Assumptions!$C$28)-MAX(0,($P780*(1-(Assumptions!$C$25+0.06*(1-$K780))-Assumptions!$C$27)-Assumptions!$C$28)*Assumptions!$C$31)+Assumptions!$C$28-Assumptions!$C$29-$P780*Assumptions!$C$30</f>
        <v>127.5879355</v>
      </c>
      <c r="V780" s="143">
        <f>(($Q780/(1+$D780)^1+$R780/(1+$D780)^2+$S780/(1+$D780)^3+$T780/(1+$D780)^4+$U780/(1+$D780)^5+$U780*(1+$E780)/($D780-$E780)/(1+$D780)^5)-Assumptions!$C$37)/Assumptions!$C$40/Assumptions!$C$38</f>
        <v>5.221914801</v>
      </c>
    </row>
    <row r="781" ht="12.0" customHeight="1">
      <c r="B781" s="139">
        <v>729.0</v>
      </c>
      <c r="C781" s="140">
        <f t="shared" si="6"/>
        <v>0.2942531885</v>
      </c>
      <c r="D781" s="141">
        <f t="shared" si="7"/>
        <v>0.09498758384</v>
      </c>
      <c r="E781" s="141">
        <f t="shared" si="8"/>
        <v>0.0211745497</v>
      </c>
      <c r="F781" s="140">
        <f t="shared" si="9"/>
        <v>0.3221317187</v>
      </c>
      <c r="G781" s="141">
        <f t="shared" si="10"/>
        <v>0.05407980676</v>
      </c>
      <c r="H781" s="142">
        <f t="shared" si="11"/>
        <v>0</v>
      </c>
      <c r="I781" s="142">
        <f t="shared" si="12"/>
        <v>0</v>
      </c>
      <c r="J781" s="142">
        <f t="shared" si="13"/>
        <v>1</v>
      </c>
      <c r="K781" s="142">
        <f t="shared" si="14"/>
        <v>0</v>
      </c>
      <c r="L781" s="139">
        <f>Assumptions!$C$6*Assumptions!$C$7*(1+$G781-0.05*(1-1))^1+Assumptions!$C$6*Assumptions!$C$8*(1+Assumptions!$C$11)^1+Assumptions!$C$16*1+Assumptions!$C$6*Assumptions!$C$9*(1+Assumptions!$C$12)^1</f>
        <v>744.671263</v>
      </c>
      <c r="M781" s="139">
        <f>Assumptions!$C$6*Assumptions!$C$7*(1+$G781-0.05*(1-$H781))^2+Assumptions!$C$6*Assumptions!$C$8*(1+Assumptions!$C$11)^2+Assumptions!$C$16*$H781+Assumptions!$C$6*Assumptions!$C$9*(1+Assumptions!$C$12)^2</f>
        <v>675.8174886</v>
      </c>
      <c r="N781" s="139">
        <f>Assumptions!$C$6*Assumptions!$C$7*(1+$G781-0.05*(1-$I781))^3+Assumptions!$C$6*Assumptions!$C$8*(1+Assumptions!$C$11)^3+Assumptions!$C$16*$I781+Assumptions!$C$6*Assumptions!$C$9*(1+Assumptions!$C$12)^3</f>
        <v>683.9312869</v>
      </c>
      <c r="O781" s="139">
        <f>Assumptions!$C$6*Assumptions!$C$7*(1+$G781-0.05*(1-$J781))^4+Assumptions!$C$6*Assumptions!$C$8*(1+Assumptions!$C$11)^4+Assumptions!$C$16*$J781+Assumptions!$C$6*Assumptions!$C$9*(1+Assumptions!$C$12)^4</f>
        <v>825.594016</v>
      </c>
      <c r="P781" s="139">
        <f>Assumptions!$C$6*Assumptions!$C$7*(1+$G781-0.05*(1-$K781))^5+Assumptions!$C$6*Assumptions!$C$8*(1+Assumptions!$C$11)^5+Assumptions!$C$16*$K781+Assumptions!$C$6*Assumptions!$C$9*(1+Assumptions!$C$12)^5</f>
        <v>700.5823021</v>
      </c>
      <c r="Q781" s="139">
        <f>($L781*(1-(Assumptions!$C$25+0.06*(1-1))-Assumptions!$C$27)-Assumptions!$C$28)-MAX(0,($L781*(1-(Assumptions!$C$25+0.06*(1-1))-Assumptions!$C$27)-Assumptions!$C$28)*Assumptions!$C$31)+Assumptions!$C$28-Assumptions!$C$29-$L781*Assumptions!$C$30</f>
        <v>92.60432154</v>
      </c>
      <c r="R781" s="139">
        <f>($M781*(1-(Assumptions!$C$25+0.06*(1-$H781))-Assumptions!$C$27)-Assumptions!$C$28)-MAX(0,($M781*(1-(Assumptions!$C$25+0.06*(1-$H781))-Assumptions!$C$27)-Assumptions!$C$28)*Assumptions!$C$31)+Assumptions!$C$28-Assumptions!$C$29-$M781*Assumptions!$C$30</f>
        <v>35.43802237</v>
      </c>
      <c r="S781" s="139">
        <f>($N781*(1-(Assumptions!$C$25+0.06*(1-$I781))-Assumptions!$C$27)-Assumptions!$C$28)-MAX(0,($N781*(1-(Assumptions!$C$25+0.06*(1-$I781))-Assumptions!$C$27)-Assumptions!$C$28)*Assumptions!$C$31)+Assumptions!$C$28-Assumptions!$C$29-$N781*Assumptions!$C$30</f>
        <v>37.30419598</v>
      </c>
      <c r="T781" s="139">
        <f>($O781*(1-(Assumptions!$C$25+0.06*(1-$J781))-Assumptions!$C$27)-Assumptions!$C$28)-MAX(0,($O781*(1-(Assumptions!$C$25+0.06*(1-$J781))-Assumptions!$C$27)-Assumptions!$C$28)*Assumptions!$C$31)+Assumptions!$C$28-Assumptions!$C$29-$O781*Assumptions!$C$30</f>
        <v>110.0027134</v>
      </c>
      <c r="U781" s="139">
        <f>($P781*(1-(Assumptions!$C$25+0.06*(1-$K781))-Assumptions!$C$27)-Assumptions!$C$28)-MAX(0,($P781*(1-(Assumptions!$C$25+0.06*(1-$K781))-Assumptions!$C$27)-Assumptions!$C$28)*Assumptions!$C$31)+Assumptions!$C$28-Assumptions!$C$29-$P781*Assumptions!$C$30</f>
        <v>41.13392947</v>
      </c>
      <c r="V781" s="143">
        <f>(($Q781/(1+$D781)^1+$R781/(1+$D781)^2+$S781/(1+$D781)^3+$T781/(1+$D781)^4+$U781/(1+$D781)^5+$U781*(1+$E781)/($D781-$E781)/(1+$D781)^5)-Assumptions!$C$37)/Assumptions!$C$40/Assumptions!$C$38</f>
        <v>-0.6633256344</v>
      </c>
    </row>
    <row r="782" ht="12.0" customHeight="1">
      <c r="B782" s="139">
        <v>730.0</v>
      </c>
      <c r="C782" s="140">
        <f t="shared" si="6"/>
        <v>0.5237925986</v>
      </c>
      <c r="D782" s="141">
        <f t="shared" si="7"/>
        <v>0.09865520413</v>
      </c>
      <c r="E782" s="141">
        <f t="shared" si="8"/>
        <v>0.02972342911</v>
      </c>
      <c r="F782" s="140">
        <f t="shared" si="9"/>
        <v>0.9505678397</v>
      </c>
      <c r="G782" s="141">
        <f t="shared" si="10"/>
        <v>0.08056719085</v>
      </c>
      <c r="H782" s="142">
        <f t="shared" si="11"/>
        <v>0</v>
      </c>
      <c r="I782" s="142">
        <f t="shared" si="12"/>
        <v>1</v>
      </c>
      <c r="J782" s="142">
        <f t="shared" si="13"/>
        <v>0</v>
      </c>
      <c r="K782" s="142">
        <f t="shared" si="14"/>
        <v>0</v>
      </c>
      <c r="L782" s="139">
        <f>Assumptions!$C$6*Assumptions!$C$7*(1+$G782-0.05*(1-1))^1+Assumptions!$C$6*Assumptions!$C$8*(1+Assumptions!$C$11)^1+Assumptions!$C$16*1+Assumptions!$C$6*Assumptions!$C$9*(1+Assumptions!$C$12)^1</f>
        <v>753.5869164</v>
      </c>
      <c r="M782" s="139">
        <f>Assumptions!$C$6*Assumptions!$C$7*(1+$G782-0.05*(1-$H782))^2+Assumptions!$C$6*Assumptions!$C$8*(1+Assumptions!$C$11)^2+Assumptions!$C$16*$H782+Assumptions!$C$6*Assumptions!$C$9*(1+Assumptions!$C$12)^2</f>
        <v>693.9576961</v>
      </c>
      <c r="N782" s="139">
        <f>Assumptions!$C$6*Assumptions!$C$7*(1+$G782-0.05*(1-$I782))^3+Assumptions!$C$6*Assumptions!$C$8*(1+Assumptions!$C$11)^3+Assumptions!$C$16*$I782+Assumptions!$C$6*Assumptions!$C$9*(1+Assumptions!$C$12)^3</f>
        <v>827.8821321</v>
      </c>
      <c r="O782" s="139">
        <f>Assumptions!$C$6*Assumptions!$C$7*(1+$G782-0.05*(1-$J782))^4+Assumptions!$C$6*Assumptions!$C$8*(1+Assumptions!$C$11)^4+Assumptions!$C$16*$J782+Assumptions!$C$6*Assumptions!$C$9*(1+Assumptions!$C$12)^4</f>
        <v>729.7399937</v>
      </c>
      <c r="P782" s="139">
        <f>Assumptions!$C$6*Assumptions!$C$7*(1+$G782-0.05*(1-$K782))^5+Assumptions!$C$6*Assumptions!$C$8*(1+Assumptions!$C$11)^5+Assumptions!$C$16*$K782+Assumptions!$C$6*Assumptions!$C$9*(1+Assumptions!$C$12)^5</f>
        <v>748.3469598</v>
      </c>
      <c r="Q782" s="139">
        <f>($L782*(1-(Assumptions!$C$25+0.06*(1-1))-Assumptions!$C$27)-Assumptions!$C$28)-MAX(0,($L782*(1-(Assumptions!$C$25+0.06*(1-1))-Assumptions!$C$27)-Assumptions!$C$28)*Assumptions!$C$31)+Assumptions!$C$28-Assumptions!$C$29-$L782*Assumptions!$C$30</f>
        <v>94.52118703</v>
      </c>
      <c r="R782" s="139">
        <f>($M782*(1-(Assumptions!$C$25+0.06*(1-$H782))-Assumptions!$C$27)-Assumptions!$C$28)-MAX(0,($M782*(1-(Assumptions!$C$25+0.06*(1-$H782))-Assumptions!$C$27)-Assumptions!$C$28)*Assumptions!$C$31)+Assumptions!$C$28-Assumptions!$C$29-$M782*Assumptions!$C$30</f>
        <v>39.61027011</v>
      </c>
      <c r="S782" s="139">
        <f>($N782*(1-(Assumptions!$C$25+0.06*(1-$I782))-Assumptions!$C$27)-Assumptions!$C$28)-MAX(0,($N782*(1-(Assumptions!$C$25+0.06*(1-$I782))-Assumptions!$C$27)-Assumptions!$C$28)*Assumptions!$C$31)+Assumptions!$C$28-Assumptions!$C$29-$N782*Assumptions!$C$30</f>
        <v>110.4946584</v>
      </c>
      <c r="T782" s="139">
        <f>($O782*(1-(Assumptions!$C$25+0.06*(1-$J782))-Assumptions!$C$27)-Assumptions!$C$28)-MAX(0,($O782*(1-(Assumptions!$C$25+0.06*(1-$J782))-Assumptions!$C$27)-Assumptions!$C$28)*Assumptions!$C$31)+Assumptions!$C$28-Assumptions!$C$29-$O782*Assumptions!$C$30</f>
        <v>47.84019855</v>
      </c>
      <c r="U782" s="139">
        <f>($P782*(1-(Assumptions!$C$25+0.06*(1-$K782))-Assumptions!$C$27)-Assumptions!$C$28)-MAX(0,($P782*(1-(Assumptions!$C$25+0.06*(1-$K782))-Assumptions!$C$27)-Assumptions!$C$28)*Assumptions!$C$31)+Assumptions!$C$28-Assumptions!$C$29-$P782*Assumptions!$C$30</f>
        <v>52.11980074</v>
      </c>
      <c r="V782" s="143">
        <f>(($Q782/(1+$D782)^1+$R782/(1+$D782)^2+$S782/(1+$D782)^3+$T782/(1+$D782)^4+$U782/(1+$D782)^5+$U782*(1+$E782)/($D782-$E782)/(1+$D782)^5)-Assumptions!$C$37)/Assumptions!$C$40/Assumptions!$C$38</f>
        <v>0.4859622857</v>
      </c>
    </row>
    <row r="783" ht="12.0" customHeight="1">
      <c r="B783" s="139">
        <v>731.0</v>
      </c>
      <c r="C783" s="140">
        <f t="shared" si="6"/>
        <v>0.8690465663</v>
      </c>
      <c r="D783" s="141">
        <f t="shared" si="7"/>
        <v>0.1064288346</v>
      </c>
      <c r="E783" s="141">
        <f t="shared" si="8"/>
        <v>0.02373962827</v>
      </c>
      <c r="F783" s="140">
        <f t="shared" si="9"/>
        <v>0.5497138772</v>
      </c>
      <c r="G783" s="141">
        <f t="shared" si="10"/>
        <v>0.0615304545</v>
      </c>
      <c r="H783" s="142">
        <f t="shared" si="11"/>
        <v>1</v>
      </c>
      <c r="I783" s="142">
        <f t="shared" si="12"/>
        <v>1</v>
      </c>
      <c r="J783" s="142">
        <f t="shared" si="13"/>
        <v>0</v>
      </c>
      <c r="K783" s="142">
        <f t="shared" si="14"/>
        <v>1</v>
      </c>
      <c r="L783" s="139">
        <f>Assumptions!$C$6*Assumptions!$C$7*(1+$G783-0.05*(1-1))^1+Assumptions!$C$6*Assumptions!$C$8*(1+Assumptions!$C$11)^1+Assumptions!$C$16*1+Assumptions!$C$6*Assumptions!$C$9*(1+Assumptions!$C$12)^1</f>
        <v>747.179151</v>
      </c>
      <c r="M783" s="139">
        <f>Assumptions!$C$6*Assumptions!$C$7*(1+$G783-0.05*(1-$H783))^2+Assumptions!$C$6*Assumptions!$C$8*(1+Assumptions!$C$11)^2+Assumptions!$C$16*$H783+Assumptions!$C$6*Assumptions!$C$9*(1+Assumptions!$C$12)^2</f>
        <v>775.7620285</v>
      </c>
      <c r="N783" s="139">
        <f>Assumptions!$C$6*Assumptions!$C$7*(1+$G783-0.05*(1-$I783))^3+Assumptions!$C$6*Assumptions!$C$8*(1+Assumptions!$C$11)^3+Assumptions!$C$16*$I783+Assumptions!$C$6*Assumptions!$C$9*(1+Assumptions!$C$12)^3</f>
        <v>805.8296321</v>
      </c>
      <c r="O783" s="139">
        <f>Assumptions!$C$6*Assumptions!$C$7*(1+$G783-0.05*(1-$J783))^4+Assumptions!$C$6*Assumptions!$C$8*(1+Assumptions!$C$11)^4+Assumptions!$C$16*$J783+Assumptions!$C$6*Assumptions!$C$9*(1+Assumptions!$C$12)^4</f>
        <v>702.4537431</v>
      </c>
      <c r="P783" s="139">
        <f>Assumptions!$C$6*Assumptions!$C$7*(1+$G783-0.05*(1-$K783))^5+Assumptions!$C$6*Assumptions!$C$8*(1+Assumptions!$C$11)^5+Assumptions!$C$16*$K783+Assumptions!$C$6*Assumptions!$C$9*(1+Assumptions!$C$12)^5</f>
        <v>870.7676961</v>
      </c>
      <c r="Q783" s="139">
        <f>($L783*(1-(Assumptions!$C$25+0.06*(1-1))-Assumptions!$C$27)-Assumptions!$C$28)-MAX(0,($L783*(1-(Assumptions!$C$25+0.06*(1-1))-Assumptions!$C$27)-Assumptions!$C$28)*Assumptions!$C$31)+Assumptions!$C$28-Assumptions!$C$29-$L783*Assumptions!$C$30</f>
        <v>93.14351746</v>
      </c>
      <c r="R783" s="139">
        <f>($M783*(1-(Assumptions!$C$25+0.06*(1-$H783))-Assumptions!$C$27)-Assumptions!$C$28)-MAX(0,($M783*(1-(Assumptions!$C$25+0.06*(1-$H783))-Assumptions!$C$27)-Assumptions!$C$28)*Assumptions!$C$31)+Assumptions!$C$28-Assumptions!$C$29-$M783*Assumptions!$C$30</f>
        <v>99.28883613</v>
      </c>
      <c r="S783" s="139">
        <f>($N783*(1-(Assumptions!$C$25+0.06*(1-$I783))-Assumptions!$C$27)-Assumptions!$C$28)-MAX(0,($N783*(1-(Assumptions!$C$25+0.06*(1-$I783))-Assumptions!$C$27)-Assumptions!$C$28)*Assumptions!$C$31)+Assumptions!$C$28-Assumptions!$C$29-$N783*Assumptions!$C$30</f>
        <v>105.7533709</v>
      </c>
      <c r="T783" s="139">
        <f>($O783*(1-(Assumptions!$C$25+0.06*(1-$J783))-Assumptions!$C$27)-Assumptions!$C$28)-MAX(0,($O783*(1-(Assumptions!$C$25+0.06*(1-$J783))-Assumptions!$C$27)-Assumptions!$C$28)*Assumptions!$C$31)+Assumptions!$C$28-Assumptions!$C$29-$O783*Assumptions!$C$30</f>
        <v>41.5643609</v>
      </c>
      <c r="U783" s="139">
        <f>($P783*(1-(Assumptions!$C$25+0.06*(1-$K783))-Assumptions!$C$27)-Assumptions!$C$28)-MAX(0,($P783*(1-(Assumptions!$C$25+0.06*(1-$K783))-Assumptions!$C$27)-Assumptions!$C$28)*Assumptions!$C$31)+Assumptions!$C$28-Assumptions!$C$29-$P783*Assumptions!$C$30</f>
        <v>119.7150547</v>
      </c>
      <c r="V783" s="143">
        <f>(($Q783/(1+$D783)^1+$R783/(1+$D783)^2+$S783/(1+$D783)^3+$T783/(1+$D783)^4+$U783/(1+$D783)^5+$U783*(1+$E783)/($D783-$E783)/(1+$D783)^5)-Assumptions!$C$37)/Assumptions!$C$40/Assumptions!$C$38</f>
        <v>4.256799535</v>
      </c>
    </row>
    <row r="784" ht="12.0" customHeight="1">
      <c r="B784" s="139">
        <v>732.0</v>
      </c>
      <c r="C784" s="140">
        <f t="shared" si="6"/>
        <v>0.7308442585</v>
      </c>
      <c r="D784" s="141">
        <f t="shared" si="7"/>
        <v>0.1027119419</v>
      </c>
      <c r="E784" s="141">
        <f t="shared" si="8"/>
        <v>0.02707335316</v>
      </c>
      <c r="F784" s="140">
        <f t="shared" si="9"/>
        <v>0.3850959107</v>
      </c>
      <c r="G784" s="141">
        <f t="shared" si="10"/>
        <v>0.05632817197</v>
      </c>
      <c r="H784" s="142">
        <f t="shared" si="11"/>
        <v>1</v>
      </c>
      <c r="I784" s="142">
        <f t="shared" si="12"/>
        <v>1</v>
      </c>
      <c r="J784" s="142">
        <f t="shared" si="13"/>
        <v>1</v>
      </c>
      <c r="K784" s="142">
        <f t="shared" si="14"/>
        <v>0</v>
      </c>
      <c r="L784" s="139">
        <f>Assumptions!$C$6*Assumptions!$C$7*(1+$G784-0.05*(1-1))^1+Assumptions!$C$6*Assumptions!$C$8*(1+Assumptions!$C$11)^1+Assumptions!$C$16*1+Assumptions!$C$6*Assumptions!$C$9*(1+Assumptions!$C$12)^1</f>
        <v>745.4280627</v>
      </c>
      <c r="M784" s="139">
        <f>Assumptions!$C$6*Assumptions!$C$7*(1+$G784-0.05*(1-$H784))^2+Assumptions!$C$6*Assumptions!$C$8*(1+Assumptions!$C$11)^2+Assumptions!$C$16*$H784+Assumptions!$C$6*Assumptions!$C$9*(1+Assumptions!$C$12)^2</f>
        <v>772.053471</v>
      </c>
      <c r="N784" s="139">
        <f>Assumptions!$C$6*Assumptions!$C$7*(1+$G784-0.05*(1-$I784))^3+Assumptions!$C$6*Assumptions!$C$8*(1+Assumptions!$C$11)^3+Assumptions!$C$16*$I784+Assumptions!$C$6*Assumptions!$C$9*(1+Assumptions!$C$12)^3</f>
        <v>799.9389699</v>
      </c>
      <c r="O784" s="139">
        <f>Assumptions!$C$6*Assumptions!$C$7*(1+$G784-0.05*(1-$J784))^4+Assumptions!$C$6*Assumptions!$C$8*(1+Assumptions!$C$11)^4+Assumptions!$C$16*$J784+Assumptions!$C$6*Assumptions!$C$9*(1+Assumptions!$C$12)^4</f>
        <v>829.1507446</v>
      </c>
      <c r="P784" s="139">
        <f>Assumptions!$C$6*Assumptions!$C$7*(1+$G784-0.05*(1-$K784))^5+Assumptions!$C$6*Assumptions!$C$8*(1+Assumptions!$C$11)^5+Assumptions!$C$16*$K784+Assumptions!$C$6*Assumptions!$C$9*(1+Assumptions!$C$12)^5</f>
        <v>704.4456949</v>
      </c>
      <c r="Q784" s="139">
        <f>($L784*(1-(Assumptions!$C$25+0.06*(1-1))-Assumptions!$C$27)-Assumptions!$C$28)-MAX(0,($L784*(1-(Assumptions!$C$25+0.06*(1-1))-Assumptions!$C$27)-Assumptions!$C$28)*Assumptions!$C$31)+Assumptions!$C$28-Assumptions!$C$29-$L784*Assumptions!$C$30</f>
        <v>92.76703348</v>
      </c>
      <c r="R784" s="139">
        <f>($M784*(1-(Assumptions!$C$25+0.06*(1-$H784))-Assumptions!$C$27)-Assumptions!$C$28)-MAX(0,($M784*(1-(Assumptions!$C$25+0.06*(1-$H784))-Assumptions!$C$27)-Assumptions!$C$28)*Assumptions!$C$31)+Assumptions!$C$28-Assumptions!$C$29-$M784*Assumptions!$C$30</f>
        <v>98.49149627</v>
      </c>
      <c r="S784" s="139">
        <f>($N784*(1-(Assumptions!$C$25+0.06*(1-$I784))-Assumptions!$C$27)-Assumptions!$C$28)-MAX(0,($N784*(1-(Assumptions!$C$25+0.06*(1-$I784))-Assumptions!$C$27)-Assumptions!$C$28)*Assumptions!$C$31)+Assumptions!$C$28-Assumptions!$C$29-$N784*Assumptions!$C$30</f>
        <v>104.4868785</v>
      </c>
      <c r="T784" s="139">
        <f>($O784*(1-(Assumptions!$C$25+0.06*(1-$J784))-Assumptions!$C$27)-Assumptions!$C$28)-MAX(0,($O784*(1-(Assumptions!$C$25+0.06*(1-$J784))-Assumptions!$C$27)-Assumptions!$C$28)*Assumptions!$C$31)+Assumptions!$C$28-Assumptions!$C$29-$O784*Assumptions!$C$30</f>
        <v>110.7674101</v>
      </c>
      <c r="U784" s="139">
        <f>($P784*(1-(Assumptions!$C$25+0.06*(1-$K784))-Assumptions!$C$27)-Assumptions!$C$28)-MAX(0,($P784*(1-(Assumptions!$C$25+0.06*(1-$K784))-Assumptions!$C$27)-Assumptions!$C$28)*Assumptions!$C$31)+Assumptions!$C$28-Assumptions!$C$29-$P784*Assumptions!$C$30</f>
        <v>42.02250983</v>
      </c>
      <c r="V784" s="143">
        <f>(($Q784/(1+$D784)^1+$R784/(1+$D784)^2+$S784/(1+$D784)^3+$T784/(1+$D784)^4+$U784/(1+$D784)^5+$U784*(1+$E784)/($D784-$E784)/(1+$D784)^5)-Assumptions!$C$37)/Assumptions!$C$40/Assumptions!$C$38</f>
        <v>0.0156520302</v>
      </c>
    </row>
    <row r="785" ht="12.0" customHeight="1">
      <c r="B785" s="139">
        <v>733.0</v>
      </c>
      <c r="C785" s="140">
        <f t="shared" si="6"/>
        <v>0.1732289584</v>
      </c>
      <c r="D785" s="141">
        <f t="shared" si="7"/>
        <v>0.09266319887</v>
      </c>
      <c r="E785" s="141">
        <f t="shared" si="8"/>
        <v>0.0228179533</v>
      </c>
      <c r="F785" s="140">
        <f t="shared" si="9"/>
        <v>0.4238052513</v>
      </c>
      <c r="G785" s="141">
        <f t="shared" si="10"/>
        <v>0.0576197294</v>
      </c>
      <c r="H785" s="142">
        <f t="shared" si="11"/>
        <v>1</v>
      </c>
      <c r="I785" s="142">
        <f t="shared" si="12"/>
        <v>1</v>
      </c>
      <c r="J785" s="142">
        <f t="shared" si="13"/>
        <v>1</v>
      </c>
      <c r="K785" s="142">
        <f t="shared" si="14"/>
        <v>0</v>
      </c>
      <c r="L785" s="139">
        <f>Assumptions!$C$6*Assumptions!$C$7*(1+$G785-0.05*(1-1))^1+Assumptions!$C$6*Assumptions!$C$8*(1+Assumptions!$C$11)^1+Assumptions!$C$16*1+Assumptions!$C$6*Assumptions!$C$9*(1+Assumptions!$C$12)^1</f>
        <v>745.8628009</v>
      </c>
      <c r="M785" s="139">
        <f>Assumptions!$C$6*Assumptions!$C$7*(1+$G785-0.05*(1-$H785))^2+Assumptions!$C$6*Assumptions!$C$8*(1+Assumptions!$C$11)^2+Assumptions!$C$16*$H785+Assumptions!$C$6*Assumptions!$C$9*(1+Assumptions!$C$12)^2</f>
        <v>772.972485</v>
      </c>
      <c r="N785" s="139">
        <f>Assumptions!$C$6*Assumptions!$C$7*(1+$G785-0.05*(1-$I785))^3+Assumptions!$C$6*Assumptions!$C$8*(1+Assumptions!$C$11)^3+Assumptions!$C$16*$I785+Assumptions!$C$6*Assumptions!$C$9*(1+Assumptions!$C$12)^3</f>
        <v>801.3960309</v>
      </c>
      <c r="O785" s="139">
        <f>Assumptions!$C$6*Assumptions!$C$7*(1+$G785-0.05*(1-$J785))^4+Assumptions!$C$6*Assumptions!$C$8*(1+Assumptions!$C$11)^4+Assumptions!$C$16*$J785+Assumptions!$C$6*Assumptions!$C$9*(1+Assumptions!$C$12)^4</f>
        <v>831.204179</v>
      </c>
      <c r="P785" s="139">
        <f>Assumptions!$C$6*Assumptions!$C$7*(1+$G785-0.05*(1-$K785))^5+Assumptions!$C$6*Assumptions!$C$8*(1+Assumptions!$C$11)^5+Assumptions!$C$16*$K785+Assumptions!$C$6*Assumptions!$C$9*(1+Assumptions!$C$12)^5</f>
        <v>706.680662</v>
      </c>
      <c r="Q785" s="139">
        <f>($L785*(1-(Assumptions!$C$25+0.06*(1-1))-Assumptions!$C$27)-Assumptions!$C$28)-MAX(0,($L785*(1-(Assumptions!$C$25+0.06*(1-1))-Assumptions!$C$27)-Assumptions!$C$28)*Assumptions!$C$31)+Assumptions!$C$28-Assumptions!$C$29-$L785*Assumptions!$C$30</f>
        <v>92.8605022</v>
      </c>
      <c r="R785" s="139">
        <f>($M785*(1-(Assumptions!$C$25+0.06*(1-$H785))-Assumptions!$C$27)-Assumptions!$C$28)-MAX(0,($M785*(1-(Assumptions!$C$25+0.06*(1-$H785))-Assumptions!$C$27)-Assumptions!$C$28)*Assumptions!$C$31)+Assumptions!$C$28-Assumptions!$C$29-$M785*Assumptions!$C$30</f>
        <v>98.68908428</v>
      </c>
      <c r="S785" s="139">
        <f>($N785*(1-(Assumptions!$C$25+0.06*(1-$I785))-Assumptions!$C$27)-Assumptions!$C$28)-MAX(0,($N785*(1-(Assumptions!$C$25+0.06*(1-$I785))-Assumptions!$C$27)-Assumptions!$C$28)*Assumptions!$C$31)+Assumptions!$C$28-Assumptions!$C$29-$N785*Assumptions!$C$30</f>
        <v>104.8001466</v>
      </c>
      <c r="T785" s="139">
        <f>($O785*(1-(Assumptions!$C$25+0.06*(1-$J785))-Assumptions!$C$27)-Assumptions!$C$28)-MAX(0,($O785*(1-(Assumptions!$C$25+0.06*(1-$J785))-Assumptions!$C$27)-Assumptions!$C$28)*Assumptions!$C$31)+Assumptions!$C$28-Assumptions!$C$29-$O785*Assumptions!$C$30</f>
        <v>111.2088985</v>
      </c>
      <c r="U785" s="139">
        <f>($P785*(1-(Assumptions!$C$25+0.06*(1-$K785))-Assumptions!$C$27)-Assumptions!$C$28)-MAX(0,($P785*(1-(Assumptions!$C$25+0.06*(1-$K785))-Assumptions!$C$27)-Assumptions!$C$28)*Assumptions!$C$31)+Assumptions!$C$28-Assumptions!$C$29-$P785*Assumptions!$C$30</f>
        <v>42.53655227</v>
      </c>
      <c r="V785" s="143">
        <f>(($Q785/(1+$D785)^1+$R785/(1+$D785)^2+$S785/(1+$D785)^3+$T785/(1+$D785)^4+$U785/(1+$D785)^5+$U785*(1+$E785)/($D785-$E785)/(1+$D785)^5)-Assumptions!$C$37)/Assumptions!$C$40/Assumptions!$C$38</f>
        <v>0.4803057178</v>
      </c>
    </row>
    <row r="786" ht="12.0" customHeight="1">
      <c r="B786" s="139">
        <v>734.0</v>
      </c>
      <c r="C786" s="140">
        <f t="shared" si="6"/>
        <v>0.6434130593</v>
      </c>
      <c r="D786" s="141">
        <f t="shared" si="7"/>
        <v>0.1008562638</v>
      </c>
      <c r="E786" s="141">
        <f t="shared" si="8"/>
        <v>0.01148076883</v>
      </c>
      <c r="F786" s="140">
        <f t="shared" si="9"/>
        <v>0.1737892556</v>
      </c>
      <c r="G786" s="141">
        <f t="shared" si="10"/>
        <v>0.04768673684</v>
      </c>
      <c r="H786" s="142">
        <f t="shared" si="11"/>
        <v>0</v>
      </c>
      <c r="I786" s="142">
        <f t="shared" si="12"/>
        <v>0</v>
      </c>
      <c r="J786" s="142">
        <f t="shared" si="13"/>
        <v>1</v>
      </c>
      <c r="K786" s="142">
        <f t="shared" si="14"/>
        <v>1</v>
      </c>
      <c r="L786" s="139">
        <f>Assumptions!$C$6*Assumptions!$C$7*(1+$G786-0.05*(1-1))^1+Assumptions!$C$6*Assumptions!$C$8*(1+Assumptions!$C$11)^1+Assumptions!$C$16*1+Assumptions!$C$6*Assumptions!$C$9*(1+Assumptions!$C$12)^1</f>
        <v>742.5193556</v>
      </c>
      <c r="M786" s="139">
        <f>Assumptions!$C$6*Assumptions!$C$7*(1+$G786-0.05*(1-$H786))^2+Assumptions!$C$6*Assumptions!$C$8*(1+Assumptions!$C$11)^2+Assumptions!$C$16*$H786+Assumptions!$C$6*Assumptions!$C$9*(1+Assumptions!$C$12)^2</f>
        <v>671.5098725</v>
      </c>
      <c r="N786" s="139">
        <f>Assumptions!$C$6*Assumptions!$C$7*(1+$G786-0.05*(1-$I786))^3+Assumptions!$C$6*Assumptions!$C$8*(1+Assumptions!$C$11)^3+Assumptions!$C$16*$I786+Assumptions!$C$6*Assumptions!$C$9*(1+Assumptions!$C$12)^3</f>
        <v>677.4641335</v>
      </c>
      <c r="O786" s="139">
        <f>Assumptions!$C$6*Assumptions!$C$7*(1+$G786-0.05*(1-$J786))^4+Assumptions!$C$6*Assumptions!$C$8*(1+Assumptions!$C$11)^4+Assumptions!$C$16*$J786+Assumptions!$C$6*Assumptions!$C$9*(1+Assumptions!$C$12)^4</f>
        <v>815.604349</v>
      </c>
      <c r="P786" s="139">
        <f>Assumptions!$C$6*Assumptions!$C$7*(1+$G786-0.05*(1-$K786))^5+Assumptions!$C$6*Assumptions!$C$8*(1+Assumptions!$C$11)^5+Assumptions!$C$16*$K786+Assumptions!$C$6*Assumptions!$C$9*(1+Assumptions!$C$12)^5</f>
        <v>841.9446755</v>
      </c>
      <c r="Q786" s="139">
        <f>($L786*(1-(Assumptions!$C$25+0.06*(1-1))-Assumptions!$C$27)-Assumptions!$C$28)-MAX(0,($L786*(1-(Assumptions!$C$25+0.06*(1-1))-Assumptions!$C$27)-Assumptions!$C$28)*Assumptions!$C$31)+Assumptions!$C$28-Assumptions!$C$29-$L786*Assumptions!$C$30</f>
        <v>92.14166146</v>
      </c>
      <c r="R786" s="139">
        <f>($M786*(1-(Assumptions!$C$25+0.06*(1-$H786))-Assumptions!$C$27)-Assumptions!$C$28)-MAX(0,($M786*(1-(Assumptions!$C$25+0.06*(1-$H786))-Assumptions!$C$27)-Assumptions!$C$28)*Assumptions!$C$31)+Assumptions!$C$28-Assumptions!$C$29-$M786*Assumptions!$C$30</f>
        <v>34.44727066</v>
      </c>
      <c r="S786" s="139">
        <f>($N786*(1-(Assumptions!$C$25+0.06*(1-$I786))-Assumptions!$C$27)-Assumptions!$C$28)-MAX(0,($N786*(1-(Assumptions!$C$25+0.06*(1-$I786))-Assumptions!$C$27)-Assumptions!$C$28)*Assumptions!$C$31)+Assumptions!$C$28-Assumptions!$C$29-$N786*Assumptions!$C$30</f>
        <v>35.81675071</v>
      </c>
      <c r="T786" s="139">
        <f>($O786*(1-(Assumptions!$C$25+0.06*(1-$J786))-Assumptions!$C$27)-Assumptions!$C$28)-MAX(0,($O786*(1-(Assumptions!$C$25+0.06*(1-$J786))-Assumptions!$C$27)-Assumptions!$C$28)*Assumptions!$C$31)+Assumptions!$C$28-Assumptions!$C$29-$O786*Assumptions!$C$30</f>
        <v>107.854935</v>
      </c>
      <c r="U786" s="139">
        <f>($P786*(1-(Assumptions!$C$25+0.06*(1-$K786))-Assumptions!$C$27)-Assumptions!$C$28)-MAX(0,($P786*(1-(Assumptions!$C$25+0.06*(1-$K786))-Assumptions!$C$27)-Assumptions!$C$28)*Assumptions!$C$31)+Assumptions!$C$28-Assumptions!$C$29-$P786*Assumptions!$C$30</f>
        <v>113.5181052</v>
      </c>
      <c r="V786" s="143">
        <f>(($Q786/(1+$D786)^1+$R786/(1+$D786)^2+$S786/(1+$D786)^3+$T786/(1+$D786)^4+$U786/(1+$D786)^5+$U786*(1+$E786)/($D786-$E786)/(1+$D786)^5)-Assumptions!$C$37)/Assumptions!$C$40/Assumptions!$C$38</f>
        <v>3.008630131</v>
      </c>
    </row>
    <row r="787" ht="12.0" customHeight="1">
      <c r="B787" s="139">
        <v>735.0</v>
      </c>
      <c r="C787" s="140">
        <f t="shared" si="6"/>
        <v>0.8806134225</v>
      </c>
      <c r="D787" s="141">
        <f t="shared" si="7"/>
        <v>0.1068161213</v>
      </c>
      <c r="E787" s="141">
        <f t="shared" si="8"/>
        <v>0.02859782372</v>
      </c>
      <c r="F787" s="140">
        <f t="shared" si="9"/>
        <v>0.1465984338</v>
      </c>
      <c r="G787" s="141">
        <f t="shared" si="10"/>
        <v>0.04624429687</v>
      </c>
      <c r="H787" s="142">
        <f t="shared" si="11"/>
        <v>1</v>
      </c>
      <c r="I787" s="142">
        <f t="shared" si="12"/>
        <v>0</v>
      </c>
      <c r="J787" s="142">
        <f t="shared" si="13"/>
        <v>1</v>
      </c>
      <c r="K787" s="142">
        <f t="shared" si="14"/>
        <v>1</v>
      </c>
      <c r="L787" s="139">
        <f>Assumptions!$C$6*Assumptions!$C$7*(1+$G787-0.05*(1-1))^1+Assumptions!$C$6*Assumptions!$C$8*(1+Assumptions!$C$11)^1+Assumptions!$C$16*1+Assumptions!$C$6*Assumptions!$C$9*(1+Assumptions!$C$12)^1</f>
        <v>742.0338303</v>
      </c>
      <c r="M787" s="139">
        <f>Assumptions!$C$6*Assumptions!$C$7*(1+$G787-0.05*(1-$H787))^2+Assumptions!$C$6*Assumptions!$C$8*(1+Assumptions!$C$11)^2+Assumptions!$C$16*$H787+Assumptions!$C$6*Assumptions!$C$9*(1+Assumptions!$C$12)^2</f>
        <v>764.9168515</v>
      </c>
      <c r="N787" s="139">
        <f>Assumptions!$C$6*Assumptions!$C$7*(1+$G787-0.05*(1-$I787))^3+Assumptions!$C$6*Assumptions!$C$8*(1+Assumptions!$C$11)^3+Assumptions!$C$16*$I787+Assumptions!$C$6*Assumptions!$C$9*(1+Assumptions!$C$12)^3</f>
        <v>676.0163839</v>
      </c>
      <c r="O787" s="139">
        <f>Assumptions!$C$6*Assumptions!$C$7*(1+$G787-0.05*(1-$J787))^4+Assumptions!$C$6*Assumptions!$C$8*(1+Assumptions!$C$11)^4+Assumptions!$C$16*$J787+Assumptions!$C$6*Assumptions!$C$9*(1+Assumptions!$C$12)^4</f>
        <v>813.3755588</v>
      </c>
      <c r="P787" s="139">
        <f>Assumptions!$C$6*Assumptions!$C$7*(1+$G787-0.05*(1-$K787))^5+Assumptions!$C$6*Assumptions!$C$8*(1+Assumptions!$C$11)^5+Assumptions!$C$16*$K787+Assumptions!$C$6*Assumptions!$C$9*(1+Assumptions!$C$12)^5</f>
        <v>839.027841</v>
      </c>
      <c r="Q787" s="139">
        <f>($L787*(1-(Assumptions!$C$25+0.06*(1-1))-Assumptions!$C$27)-Assumptions!$C$28)-MAX(0,($L787*(1-(Assumptions!$C$25+0.06*(1-1))-Assumptions!$C$27)-Assumptions!$C$28)*Assumptions!$C$31)+Assumptions!$C$28-Assumptions!$C$29-$L787*Assumptions!$C$30</f>
        <v>92.03727352</v>
      </c>
      <c r="R787" s="139">
        <f>($M787*(1-(Assumptions!$C$25+0.06*(1-$H787))-Assumptions!$C$27)-Assumptions!$C$28)-MAX(0,($M787*(1-(Assumptions!$C$25+0.06*(1-$H787))-Assumptions!$C$27)-Assumptions!$C$28)*Assumptions!$C$31)+Assumptions!$C$28-Assumptions!$C$29-$M787*Assumptions!$C$30</f>
        <v>96.95712308</v>
      </c>
      <c r="S787" s="139">
        <f>($N787*(1-(Assumptions!$C$25+0.06*(1-$I787))-Assumptions!$C$27)-Assumptions!$C$28)-MAX(0,($N787*(1-(Assumptions!$C$25+0.06*(1-$I787))-Assumptions!$C$27)-Assumptions!$C$28)*Assumptions!$C$31)+Assumptions!$C$28-Assumptions!$C$29-$N787*Assumptions!$C$30</f>
        <v>35.48376829</v>
      </c>
      <c r="T787" s="139">
        <f>($O787*(1-(Assumptions!$C$25+0.06*(1-$J787))-Assumptions!$C$27)-Assumptions!$C$28)-MAX(0,($O787*(1-(Assumptions!$C$25+0.06*(1-$J787))-Assumptions!$C$27)-Assumptions!$C$28)*Assumptions!$C$31)+Assumptions!$C$28-Assumptions!$C$29-$O787*Assumptions!$C$30</f>
        <v>107.3757451</v>
      </c>
      <c r="U787" s="139">
        <f>($P787*(1-(Assumptions!$C$25+0.06*(1-$K787))-Assumptions!$C$27)-Assumptions!$C$28)-MAX(0,($P787*(1-(Assumptions!$C$25+0.06*(1-$K787))-Assumptions!$C$27)-Assumptions!$C$28)*Assumptions!$C$31)+Assumptions!$C$28-Assumptions!$C$29-$P787*Assumptions!$C$30</f>
        <v>112.8909858</v>
      </c>
      <c r="V787" s="143">
        <f>(($Q787/(1+$D787)^1+$R787/(1+$D787)^2+$S787/(1+$D787)^3+$T787/(1+$D787)^4+$U787/(1+$D787)^5+$U787*(1+$E787)/($D787-$E787)/(1+$D787)^5)-Assumptions!$C$37)/Assumptions!$C$40/Assumptions!$C$38</f>
        <v>4.136419694</v>
      </c>
    </row>
    <row r="788" ht="12.0" customHeight="1">
      <c r="B788" s="139">
        <v>736.0</v>
      </c>
      <c r="C788" s="140">
        <f t="shared" si="6"/>
        <v>0.0953215232</v>
      </c>
      <c r="D788" s="141">
        <f t="shared" si="7"/>
        <v>0.09068454012</v>
      </c>
      <c r="E788" s="141">
        <f t="shared" si="8"/>
        <v>0.02266382049</v>
      </c>
      <c r="F788" s="140">
        <f t="shared" si="9"/>
        <v>0.1716908437</v>
      </c>
      <c r="G788" s="141">
        <f t="shared" si="10"/>
        <v>0.04757963363</v>
      </c>
      <c r="H788" s="142">
        <f t="shared" si="11"/>
        <v>1</v>
      </c>
      <c r="I788" s="142">
        <f t="shared" si="12"/>
        <v>1</v>
      </c>
      <c r="J788" s="142">
        <f t="shared" si="13"/>
        <v>0</v>
      </c>
      <c r="K788" s="142">
        <f t="shared" si="14"/>
        <v>1</v>
      </c>
      <c r="L788" s="139">
        <f>Assumptions!$C$6*Assumptions!$C$7*(1+$G788-0.05*(1-1))^1+Assumptions!$C$6*Assumptions!$C$8*(1+Assumptions!$C$11)^1+Assumptions!$C$16*1+Assumptions!$C$6*Assumptions!$C$9*(1+Assumptions!$C$12)^1</f>
        <v>742.4833047</v>
      </c>
      <c r="M788" s="139">
        <f>Assumptions!$C$6*Assumptions!$C$7*(1+$G788-0.05*(1-$H788))^2+Assumptions!$C$6*Assumptions!$C$8*(1+Assumptions!$C$11)^2+Assumptions!$C$16*$H788+Assumptions!$C$6*Assumptions!$C$9*(1+Assumptions!$C$12)^2</f>
        <v>765.8579717</v>
      </c>
      <c r="N788" s="139">
        <f>Assumptions!$C$6*Assumptions!$C$7*(1+$G788-0.05*(1-$I788))^3+Assumptions!$C$6*Assumptions!$C$8*(1+Assumptions!$C$11)^3+Assumptions!$C$16*$I788+Assumptions!$C$6*Assumptions!$C$9*(1+Assumptions!$C$12)^3</f>
        <v>790.162844</v>
      </c>
      <c r="O788" s="139">
        <f>Assumptions!$C$6*Assumptions!$C$7*(1+$G788-0.05*(1-$J788))^4+Assumptions!$C$6*Assumptions!$C$8*(1+Assumptions!$C$11)^4+Assumptions!$C$16*$J788+Assumptions!$C$6*Assumptions!$C$9*(1+Assumptions!$C$12)^4</f>
        <v>683.4115914</v>
      </c>
      <c r="P788" s="139">
        <f>Assumptions!$C$6*Assumptions!$C$7*(1+$G788-0.05*(1-$K788))^5+Assumptions!$C$6*Assumptions!$C$8*(1+Assumptions!$C$11)^5+Assumptions!$C$16*$K788+Assumptions!$C$6*Assumptions!$C$9*(1+Assumptions!$C$12)^5</f>
        <v>841.7275436</v>
      </c>
      <c r="Q788" s="139">
        <f>($L788*(1-(Assumptions!$C$25+0.06*(1-1))-Assumptions!$C$27)-Assumptions!$C$28)-MAX(0,($L788*(1-(Assumptions!$C$25+0.06*(1-1))-Assumptions!$C$27)-Assumptions!$C$28)*Assumptions!$C$31)+Assumptions!$C$28-Assumptions!$C$29-$L788*Assumptions!$C$30</f>
        <v>92.13391051</v>
      </c>
      <c r="R788" s="139">
        <f>($M788*(1-(Assumptions!$C$25+0.06*(1-$H788))-Assumptions!$C$27)-Assumptions!$C$28)-MAX(0,($M788*(1-(Assumptions!$C$25+0.06*(1-$H788))-Assumptions!$C$27)-Assumptions!$C$28)*Assumptions!$C$31)+Assumptions!$C$28-Assumptions!$C$29-$M788*Assumptions!$C$30</f>
        <v>97.15946391</v>
      </c>
      <c r="S788" s="139">
        <f>($N788*(1-(Assumptions!$C$25+0.06*(1-$I788))-Assumptions!$C$27)-Assumptions!$C$28)-MAX(0,($N788*(1-(Assumptions!$C$25+0.06*(1-$I788))-Assumptions!$C$27)-Assumptions!$C$28)*Assumptions!$C$31)+Assumptions!$C$28-Assumptions!$C$29-$N788*Assumptions!$C$30</f>
        <v>102.3850115</v>
      </c>
      <c r="T788" s="139">
        <f>($O788*(1-(Assumptions!$C$25+0.06*(1-$J788))-Assumptions!$C$27)-Assumptions!$C$28)-MAX(0,($O788*(1-(Assumptions!$C$25+0.06*(1-$J788))-Assumptions!$C$27)-Assumptions!$C$28)*Assumptions!$C$31)+Assumptions!$C$28-Assumptions!$C$29-$O788*Assumptions!$C$30</f>
        <v>37.18466601</v>
      </c>
      <c r="U788" s="139">
        <f>($P788*(1-(Assumptions!$C$25+0.06*(1-$K788))-Assumptions!$C$27)-Assumptions!$C$28)-MAX(0,($P788*(1-(Assumptions!$C$25+0.06*(1-$K788))-Assumptions!$C$27)-Assumptions!$C$28)*Assumptions!$C$31)+Assumptions!$C$28-Assumptions!$C$29-$P788*Assumptions!$C$30</f>
        <v>113.4714219</v>
      </c>
      <c r="V788" s="143">
        <f>(($Q788/(1+$D788)^1+$R788/(1+$D788)^2+$S788/(1+$D788)^3+$T788/(1+$D788)^4+$U788/(1+$D788)^5+$U788*(1+$E788)/($D788-$E788)/(1+$D788)^5)-Assumptions!$C$37)/Assumptions!$C$40/Assumptions!$C$38</f>
        <v>5.918986145</v>
      </c>
    </row>
    <row r="789" ht="12.0" customHeight="1">
      <c r="B789" s="139">
        <v>737.0</v>
      </c>
      <c r="C789" s="140">
        <f t="shared" si="6"/>
        <v>0.5066043091</v>
      </c>
      <c r="D789" s="141">
        <f t="shared" si="7"/>
        <v>0.09836284331</v>
      </c>
      <c r="E789" s="141">
        <f t="shared" si="8"/>
        <v>0.02569579535</v>
      </c>
      <c r="F789" s="140">
        <f t="shared" si="9"/>
        <v>0.6991271754</v>
      </c>
      <c r="G789" s="141">
        <f t="shared" si="10"/>
        <v>0.06672832012</v>
      </c>
      <c r="H789" s="142">
        <f t="shared" si="11"/>
        <v>1</v>
      </c>
      <c r="I789" s="142">
        <f t="shared" si="12"/>
        <v>1</v>
      </c>
      <c r="J789" s="142">
        <f t="shared" si="13"/>
        <v>0</v>
      </c>
      <c r="K789" s="142">
        <f t="shared" si="14"/>
        <v>0</v>
      </c>
      <c r="L789" s="139">
        <f>Assumptions!$C$6*Assumptions!$C$7*(1+$G789-0.05*(1-1))^1+Assumptions!$C$6*Assumptions!$C$8*(1+Assumptions!$C$11)^1+Assumptions!$C$16*1+Assumptions!$C$6*Assumptions!$C$9*(1+Assumptions!$C$12)^1</f>
        <v>748.9287526</v>
      </c>
      <c r="M789" s="139">
        <f>Assumptions!$C$6*Assumptions!$C$7*(1+$G789-0.05*(1-$H789))^2+Assumptions!$C$6*Assumptions!$C$8*(1+Assumptions!$C$11)^2+Assumptions!$C$16*$H789+Assumptions!$C$6*Assumptions!$C$9*(1+Assumptions!$C$12)^2</f>
        <v>779.4856334</v>
      </c>
      <c r="N789" s="139">
        <f>Assumptions!$C$6*Assumptions!$C$7*(1+$G789-0.05*(1-$I789))^3+Assumptions!$C$6*Assumptions!$C$8*(1+Assumptions!$C$11)^3+Assumptions!$C$16*$I789+Assumptions!$C$6*Assumptions!$C$9*(1+Assumptions!$C$12)^3</f>
        <v>811.77324</v>
      </c>
      <c r="O789" s="139">
        <f>Assumptions!$C$6*Assumptions!$C$7*(1+$G789-0.05*(1-$J789))^4+Assumptions!$C$6*Assumptions!$C$8*(1+Assumptions!$C$11)^4+Assumptions!$C$16*$J789+Assumptions!$C$6*Assumptions!$C$9*(1+Assumptions!$C$12)^4</f>
        <v>709.7530581</v>
      </c>
      <c r="P789" s="139">
        <f>Assumptions!$C$6*Assumptions!$C$7*(1+$G789-0.05*(1-$K789))^5+Assumptions!$C$6*Assumptions!$C$8*(1+Assumptions!$C$11)^5+Assumptions!$C$16*$K789+Assumptions!$C$6*Assumptions!$C$9*(1+Assumptions!$C$12)^5</f>
        <v>722.771314</v>
      </c>
      <c r="Q789" s="139">
        <f>($L789*(1-(Assumptions!$C$25+0.06*(1-1))-Assumptions!$C$27)-Assumptions!$C$28)-MAX(0,($L789*(1-(Assumptions!$C$25+0.06*(1-1))-Assumptions!$C$27)-Assumptions!$C$28)*Assumptions!$C$31)+Assumptions!$C$28-Assumptions!$C$29-$L789*Assumptions!$C$30</f>
        <v>93.5196818</v>
      </c>
      <c r="R789" s="139">
        <f>($M789*(1-(Assumptions!$C$25+0.06*(1-$H789))-Assumptions!$C$27)-Assumptions!$C$28)-MAX(0,($M789*(1-(Assumptions!$C$25+0.06*(1-$H789))-Assumptions!$C$27)-Assumptions!$C$28)*Assumptions!$C$31)+Assumptions!$C$28-Assumptions!$C$29-$M789*Assumptions!$C$30</f>
        <v>100.0894112</v>
      </c>
      <c r="S789" s="139">
        <f>($N789*(1-(Assumptions!$C$25+0.06*(1-$I789))-Assumptions!$C$27)-Assumptions!$C$28)-MAX(0,($N789*(1-(Assumptions!$C$25+0.06*(1-$I789))-Assumptions!$C$27)-Assumptions!$C$28)*Assumptions!$C$31)+Assumptions!$C$28-Assumptions!$C$29-$N789*Assumptions!$C$30</f>
        <v>107.0312466</v>
      </c>
      <c r="T789" s="139">
        <f>($O789*(1-(Assumptions!$C$25+0.06*(1-$J789))-Assumptions!$C$27)-Assumptions!$C$28)-MAX(0,($O789*(1-(Assumptions!$C$25+0.06*(1-$J789))-Assumptions!$C$27)-Assumptions!$C$28)*Assumptions!$C$31)+Assumptions!$C$28-Assumptions!$C$29-$O789*Assumptions!$C$30</f>
        <v>43.24320336</v>
      </c>
      <c r="U789" s="139">
        <f>($P789*(1-(Assumptions!$C$25+0.06*(1-$K789))-Assumptions!$C$27)-Assumptions!$C$28)-MAX(0,($P789*(1-(Assumptions!$C$25+0.06*(1-$K789))-Assumptions!$C$27)-Assumptions!$C$28)*Assumptions!$C$31)+Assumptions!$C$28-Assumptions!$C$29-$P789*Assumptions!$C$30</f>
        <v>46.23740221</v>
      </c>
      <c r="V789" s="143">
        <f>(($Q789/(1+$D789)^1+$R789/(1+$D789)^2+$S789/(1+$D789)^3+$T789/(1+$D789)^4+$U789/(1+$D789)^5+$U789*(1+$E789)/($D789-$E789)/(1+$D789)^5)-Assumptions!$C$37)/Assumptions!$C$40/Assumptions!$C$38</f>
        <v>0.1879877024</v>
      </c>
    </row>
    <row r="790" ht="12.0" customHeight="1">
      <c r="B790" s="139">
        <v>738.0</v>
      </c>
      <c r="C790" s="140">
        <f t="shared" si="6"/>
        <v>0.02139695654</v>
      </c>
      <c r="D790" s="141">
        <f t="shared" si="7"/>
        <v>0.08769324493</v>
      </c>
      <c r="E790" s="141">
        <f t="shared" si="8"/>
        <v>0.0266903387</v>
      </c>
      <c r="F790" s="140">
        <f t="shared" si="9"/>
        <v>0.589985622</v>
      </c>
      <c r="G790" s="141">
        <f t="shared" si="10"/>
        <v>0.06283336825</v>
      </c>
      <c r="H790" s="142">
        <f t="shared" si="11"/>
        <v>0</v>
      </c>
      <c r="I790" s="142">
        <f t="shared" si="12"/>
        <v>0</v>
      </c>
      <c r="J790" s="142">
        <f t="shared" si="13"/>
        <v>0</v>
      </c>
      <c r="K790" s="142">
        <f t="shared" si="14"/>
        <v>0</v>
      </c>
      <c r="L790" s="139">
        <f>Assumptions!$C$6*Assumptions!$C$7*(1+$G790-0.05*(1-1))^1+Assumptions!$C$6*Assumptions!$C$8*(1+Assumptions!$C$11)^1+Assumptions!$C$16*1+Assumptions!$C$6*Assumptions!$C$9*(1+Assumptions!$C$12)^1</f>
        <v>747.6177118</v>
      </c>
      <c r="M790" s="139">
        <f>Assumptions!$C$6*Assumptions!$C$7*(1+$G790-0.05*(1-$H790))^2+Assumptions!$C$6*Assumptions!$C$8*(1+Assumptions!$C$11)^2+Assumptions!$C$16*$H790+Assumptions!$C$6*Assumptions!$C$9*(1+Assumptions!$C$12)^2</f>
        <v>681.76022</v>
      </c>
      <c r="N790" s="139">
        <f>Assumptions!$C$6*Assumptions!$C$7*(1+$G790-0.05*(1-$I790))^3+Assumptions!$C$6*Assumptions!$C$8*(1+Assumptions!$C$11)^3+Assumptions!$C$16*$I790+Assumptions!$C$6*Assumptions!$C$9*(1+Assumptions!$C$12)^3</f>
        <v>692.9208233</v>
      </c>
      <c r="O790" s="139">
        <f>Assumptions!$C$6*Assumptions!$C$7*(1+$G790-0.05*(1-$J790))^4+Assumptions!$C$6*Assumptions!$C$8*(1+Assumptions!$C$11)^4+Assumptions!$C$16*$J790+Assumptions!$C$6*Assumptions!$C$9*(1+Assumptions!$C$12)^4</f>
        <v>704.2728811</v>
      </c>
      <c r="P790" s="139">
        <f>Assumptions!$C$6*Assumptions!$C$7*(1+$G790-0.05*(1-$K790))^5+Assumptions!$C$6*Assumptions!$C$8*(1+Assumptions!$C$11)^5+Assumptions!$C$16*$K790+Assumptions!$C$6*Assumptions!$C$9*(1+Assumptions!$C$12)^5</f>
        <v>715.8198152</v>
      </c>
      <c r="Q790" s="139">
        <f>($L790*(1-(Assumptions!$C$25+0.06*(1-1))-Assumptions!$C$27)-Assumptions!$C$28)-MAX(0,($L790*(1-(Assumptions!$C$25+0.06*(1-1))-Assumptions!$C$27)-Assumptions!$C$28)*Assumptions!$C$31)+Assumptions!$C$28-Assumptions!$C$29-$L790*Assumptions!$C$30</f>
        <v>93.23780803</v>
      </c>
      <c r="R790" s="139">
        <f>($M790*(1-(Assumptions!$C$25+0.06*(1-$H790))-Assumptions!$C$27)-Assumptions!$C$28)-MAX(0,($M790*(1-(Assumptions!$C$25+0.06*(1-$H790))-Assumptions!$C$27)-Assumptions!$C$28)*Assumptions!$C$31)+Assumptions!$C$28-Assumptions!$C$29-$M790*Assumptions!$C$30</f>
        <v>36.80485059</v>
      </c>
      <c r="S790" s="139">
        <f>($N790*(1-(Assumptions!$C$25+0.06*(1-$I790))-Assumptions!$C$27)-Assumptions!$C$28)-MAX(0,($N790*(1-(Assumptions!$C$25+0.06*(1-$I790))-Assumptions!$C$27)-Assumptions!$C$28)*Assumptions!$C$31)+Assumptions!$C$28-Assumptions!$C$29-$N790*Assumptions!$C$30</f>
        <v>39.37178935</v>
      </c>
      <c r="T790" s="139">
        <f>($O790*(1-(Assumptions!$C$25+0.06*(1-$J790))-Assumptions!$C$27)-Assumptions!$C$28)-MAX(0,($O790*(1-(Assumptions!$C$25+0.06*(1-$J790))-Assumptions!$C$27)-Assumptions!$C$28)*Assumptions!$C$31)+Assumptions!$C$28-Assumptions!$C$29-$O790*Assumptions!$C$30</f>
        <v>41.98276266</v>
      </c>
      <c r="U790" s="139">
        <f>($P790*(1-(Assumptions!$C$25+0.06*(1-$K790))-Assumptions!$C$27)-Assumptions!$C$28)-MAX(0,($P790*(1-(Assumptions!$C$25+0.06*(1-$K790))-Assumptions!$C$27)-Assumptions!$C$28)*Assumptions!$C$31)+Assumptions!$C$28-Assumptions!$C$29-$P790*Assumptions!$C$30</f>
        <v>44.63855749</v>
      </c>
      <c r="V790" s="143">
        <f>(($Q790/(1+$D790)^1+$R790/(1+$D790)^2+$S790/(1+$D790)^3+$T790/(1+$D790)^4+$U790/(1+$D790)^5+$U790*(1+$E790)/($D790-$E790)/(1+$D790)^5)-Assumptions!$C$37)/Assumptions!$C$40/Assumptions!$C$38</f>
        <v>0.06648151187</v>
      </c>
    </row>
    <row r="791" ht="12.0" customHeight="1">
      <c r="B791" s="139">
        <v>739.0</v>
      </c>
      <c r="C791" s="140">
        <f t="shared" si="6"/>
        <v>0.9956249971</v>
      </c>
      <c r="D791" s="141">
        <f t="shared" si="7"/>
        <v>0.113433355</v>
      </c>
      <c r="E791" s="141">
        <f t="shared" si="8"/>
        <v>0.01926143362</v>
      </c>
      <c r="F791" s="140">
        <f t="shared" si="9"/>
        <v>0.2914113767</v>
      </c>
      <c r="G791" s="141">
        <f t="shared" si="10"/>
        <v>0.05290284869</v>
      </c>
      <c r="H791" s="142">
        <f t="shared" si="11"/>
        <v>1</v>
      </c>
      <c r="I791" s="142">
        <f t="shared" si="12"/>
        <v>0</v>
      </c>
      <c r="J791" s="142">
        <f t="shared" si="13"/>
        <v>0</v>
      </c>
      <c r="K791" s="142">
        <f t="shared" si="14"/>
        <v>1</v>
      </c>
      <c r="L791" s="139">
        <f>Assumptions!$C$6*Assumptions!$C$7*(1+$G791-0.05*(1-1))^1+Assumptions!$C$6*Assumptions!$C$8*(1+Assumptions!$C$11)^1+Assumptions!$C$16*1+Assumptions!$C$6*Assumptions!$C$9*(1+Assumptions!$C$12)^1</f>
        <v>744.2750989</v>
      </c>
      <c r="M791" s="139">
        <f>Assumptions!$C$6*Assumptions!$C$7*(1+$G791-0.05*(1-$H791))^2+Assumptions!$C$6*Assumptions!$C$8*(1+Assumptions!$C$11)^2+Assumptions!$C$16*$H791+Assumptions!$C$6*Assumptions!$C$9*(1+Assumptions!$C$12)^2</f>
        <v>769.621604</v>
      </c>
      <c r="N791" s="139">
        <f>Assumptions!$C$6*Assumptions!$C$7*(1+$G791-0.05*(1-$I791))^3+Assumptions!$C$6*Assumptions!$C$8*(1+Assumptions!$C$11)^3+Assumptions!$C$16*$I791+Assumptions!$C$6*Assumptions!$C$9*(1+Assumptions!$C$12)^3</f>
        <v>682.7344811</v>
      </c>
      <c r="O791" s="139">
        <f>Assumptions!$C$6*Assumptions!$C$7*(1+$G791-0.05*(1-$J791))^4+Assumptions!$C$6*Assumptions!$C$8*(1+Assumptions!$C$11)^4+Assumptions!$C$16*$J791+Assumptions!$C$6*Assumptions!$C$9*(1+Assumptions!$C$12)^4</f>
        <v>690.5840072</v>
      </c>
      <c r="P791" s="139">
        <f>Assumptions!$C$6*Assumptions!$C$7*(1+$G791-0.05*(1-$K791))^5+Assumptions!$C$6*Assumptions!$C$8*(1+Assumptions!$C$11)^5+Assumptions!$C$16*$K791+Assumptions!$C$6*Assumptions!$C$9*(1+Assumptions!$C$12)^5</f>
        <v>852.62738</v>
      </c>
      <c r="Q791" s="139">
        <f>($L791*(1-(Assumptions!$C$25+0.06*(1-1))-Assumptions!$C$27)-Assumptions!$C$28)-MAX(0,($L791*(1-(Assumptions!$C$25+0.06*(1-1))-Assumptions!$C$27)-Assumptions!$C$28)*Assumptions!$C$31)+Assumptions!$C$28-Assumptions!$C$29-$L791*Assumptions!$C$30</f>
        <v>92.51914626</v>
      </c>
      <c r="R791" s="139">
        <f>($M791*(1-(Assumptions!$C$25+0.06*(1-$H791))-Assumptions!$C$27)-Assumptions!$C$28)-MAX(0,($M791*(1-(Assumptions!$C$25+0.06*(1-$H791))-Assumptions!$C$27)-Assumptions!$C$28)*Assumptions!$C$31)+Assumptions!$C$28-Assumptions!$C$29-$M791*Assumptions!$C$30</f>
        <v>97.96864486</v>
      </c>
      <c r="S791" s="139">
        <f>($N791*(1-(Assumptions!$C$25+0.06*(1-$I791))-Assumptions!$C$27)-Assumptions!$C$28)-MAX(0,($N791*(1-(Assumptions!$C$25+0.06*(1-$I791))-Assumptions!$C$27)-Assumptions!$C$28)*Assumptions!$C$31)+Assumptions!$C$28-Assumptions!$C$29-$N791*Assumptions!$C$30</f>
        <v>37.02893066</v>
      </c>
      <c r="T791" s="139">
        <f>($O791*(1-(Assumptions!$C$25+0.06*(1-$J791))-Assumptions!$C$27)-Assumptions!$C$28)-MAX(0,($O791*(1-(Assumptions!$C$25+0.06*(1-$J791))-Assumptions!$C$27)-Assumptions!$C$28)*Assumptions!$C$31)+Assumptions!$C$28-Assumptions!$C$29-$O791*Assumptions!$C$30</f>
        <v>38.83432166</v>
      </c>
      <c r="U791" s="139">
        <f>($P791*(1-(Assumptions!$C$25+0.06*(1-$K791))-Assumptions!$C$27)-Assumptions!$C$28)-MAX(0,($P791*(1-(Assumptions!$C$25+0.06*(1-$K791))-Assumptions!$C$27)-Assumptions!$C$28)*Assumptions!$C$31)+Assumptions!$C$28-Assumptions!$C$29-$P791*Assumptions!$C$30</f>
        <v>115.8148867</v>
      </c>
      <c r="V791" s="143">
        <f>(($Q791/(1+$D791)^1+$R791/(1+$D791)^2+$S791/(1+$D791)^3+$T791/(1+$D791)^4+$U791/(1+$D791)^5+$U791*(1+$E791)/($D791-$E791)/(1+$D791)^5)-Assumptions!$C$37)/Assumptions!$C$40/Assumptions!$C$38</f>
        <v>2.51824025</v>
      </c>
    </row>
    <row r="792" ht="12.0" customHeight="1">
      <c r="B792" s="139">
        <v>740.0</v>
      </c>
      <c r="C792" s="140">
        <f t="shared" si="6"/>
        <v>0.520747885</v>
      </c>
      <c r="D792" s="141">
        <f t="shared" si="7"/>
        <v>0.09860303575</v>
      </c>
      <c r="E792" s="141">
        <f t="shared" si="8"/>
        <v>0.01401504537</v>
      </c>
      <c r="F792" s="140">
        <f t="shared" si="9"/>
        <v>0.9508037581</v>
      </c>
      <c r="G792" s="141">
        <f t="shared" si="10"/>
        <v>0.08058972713</v>
      </c>
      <c r="H792" s="142">
        <f t="shared" si="11"/>
        <v>1</v>
      </c>
      <c r="I792" s="142">
        <f t="shared" si="12"/>
        <v>0</v>
      </c>
      <c r="J792" s="142">
        <f t="shared" si="13"/>
        <v>1</v>
      </c>
      <c r="K792" s="142">
        <f t="shared" si="14"/>
        <v>1</v>
      </c>
      <c r="L792" s="139">
        <f>Assumptions!$C$6*Assumptions!$C$7*(1+$G792-0.05*(1-1))^1+Assumptions!$C$6*Assumptions!$C$8*(1+Assumptions!$C$11)^1+Assumptions!$C$16*1+Assumptions!$C$6*Assumptions!$C$9*(1+Assumptions!$C$12)^1</f>
        <v>753.5945022</v>
      </c>
      <c r="M792" s="139">
        <f>Assumptions!$C$6*Assumptions!$C$7*(1+$G792-0.05*(1-$H792))^2+Assumptions!$C$6*Assumptions!$C$8*(1+Assumptions!$C$11)^2+Assumptions!$C$16*$H792+Assumptions!$C$6*Assumptions!$C$9*(1+Assumptions!$C$12)^2</f>
        <v>789.5044817</v>
      </c>
      <c r="N792" s="139">
        <f>Assumptions!$C$6*Assumptions!$C$7*(1+$G792-0.05*(1-$I792))^3+Assumptions!$C$6*Assumptions!$C$8*(1+Assumptions!$C$11)^3+Assumptions!$C$16*$I792+Assumptions!$C$6*Assumptions!$C$9*(1+Assumptions!$C$12)^3</f>
        <v>711.63871</v>
      </c>
      <c r="O792" s="139">
        <f>Assumptions!$C$6*Assumptions!$C$7*(1+$G792-0.05*(1-$J792))^4+Assumptions!$C$6*Assumptions!$C$8*(1+Assumptions!$C$11)^4+Assumptions!$C$16*$J792+Assumptions!$C$6*Assumptions!$C$9*(1+Assumptions!$C$12)^4</f>
        <v>869.0001862</v>
      </c>
      <c r="P792" s="139">
        <f>Assumptions!$C$6*Assumptions!$C$7*(1+$G792-0.05*(1-$K792))^5+Assumptions!$C$6*Assumptions!$C$8*(1+Assumptions!$C$11)^5+Assumptions!$C$16*$K792+Assumptions!$C$6*Assumptions!$C$9*(1+Assumptions!$C$12)^5</f>
        <v>912.9873378</v>
      </c>
      <c r="Q792" s="139">
        <f>($L792*(1-(Assumptions!$C$25+0.06*(1-1))-Assumptions!$C$27)-Assumptions!$C$28)-MAX(0,($L792*(1-(Assumptions!$C$25+0.06*(1-1))-Assumptions!$C$27)-Assumptions!$C$28)*Assumptions!$C$31)+Assumptions!$C$28-Assumptions!$C$29-$L792*Assumptions!$C$30</f>
        <v>94.52281796</v>
      </c>
      <c r="R792" s="139">
        <f>($M792*(1-(Assumptions!$C$25+0.06*(1-$H792))-Assumptions!$C$27)-Assumptions!$C$28)-MAX(0,($M792*(1-(Assumptions!$C$25+0.06*(1-$H792))-Assumptions!$C$27)-Assumptions!$C$28)*Assumptions!$C$31)+Assumptions!$C$28-Assumptions!$C$29-$M792*Assumptions!$C$30</f>
        <v>102.2434636</v>
      </c>
      <c r="S792" s="139">
        <f>($N792*(1-(Assumptions!$C$25+0.06*(1-$I792))-Assumptions!$C$27)-Assumptions!$C$28)-MAX(0,($N792*(1-(Assumptions!$C$25+0.06*(1-$I792))-Assumptions!$C$27)-Assumptions!$C$28)*Assumptions!$C$31)+Assumptions!$C$28-Assumptions!$C$29-$N792*Assumptions!$C$30</f>
        <v>43.6769033</v>
      </c>
      <c r="T792" s="139">
        <f>($O792*(1-(Assumptions!$C$25+0.06*(1-$J792))-Assumptions!$C$27)-Assumptions!$C$28)-MAX(0,($O792*(1-(Assumptions!$C$25+0.06*(1-$J792))-Assumptions!$C$27)-Assumptions!$C$28)*Assumptions!$C$31)+Assumptions!$C$28-Assumptions!$C$29-$O792*Assumptions!$C$30</f>
        <v>119.33504</v>
      </c>
      <c r="U792" s="139">
        <f>($P792*(1-(Assumptions!$C$25+0.06*(1-$K792))-Assumptions!$C$27)-Assumptions!$C$28)-MAX(0,($P792*(1-(Assumptions!$C$25+0.06*(1-$K792))-Assumptions!$C$27)-Assumptions!$C$28)*Assumptions!$C$31)+Assumptions!$C$28-Assumptions!$C$29-$P792*Assumptions!$C$30</f>
        <v>128.7922776</v>
      </c>
      <c r="V792" s="143">
        <f>(($Q792/(1+$D792)^1+$R792/(1+$D792)^2+$S792/(1+$D792)^3+$T792/(1+$D792)^4+$U792/(1+$D792)^5+$U792*(1+$E792)/($D792-$E792)/(1+$D792)^5)-Assumptions!$C$37)/Assumptions!$C$40/Assumptions!$C$38</f>
        <v>4.987987524</v>
      </c>
    </row>
    <row r="793" ht="12.0" customHeight="1">
      <c r="B793" s="139">
        <v>741.0</v>
      </c>
      <c r="C793" s="140">
        <f t="shared" si="6"/>
        <v>0.0307459235</v>
      </c>
      <c r="D793" s="141">
        <f t="shared" si="7"/>
        <v>0.0882284467</v>
      </c>
      <c r="E793" s="141">
        <f t="shared" si="8"/>
        <v>0.01518467698</v>
      </c>
      <c r="F793" s="140">
        <f t="shared" si="9"/>
        <v>0.3410556828</v>
      </c>
      <c r="G793" s="141">
        <f t="shared" si="10"/>
        <v>0.05477701009</v>
      </c>
      <c r="H793" s="142">
        <f t="shared" si="11"/>
        <v>0</v>
      </c>
      <c r="I793" s="142">
        <f t="shared" si="12"/>
        <v>0</v>
      </c>
      <c r="J793" s="142">
        <f t="shared" si="13"/>
        <v>1</v>
      </c>
      <c r="K793" s="142">
        <f t="shared" si="14"/>
        <v>0</v>
      </c>
      <c r="L793" s="139">
        <f>Assumptions!$C$6*Assumptions!$C$7*(1+$G793-0.05*(1-1))^1+Assumptions!$C$6*Assumptions!$C$8*(1+Assumptions!$C$11)^1+Assumptions!$C$16*1+Assumptions!$C$6*Assumptions!$C$9*(1+Assumptions!$C$12)^1</f>
        <v>744.9059416</v>
      </c>
      <c r="M793" s="139">
        <f>Assumptions!$C$6*Assumptions!$C$7*(1+$G793-0.05*(1-$H793))^2+Assumptions!$C$6*Assumptions!$C$8*(1+Assumptions!$C$11)^2+Assumptions!$C$16*$H793+Assumptions!$C$6*Assumptions!$C$9*(1+Assumptions!$C$12)^2</f>
        <v>676.2889243</v>
      </c>
      <c r="N793" s="139">
        <f>Assumptions!$C$6*Assumptions!$C$7*(1+$G793-0.05*(1-$I793))^3+Assumptions!$C$6*Assumptions!$C$8*(1+Assumptions!$C$11)^3+Assumptions!$C$16*$I793+Assumptions!$C$6*Assumptions!$C$9*(1+Assumptions!$C$12)^3</f>
        <v>684.6415721</v>
      </c>
      <c r="O793" s="139">
        <f>Assumptions!$C$6*Assumptions!$C$7*(1+$G793-0.05*(1-$J793))^4+Assumptions!$C$6*Assumptions!$C$8*(1+Assumptions!$C$11)^4+Assumptions!$C$16*$J793+Assumptions!$C$6*Assumptions!$C$9*(1+Assumptions!$C$12)^4</f>
        <v>826.694503</v>
      </c>
      <c r="P793" s="139">
        <f>Assumptions!$C$6*Assumptions!$C$7*(1+$G793-0.05*(1-$K793))^5+Assumptions!$C$6*Assumptions!$C$8*(1+Assumptions!$C$11)^5+Assumptions!$C$16*$K793+Assumptions!$C$6*Assumptions!$C$9*(1+Assumptions!$C$12)^5</f>
        <v>701.7766191</v>
      </c>
      <c r="Q793" s="139">
        <f>($L793*(1-(Assumptions!$C$25+0.06*(1-1))-Assumptions!$C$27)-Assumptions!$C$28)-MAX(0,($L793*(1-(Assumptions!$C$25+0.06*(1-1))-Assumptions!$C$27)-Assumptions!$C$28)*Assumptions!$C$31)+Assumptions!$C$28-Assumptions!$C$29-$L793*Assumptions!$C$30</f>
        <v>92.65477744</v>
      </c>
      <c r="R793" s="139">
        <f>($M793*(1-(Assumptions!$C$25+0.06*(1-$H793))-Assumptions!$C$27)-Assumptions!$C$28)-MAX(0,($M793*(1-(Assumptions!$C$25+0.06*(1-$H793))-Assumptions!$C$27)-Assumptions!$C$28)*Assumptions!$C$31)+Assumptions!$C$28-Assumptions!$C$29-$M793*Assumptions!$C$30</f>
        <v>35.5464526</v>
      </c>
      <c r="S793" s="139">
        <f>($N793*(1-(Assumptions!$C$25+0.06*(1-$I793))-Assumptions!$C$27)-Assumptions!$C$28)-MAX(0,($N793*(1-(Assumptions!$C$25+0.06*(1-$I793))-Assumptions!$C$27)-Assumptions!$C$28)*Assumptions!$C$31)+Assumptions!$C$28-Assumptions!$C$29-$N793*Assumptions!$C$30</f>
        <v>37.46756159</v>
      </c>
      <c r="T793" s="139">
        <f>($O793*(1-(Assumptions!$C$25+0.06*(1-$J793))-Assumptions!$C$27)-Assumptions!$C$28)-MAX(0,($O793*(1-(Assumptions!$C$25+0.06*(1-$J793))-Assumptions!$C$27)-Assumptions!$C$28)*Assumptions!$C$31)+Assumptions!$C$28-Assumptions!$C$29-$O793*Assumptions!$C$30</f>
        <v>110.2393181</v>
      </c>
      <c r="U793" s="139">
        <f>($P793*(1-(Assumptions!$C$25+0.06*(1-$K793))-Assumptions!$C$27)-Assumptions!$C$28)-MAX(0,($P793*(1-(Assumptions!$C$25+0.06*(1-$K793))-Assumptions!$C$27)-Assumptions!$C$28)*Assumptions!$C$31)+Assumptions!$C$28-Assumptions!$C$29-$P793*Assumptions!$C$30</f>
        <v>41.40862239</v>
      </c>
      <c r="V793" s="143">
        <f>(($Q793/(1+$D793)^1+$R793/(1+$D793)^2+$S793/(1+$D793)^3+$T793/(1+$D793)^4+$U793/(1+$D793)^5+$U793*(1+$E793)/($D793-$E793)/(1+$D793)^5)-Assumptions!$C$37)/Assumptions!$C$40/Assumptions!$C$38</f>
        <v>-0.5043913248</v>
      </c>
    </row>
    <row r="794" ht="12.0" customHeight="1">
      <c r="B794" s="139">
        <v>742.0</v>
      </c>
      <c r="C794" s="140">
        <f t="shared" si="6"/>
        <v>0.1772440855</v>
      </c>
      <c r="D794" s="141">
        <f t="shared" si="7"/>
        <v>0.09275149953</v>
      </c>
      <c r="E794" s="141">
        <f t="shared" si="8"/>
        <v>0.01283960353</v>
      </c>
      <c r="F794" s="140">
        <f t="shared" si="9"/>
        <v>0.9646271012</v>
      </c>
      <c r="G794" s="141">
        <f t="shared" si="10"/>
        <v>0.08202057534</v>
      </c>
      <c r="H794" s="142">
        <f t="shared" si="11"/>
        <v>1</v>
      </c>
      <c r="I794" s="142">
        <f t="shared" si="12"/>
        <v>1</v>
      </c>
      <c r="J794" s="142">
        <f t="shared" si="13"/>
        <v>0</v>
      </c>
      <c r="K794" s="142">
        <f t="shared" si="14"/>
        <v>0</v>
      </c>
      <c r="L794" s="139">
        <f>Assumptions!$C$6*Assumptions!$C$7*(1+$G794-0.05*(1-1))^1+Assumptions!$C$6*Assumptions!$C$8*(1+Assumptions!$C$11)^1+Assumptions!$C$16*1+Assumptions!$C$6*Assumptions!$C$9*(1+Assumptions!$C$12)^1</f>
        <v>754.0761257</v>
      </c>
      <c r="M794" s="139">
        <f>Assumptions!$C$6*Assumptions!$C$7*(1+$G794-0.05*(1-$H794))^2+Assumptions!$C$6*Assumptions!$C$8*(1+Assumptions!$C$11)^2+Assumptions!$C$16*$H794+Assumptions!$C$6*Assumptions!$C$9*(1+Assumptions!$C$12)^2</f>
        <v>790.5460457</v>
      </c>
      <c r="N794" s="139">
        <f>Assumptions!$C$6*Assumptions!$C$7*(1+$G794-0.05*(1-$I794))^3+Assumptions!$C$6*Assumptions!$C$8*(1+Assumptions!$C$11)^3+Assumptions!$C$16*$I794+Assumptions!$C$6*Assumptions!$C$9*(1+Assumptions!$C$12)^3</f>
        <v>829.5980774</v>
      </c>
      <c r="O794" s="139">
        <f>Assumptions!$C$6*Assumptions!$C$7*(1+$G794-0.05*(1-$J794))^4+Assumptions!$C$6*Assumptions!$C$8*(1+Assumptions!$C$11)^4+Assumptions!$C$16*$J794+Assumptions!$C$6*Assumptions!$C$9*(1+Assumptions!$C$12)^4</f>
        <v>731.8863517</v>
      </c>
      <c r="P794" s="139">
        <f>Assumptions!$C$6*Assumptions!$C$7*(1+$G794-0.05*(1-$K794))^5+Assumptions!$C$6*Assumptions!$C$8*(1+Assumptions!$C$11)^5+Assumptions!$C$16*$K794+Assumptions!$C$6*Assumptions!$C$9*(1+Assumptions!$C$12)^5</f>
        <v>751.1138685</v>
      </c>
      <c r="Q794" s="139">
        <f>($L794*(1-(Assumptions!$C$25+0.06*(1-1))-Assumptions!$C$27)-Assumptions!$C$28)-MAX(0,($L794*(1-(Assumptions!$C$25+0.06*(1-1))-Assumptions!$C$27)-Assumptions!$C$28)*Assumptions!$C$31)+Assumptions!$C$28-Assumptions!$C$29-$L794*Assumptions!$C$30</f>
        <v>94.62636702</v>
      </c>
      <c r="R794" s="139">
        <f>($M794*(1-(Assumptions!$C$25+0.06*(1-$H794))-Assumptions!$C$27)-Assumptions!$C$28)-MAX(0,($M794*(1-(Assumptions!$C$25+0.06*(1-$H794))-Assumptions!$C$27)-Assumptions!$C$28)*Assumptions!$C$31)+Assumptions!$C$28-Assumptions!$C$29-$M794*Assumptions!$C$30</f>
        <v>102.4673998</v>
      </c>
      <c r="S794" s="139">
        <f>($N794*(1-(Assumptions!$C$25+0.06*(1-$I794))-Assumptions!$C$27)-Assumptions!$C$28)-MAX(0,($N794*(1-(Assumptions!$C$25+0.06*(1-$I794))-Assumptions!$C$27)-Assumptions!$C$28)*Assumptions!$C$31)+Assumptions!$C$28-Assumptions!$C$29-$N794*Assumptions!$C$30</f>
        <v>110.8635866</v>
      </c>
      <c r="T794" s="139">
        <f>($O794*(1-(Assumptions!$C$25+0.06*(1-$J794))-Assumptions!$C$27)-Assumptions!$C$28)-MAX(0,($O794*(1-(Assumptions!$C$25+0.06*(1-$J794))-Assumptions!$C$27)-Assumptions!$C$28)*Assumptions!$C$31)+Assumptions!$C$28-Assumptions!$C$29-$O794*Assumptions!$C$30</f>
        <v>48.3338609</v>
      </c>
      <c r="U794" s="139">
        <f>($P794*(1-(Assumptions!$C$25+0.06*(1-$K794))-Assumptions!$C$27)-Assumptions!$C$28)-MAX(0,($P794*(1-(Assumptions!$C$25+0.06*(1-$K794))-Assumptions!$C$27)-Assumptions!$C$28)*Assumptions!$C$31)+Assumptions!$C$28-Assumptions!$C$29-$P794*Assumptions!$C$30</f>
        <v>52.75618976</v>
      </c>
      <c r="V794" s="143">
        <f>(($Q794/(1+$D794)^1+$R794/(1+$D794)^2+$S794/(1+$D794)^3+$T794/(1+$D794)^4+$U794/(1+$D794)^5+$U794*(1+$E794)/($D794-$E794)/(1+$D794)^5)-Assumptions!$C$37)/Assumptions!$C$40/Assumptions!$C$38</f>
        <v>0.4882157779</v>
      </c>
    </row>
    <row r="795" ht="12.0" customHeight="1">
      <c r="B795" s="139">
        <v>743.0</v>
      </c>
      <c r="C795" s="140">
        <f t="shared" si="6"/>
        <v>0.1343221914</v>
      </c>
      <c r="D795" s="141">
        <f t="shared" si="7"/>
        <v>0.09174797917</v>
      </c>
      <c r="E795" s="141">
        <f t="shared" si="8"/>
        <v>0.022560869</v>
      </c>
      <c r="F795" s="140">
        <f t="shared" si="9"/>
        <v>0.5326624832</v>
      </c>
      <c r="G795" s="141">
        <f t="shared" si="10"/>
        <v>0.06099642211</v>
      </c>
      <c r="H795" s="142">
        <f t="shared" si="11"/>
        <v>1</v>
      </c>
      <c r="I795" s="142">
        <f t="shared" si="12"/>
        <v>1</v>
      </c>
      <c r="J795" s="142">
        <f t="shared" si="13"/>
        <v>0</v>
      </c>
      <c r="K795" s="142">
        <f t="shared" si="14"/>
        <v>1</v>
      </c>
      <c r="L795" s="139">
        <f>Assumptions!$C$6*Assumptions!$C$7*(1+$G795-0.05*(1-1))^1+Assumptions!$C$6*Assumptions!$C$8*(1+Assumptions!$C$11)^1+Assumptions!$C$16*1+Assumptions!$C$6*Assumptions!$C$9*(1+Assumptions!$C$12)^1</f>
        <v>746.9993957</v>
      </c>
      <c r="M795" s="139">
        <f>Assumptions!$C$6*Assumptions!$C$7*(1+$G795-0.05*(1-$H795))^2+Assumptions!$C$6*Assumptions!$C$8*(1+Assumptions!$C$11)^2+Assumptions!$C$16*$H795+Assumptions!$C$6*Assumptions!$C$9*(1+Assumptions!$C$12)^2</f>
        <v>775.380493</v>
      </c>
      <c r="N795" s="139">
        <f>Assumptions!$C$6*Assumptions!$C$7*(1+$G795-0.05*(1-$I795))^3+Assumptions!$C$6*Assumptions!$C$8*(1+Assumptions!$C$11)^3+Assumptions!$C$16*$I795+Assumptions!$C$6*Assumptions!$C$9*(1+Assumptions!$C$12)^3</f>
        <v>805.2222676</v>
      </c>
      <c r="O795" s="139">
        <f>Assumptions!$C$6*Assumptions!$C$7*(1+$G795-0.05*(1-$J795))^4+Assumptions!$C$6*Assumptions!$C$8*(1+Assumptions!$C$11)^4+Assumptions!$C$16*$J795+Assumptions!$C$6*Assumptions!$C$9*(1+Assumptions!$C$12)^4</f>
        <v>701.7101512</v>
      </c>
      <c r="P795" s="139">
        <f>Assumptions!$C$6*Assumptions!$C$7*(1+$G795-0.05*(1-$K795))^5+Assumptions!$C$6*Assumptions!$C$8*(1+Assumptions!$C$11)^5+Assumptions!$C$16*$K795+Assumptions!$C$6*Assumptions!$C$9*(1+Assumptions!$C$12)^5</f>
        <v>869.6275919</v>
      </c>
      <c r="Q795" s="139">
        <f>($L795*(1-(Assumptions!$C$25+0.06*(1-1))-Assumptions!$C$27)-Assumptions!$C$28)-MAX(0,($L795*(1-(Assumptions!$C$25+0.06*(1-1))-Assumptions!$C$27)-Assumptions!$C$28)*Assumptions!$C$31)+Assumptions!$C$28-Assumptions!$C$29-$L795*Assumptions!$C$30</f>
        <v>93.10487007</v>
      </c>
      <c r="R795" s="139">
        <f>($M795*(1-(Assumptions!$C$25+0.06*(1-$H795))-Assumptions!$C$27)-Assumptions!$C$28)-MAX(0,($M795*(1-(Assumptions!$C$25+0.06*(1-$H795))-Assumptions!$C$27)-Assumptions!$C$28)*Assumptions!$C$31)+Assumptions!$C$28-Assumptions!$C$29-$M795*Assumptions!$C$30</f>
        <v>99.206806</v>
      </c>
      <c r="S795" s="139">
        <f>($N795*(1-(Assumptions!$C$25+0.06*(1-$I795))-Assumptions!$C$27)-Assumptions!$C$28)-MAX(0,($N795*(1-(Assumptions!$C$25+0.06*(1-$I795))-Assumptions!$C$27)-Assumptions!$C$28)*Assumptions!$C$31)+Assumptions!$C$28-Assumptions!$C$29-$N795*Assumptions!$C$30</f>
        <v>105.6227875</v>
      </c>
      <c r="T795" s="139">
        <f>($O795*(1-(Assumptions!$C$25+0.06*(1-$J795))-Assumptions!$C$27)-Assumptions!$C$28)-MAX(0,($O795*(1-(Assumptions!$C$25+0.06*(1-$J795))-Assumptions!$C$27)-Assumptions!$C$28)*Assumptions!$C$31)+Assumptions!$C$28-Assumptions!$C$29-$O795*Assumptions!$C$30</f>
        <v>41.39333477</v>
      </c>
      <c r="U795" s="139">
        <f>($P795*(1-(Assumptions!$C$25+0.06*(1-$K795))-Assumptions!$C$27)-Assumptions!$C$28)-MAX(0,($P795*(1-(Assumptions!$C$25+0.06*(1-$K795))-Assumptions!$C$27)-Assumptions!$C$28)*Assumptions!$C$31)+Assumptions!$C$28-Assumptions!$C$29-$P795*Assumptions!$C$30</f>
        <v>119.4699322</v>
      </c>
      <c r="V795" s="143">
        <f>(($Q795/(1+$D795)^1+$R795/(1+$D795)^2+$S795/(1+$D795)^3+$T795/(1+$D795)^4+$U795/(1+$D795)^5+$U795*(1+$E795)/($D795-$E795)/(1+$D795)^5)-Assumptions!$C$37)/Assumptions!$C$40/Assumptions!$C$38</f>
        <v>6.263371395</v>
      </c>
    </row>
    <row r="796" ht="12.0" customHeight="1">
      <c r="B796" s="139">
        <v>744.0</v>
      </c>
      <c r="C796" s="140">
        <f t="shared" si="6"/>
        <v>0.5151776938</v>
      </c>
      <c r="D796" s="141">
        <f t="shared" si="7"/>
        <v>0.09850802275</v>
      </c>
      <c r="E796" s="141">
        <f t="shared" si="8"/>
        <v>0.0210426283</v>
      </c>
      <c r="F796" s="140">
        <f t="shared" si="9"/>
        <v>0.8717587115</v>
      </c>
      <c r="G796" s="141">
        <f t="shared" si="10"/>
        <v>0.07480676732</v>
      </c>
      <c r="H796" s="142">
        <f t="shared" si="11"/>
        <v>1</v>
      </c>
      <c r="I796" s="142">
        <f t="shared" si="12"/>
        <v>1</v>
      </c>
      <c r="J796" s="142">
        <f t="shared" si="13"/>
        <v>1</v>
      </c>
      <c r="K796" s="142">
        <f t="shared" si="14"/>
        <v>1</v>
      </c>
      <c r="L796" s="139">
        <f>Assumptions!$C$6*Assumptions!$C$7*(1+$G796-0.05*(1-1))^1+Assumptions!$C$6*Assumptions!$C$8*(1+Assumptions!$C$11)^1+Assumptions!$C$16*1+Assumptions!$C$6*Assumptions!$C$9*(1+Assumptions!$C$12)^1</f>
        <v>751.6479579</v>
      </c>
      <c r="M796" s="139">
        <f>Assumptions!$C$6*Assumptions!$C$7*(1+$G796-0.05*(1-$H796))^2+Assumptions!$C$6*Assumptions!$C$8*(1+Assumptions!$C$11)^2+Assumptions!$C$16*$H796+Assumptions!$C$6*Assumptions!$C$9*(1+Assumptions!$C$12)^2</f>
        <v>785.308907</v>
      </c>
      <c r="N796" s="139">
        <f>Assumptions!$C$6*Assumptions!$C$7*(1+$G796-0.05*(1-$I796))^3+Assumptions!$C$6*Assumptions!$C$8*(1+Assumptions!$C$11)^3+Assumptions!$C$16*$I796+Assumptions!$C$6*Assumptions!$C$9*(1+Assumptions!$C$12)^3</f>
        <v>821.126343</v>
      </c>
      <c r="O796" s="139">
        <f>Assumptions!$C$6*Assumptions!$C$7*(1+$G796-0.05*(1-$J796))^4+Assumptions!$C$6*Assumptions!$C$8*(1+Assumptions!$C$11)^4+Assumptions!$C$16*$J796+Assumptions!$C$6*Assumptions!$C$9*(1+Assumptions!$C$12)^4</f>
        <v>859.2543539</v>
      </c>
      <c r="P796" s="139">
        <f>Assumptions!$C$6*Assumptions!$C$7*(1+$G796-0.05*(1-$K796))^5+Assumptions!$C$6*Assumptions!$C$8*(1+Assumptions!$C$11)^5+Assumptions!$C$16*$K796+Assumptions!$C$6*Assumptions!$C$9*(1+Assumptions!$C$12)^5</f>
        <v>899.8584103</v>
      </c>
      <c r="Q796" s="139">
        <f>($L796*(1-(Assumptions!$C$25+0.06*(1-1))-Assumptions!$C$27)-Assumptions!$C$28)-MAX(0,($L796*(1-(Assumptions!$C$25+0.06*(1-1))-Assumptions!$C$27)-Assumptions!$C$28)*Assumptions!$C$31)+Assumptions!$C$28-Assumptions!$C$29-$L796*Assumptions!$C$30</f>
        <v>94.10431094</v>
      </c>
      <c r="R796" s="139">
        <f>($M796*(1-(Assumptions!$C$25+0.06*(1-$H796))-Assumptions!$C$27)-Assumptions!$C$28)-MAX(0,($M796*(1-(Assumptions!$C$25+0.06*(1-$H796))-Assumptions!$C$27)-Assumptions!$C$28)*Assumptions!$C$31)+Assumptions!$C$28-Assumptions!$C$29-$M796*Assumptions!$C$30</f>
        <v>101.341415</v>
      </c>
      <c r="S796" s="139">
        <f>($N796*(1-(Assumptions!$C$25+0.06*(1-$I796))-Assumptions!$C$27)-Assumptions!$C$28)-MAX(0,($N796*(1-(Assumptions!$C$25+0.06*(1-$I796))-Assumptions!$C$27)-Assumptions!$C$28)*Assumptions!$C$31)+Assumptions!$C$28-Assumptions!$C$29-$N796*Assumptions!$C$30</f>
        <v>109.0421637</v>
      </c>
      <c r="T796" s="139">
        <f>($O796*(1-(Assumptions!$C$25+0.06*(1-$J796))-Assumptions!$C$27)-Assumptions!$C$28)-MAX(0,($O796*(1-(Assumptions!$C$25+0.06*(1-$J796))-Assumptions!$C$27)-Assumptions!$C$28)*Assumptions!$C$31)+Assumptions!$C$28-Assumptions!$C$29-$O796*Assumptions!$C$30</f>
        <v>117.2396861</v>
      </c>
      <c r="U796" s="139">
        <f>($P796*(1-(Assumptions!$C$25+0.06*(1-$K796))-Assumptions!$C$27)-Assumptions!$C$28)-MAX(0,($P796*(1-(Assumptions!$C$25+0.06*(1-$K796))-Assumptions!$C$27)-Assumptions!$C$28)*Assumptions!$C$31)+Assumptions!$C$28-Assumptions!$C$29-$P796*Assumptions!$C$30</f>
        <v>125.9695582</v>
      </c>
      <c r="V796" s="143">
        <f>(($Q796/(1+$D796)^1+$R796/(1+$D796)^2+$S796/(1+$D796)^3+$T796/(1+$D796)^4+$U796/(1+$D796)^5+$U796*(1+$E796)/($D796-$E796)/(1+$D796)^5)-Assumptions!$C$37)/Assumptions!$C$40/Assumptions!$C$38</f>
        <v>5.911031459</v>
      </c>
    </row>
    <row r="797" ht="12.0" customHeight="1">
      <c r="B797" s="139">
        <v>745.0</v>
      </c>
      <c r="C797" s="140">
        <f t="shared" si="6"/>
        <v>0.8699712151</v>
      </c>
      <c r="D797" s="141">
        <f t="shared" si="7"/>
        <v>0.1064591483</v>
      </c>
      <c r="E797" s="141">
        <f t="shared" si="8"/>
        <v>0.02197021395</v>
      </c>
      <c r="F797" s="140">
        <f t="shared" si="9"/>
        <v>0.4496939038</v>
      </c>
      <c r="G797" s="141">
        <f t="shared" si="10"/>
        <v>0.05845081768</v>
      </c>
      <c r="H797" s="142">
        <f t="shared" si="11"/>
        <v>1</v>
      </c>
      <c r="I797" s="142">
        <f t="shared" si="12"/>
        <v>1</v>
      </c>
      <c r="J797" s="142">
        <f t="shared" si="13"/>
        <v>0</v>
      </c>
      <c r="K797" s="142">
        <f t="shared" si="14"/>
        <v>0</v>
      </c>
      <c r="L797" s="139">
        <f>Assumptions!$C$6*Assumptions!$C$7*(1+$G797-0.05*(1-1))^1+Assumptions!$C$6*Assumptions!$C$8*(1+Assumptions!$C$11)^1+Assumptions!$C$16*1+Assumptions!$C$6*Assumptions!$C$9*(1+Assumptions!$C$12)^1</f>
        <v>746.1425452</v>
      </c>
      <c r="M797" s="139">
        <f>Assumptions!$C$6*Assumptions!$C$7*(1+$G797-0.05*(1-$H797))^2+Assumptions!$C$6*Assumptions!$C$8*(1+Assumptions!$C$11)^2+Assumptions!$C$16*$H797+Assumptions!$C$6*Assumptions!$C$9*(1+Assumptions!$C$12)^2</f>
        <v>773.5644437</v>
      </c>
      <c r="N797" s="139">
        <f>Assumptions!$C$6*Assumptions!$C$7*(1+$G797-0.05*(1-$I797))^3+Assumptions!$C$6*Assumptions!$C$8*(1+Assumptions!$C$11)^3+Assumptions!$C$16*$I797+Assumptions!$C$6*Assumptions!$C$9*(1+Assumptions!$C$12)^3</f>
        <v>802.3355007</v>
      </c>
      <c r="O797" s="139">
        <f>Assumptions!$C$6*Assumptions!$C$7*(1+$G797-0.05*(1-$J797))^4+Assumptions!$C$6*Assumptions!$C$8*(1+Assumptions!$C$11)^4+Assumptions!$C$16*$J797+Assumptions!$C$6*Assumptions!$C$9*(1+Assumptions!$C$12)^4</f>
        <v>698.1817882</v>
      </c>
      <c r="P797" s="139">
        <f>Assumptions!$C$6*Assumptions!$C$7*(1+$G797-0.05*(1-$K797))^5+Assumptions!$C$6*Assumptions!$C$8*(1+Assumptions!$C$11)^5+Assumptions!$C$16*$K797+Assumptions!$C$6*Assumptions!$C$9*(1+Assumptions!$C$12)^5</f>
        <v>708.1248853</v>
      </c>
      <c r="Q797" s="139">
        <f>($L797*(1-(Assumptions!$C$25+0.06*(1-1))-Assumptions!$C$27)-Assumptions!$C$28)-MAX(0,($L797*(1-(Assumptions!$C$25+0.06*(1-1))-Assumptions!$C$27)-Assumptions!$C$28)*Assumptions!$C$31)+Assumptions!$C$28-Assumptions!$C$29-$L797*Assumptions!$C$30</f>
        <v>92.92064723</v>
      </c>
      <c r="R797" s="139">
        <f>($M797*(1-(Assumptions!$C$25+0.06*(1-$H797))-Assumptions!$C$27)-Assumptions!$C$28)-MAX(0,($M797*(1-(Assumptions!$C$25+0.06*(1-$H797))-Assumptions!$C$27)-Assumptions!$C$28)*Assumptions!$C$31)+Assumptions!$C$28-Assumptions!$C$29-$M797*Assumptions!$C$30</f>
        <v>98.8163554</v>
      </c>
      <c r="S797" s="139">
        <f>($N797*(1-(Assumptions!$C$25+0.06*(1-$I797))-Assumptions!$C$27)-Assumptions!$C$28)-MAX(0,($N797*(1-(Assumptions!$C$25+0.06*(1-$I797))-Assumptions!$C$27)-Assumptions!$C$28)*Assumptions!$C$31)+Assumptions!$C$28-Assumptions!$C$29-$N797*Assumptions!$C$30</f>
        <v>105.0021327</v>
      </c>
      <c r="T797" s="139">
        <f>($O797*(1-(Assumptions!$C$25+0.06*(1-$J797))-Assumptions!$C$27)-Assumptions!$C$28)-MAX(0,($O797*(1-(Assumptions!$C$25+0.06*(1-$J797))-Assumptions!$C$27)-Assumptions!$C$28)*Assumptions!$C$31)+Assumptions!$C$28-Assumptions!$C$29-$O797*Assumptions!$C$30</f>
        <v>40.58181128</v>
      </c>
      <c r="U797" s="139">
        <f>($P797*(1-(Assumptions!$C$25+0.06*(1-$K797))-Assumptions!$C$27)-Assumptions!$C$28)-MAX(0,($P797*(1-(Assumptions!$C$25+0.06*(1-$K797))-Assumptions!$C$27)-Assumptions!$C$28)*Assumptions!$C$31)+Assumptions!$C$28-Assumptions!$C$29-$P797*Assumptions!$C$30</f>
        <v>42.86872362</v>
      </c>
      <c r="V797" s="143">
        <f>(($Q797/(1+$D797)^1+$R797/(1+$D797)^2+$S797/(1+$D797)^3+$T797/(1+$D797)^4+$U797/(1+$D797)^5+$U797*(1+$E797)/($D797-$E797)/(1+$D797)^5)-Assumptions!$C$37)/Assumptions!$C$40/Assumptions!$C$38</f>
        <v>-0.6545971626</v>
      </c>
    </row>
    <row r="798" ht="12.0" customHeight="1">
      <c r="B798" s="139">
        <v>746.0</v>
      </c>
      <c r="C798" s="140">
        <f t="shared" si="6"/>
        <v>0.1186909089</v>
      </c>
      <c r="D798" s="141">
        <f t="shared" si="7"/>
        <v>0.09134320251</v>
      </c>
      <c r="E798" s="141">
        <f t="shared" si="8"/>
        <v>0.02542428012</v>
      </c>
      <c r="F798" s="140">
        <f t="shared" si="9"/>
        <v>0.9540843681</v>
      </c>
      <c r="G798" s="141">
        <f t="shared" si="10"/>
        <v>0.0809088979</v>
      </c>
      <c r="H798" s="142">
        <f t="shared" si="11"/>
        <v>1</v>
      </c>
      <c r="I798" s="142">
        <f t="shared" si="12"/>
        <v>0</v>
      </c>
      <c r="J798" s="142">
        <f t="shared" si="13"/>
        <v>1</v>
      </c>
      <c r="K798" s="142">
        <f t="shared" si="14"/>
        <v>0</v>
      </c>
      <c r="L798" s="139">
        <f>Assumptions!$C$6*Assumptions!$C$7*(1+$G798-0.05*(1-1))^1+Assumptions!$C$6*Assumptions!$C$8*(1+Assumptions!$C$11)^1+Assumptions!$C$16*1+Assumptions!$C$6*Assumptions!$C$9*(1+Assumptions!$C$12)^1</f>
        <v>753.701935</v>
      </c>
      <c r="M798" s="139">
        <f>Assumptions!$C$6*Assumptions!$C$7*(1+$G798-0.05*(1-$H798))^2+Assumptions!$C$6*Assumptions!$C$8*(1+Assumptions!$C$11)^2+Assumptions!$C$16*$H798+Assumptions!$C$6*Assumptions!$C$9*(1+Assumptions!$C$12)^2</f>
        <v>789.7366977</v>
      </c>
      <c r="N798" s="139">
        <f>Assumptions!$C$6*Assumptions!$C$7*(1+$G798-0.05*(1-$I798))^3+Assumptions!$C$6*Assumptions!$C$8*(1+Assumptions!$C$11)^3+Assumptions!$C$16*$I798+Assumptions!$C$6*Assumptions!$C$9*(1+Assumptions!$C$12)^3</f>
        <v>711.9811343</v>
      </c>
      <c r="O798" s="139">
        <f>Assumptions!$C$6*Assumptions!$C$7*(1+$G798-0.05*(1-$J798))^4+Assumptions!$C$6*Assumptions!$C$8*(1+Assumptions!$C$11)^4+Assumptions!$C$16*$J798+Assumptions!$C$6*Assumptions!$C$9*(1+Assumptions!$C$12)^4</f>
        <v>869.5426517</v>
      </c>
      <c r="P798" s="139">
        <f>Assumptions!$C$6*Assumptions!$C$7*(1+$G798-0.05*(1-$K798))^5+Assumptions!$C$6*Assumptions!$C$8*(1+Assumptions!$C$11)^5+Assumptions!$C$16*$K798+Assumptions!$C$6*Assumptions!$C$9*(1+Assumptions!$C$12)^5</f>
        <v>748.9960892</v>
      </c>
      <c r="Q798" s="139">
        <f>($L798*(1-(Assumptions!$C$25+0.06*(1-1))-Assumptions!$C$27)-Assumptions!$C$28)-MAX(0,($L798*(1-(Assumptions!$C$25+0.06*(1-1))-Assumptions!$C$27)-Assumptions!$C$28)*Assumptions!$C$31)+Assumptions!$C$28-Assumptions!$C$29-$L798*Assumptions!$C$30</f>
        <v>94.54591603</v>
      </c>
      <c r="R798" s="139">
        <f>($M798*(1-(Assumptions!$C$25+0.06*(1-$H798))-Assumptions!$C$27)-Assumptions!$C$28)-MAX(0,($M798*(1-(Assumptions!$C$25+0.06*(1-$H798))-Assumptions!$C$27)-Assumptions!$C$28)*Assumptions!$C$31)+Assumptions!$C$28-Assumptions!$C$29-$M798*Assumptions!$C$30</f>
        <v>102.29339</v>
      </c>
      <c r="S798" s="139">
        <f>($N798*(1-(Assumptions!$C$25+0.06*(1-$I798))-Assumptions!$C$27)-Assumptions!$C$28)-MAX(0,($N798*(1-(Assumptions!$C$25+0.06*(1-$I798))-Assumptions!$C$27)-Assumptions!$C$28)*Assumptions!$C$31)+Assumptions!$C$28-Assumptions!$C$29-$N798*Assumptions!$C$30</f>
        <v>43.75566089</v>
      </c>
      <c r="T798" s="139">
        <f>($O798*(1-(Assumptions!$C$25+0.06*(1-$J798))-Assumptions!$C$27)-Assumptions!$C$28)-MAX(0,($O798*(1-(Assumptions!$C$25+0.06*(1-$J798))-Assumptions!$C$27)-Assumptions!$C$28)*Assumptions!$C$31)+Assumptions!$C$28-Assumptions!$C$29-$O798*Assumptions!$C$30</f>
        <v>119.4516701</v>
      </c>
      <c r="U798" s="139">
        <f>($P798*(1-(Assumptions!$C$25+0.06*(1-$K798))-Assumptions!$C$27)-Assumptions!$C$28)-MAX(0,($P798*(1-(Assumptions!$C$25+0.06*(1-$K798))-Assumptions!$C$27)-Assumptions!$C$28)*Assumptions!$C$31)+Assumptions!$C$28-Assumptions!$C$29-$P798*Assumptions!$C$30</f>
        <v>52.26910052</v>
      </c>
      <c r="V798" s="143">
        <f>(($Q798/(1+$D798)^1+$R798/(1+$D798)^2+$S798/(1+$D798)^3+$T798/(1+$D798)^4+$U798/(1+$D798)^5+$U798*(1+$E798)/($D798-$E798)/(1+$D798)^5)-Assumptions!$C$37)/Assumptions!$C$40/Assumptions!$C$38</f>
        <v>1.230372854</v>
      </c>
    </row>
    <row r="799" ht="12.0" customHeight="1">
      <c r="B799" s="139">
        <v>747.0</v>
      </c>
      <c r="C799" s="140">
        <f t="shared" si="6"/>
        <v>0.3267064264</v>
      </c>
      <c r="D799" s="141">
        <f t="shared" si="7"/>
        <v>0.09552394786</v>
      </c>
      <c r="E799" s="141">
        <f t="shared" si="8"/>
        <v>0.01400006912</v>
      </c>
      <c r="F799" s="140">
        <f t="shared" si="9"/>
        <v>0.3777209367</v>
      </c>
      <c r="G799" s="141">
        <f t="shared" si="10"/>
        <v>0.05607484777</v>
      </c>
      <c r="H799" s="142">
        <f t="shared" si="11"/>
        <v>1</v>
      </c>
      <c r="I799" s="142">
        <f t="shared" si="12"/>
        <v>0</v>
      </c>
      <c r="J799" s="142">
        <f t="shared" si="13"/>
        <v>1</v>
      </c>
      <c r="K799" s="142">
        <f t="shared" si="14"/>
        <v>0</v>
      </c>
      <c r="L799" s="139">
        <f>Assumptions!$C$6*Assumptions!$C$7*(1+$G799-0.05*(1-1))^1+Assumptions!$C$6*Assumptions!$C$8*(1+Assumptions!$C$11)^1+Assumptions!$C$16*1+Assumptions!$C$6*Assumptions!$C$9*(1+Assumptions!$C$12)^1</f>
        <v>745.3427938</v>
      </c>
      <c r="M799" s="139">
        <f>Assumptions!$C$6*Assumptions!$C$7*(1+$G799-0.05*(1-$H799))^2+Assumptions!$C$6*Assumptions!$C$8*(1+Assumptions!$C$11)^2+Assumptions!$C$16*$H799+Assumptions!$C$6*Assumptions!$C$9*(1+Assumptions!$C$12)^2</f>
        <v>771.8733487</v>
      </c>
      <c r="N799" s="139">
        <f>Assumptions!$C$6*Assumptions!$C$7*(1+$G799-0.05*(1-$I799))^3+Assumptions!$C$6*Assumptions!$C$8*(1+Assumptions!$C$11)^3+Assumptions!$C$16*$I799+Assumptions!$C$6*Assumptions!$C$9*(1+Assumptions!$C$12)^3</f>
        <v>685.9663894</v>
      </c>
      <c r="O799" s="139">
        <f>Assumptions!$C$6*Assumptions!$C$7*(1+$G799-0.05*(1-$J799))^4+Assumptions!$C$6*Assumptions!$C$8*(1+Assumptions!$C$11)^4+Assumptions!$C$16*$J799+Assumptions!$C$6*Assumptions!$C$9*(1+Assumptions!$C$12)^4</f>
        <v>828.7488695</v>
      </c>
      <c r="P799" s="139">
        <f>Assumptions!$C$6*Assumptions!$C$7*(1+$G799-0.05*(1-$K799))^5+Assumptions!$C$6*Assumptions!$C$8*(1+Assumptions!$C$11)^5+Assumptions!$C$16*$K799+Assumptions!$C$6*Assumptions!$C$9*(1+Assumptions!$C$12)^5</f>
        <v>704.0086756</v>
      </c>
      <c r="Q799" s="139">
        <f>($L799*(1-(Assumptions!$C$25+0.06*(1-1))-Assumptions!$C$27)-Assumptions!$C$28)-MAX(0,($L799*(1-(Assumptions!$C$25+0.06*(1-1))-Assumptions!$C$27)-Assumptions!$C$28)*Assumptions!$C$31)+Assumptions!$C$28-Assumptions!$C$29-$L799*Assumptions!$C$30</f>
        <v>92.74870066</v>
      </c>
      <c r="R799" s="139">
        <f>($M799*(1-(Assumptions!$C$25+0.06*(1-$H799))-Assumptions!$C$27)-Assumptions!$C$28)-MAX(0,($M799*(1-(Assumptions!$C$25+0.06*(1-$H799))-Assumptions!$C$27)-Assumptions!$C$28)*Assumptions!$C$31)+Assumptions!$C$28-Assumptions!$C$29-$M799*Assumptions!$C$30</f>
        <v>98.45276997</v>
      </c>
      <c r="S799" s="139">
        <f>($N799*(1-(Assumptions!$C$25+0.06*(1-$I799))-Assumptions!$C$27)-Assumptions!$C$28)-MAX(0,($N799*(1-(Assumptions!$C$25+0.06*(1-$I799))-Assumptions!$C$27)-Assumptions!$C$28)*Assumptions!$C$31)+Assumptions!$C$28-Assumptions!$C$29-$N799*Assumptions!$C$30</f>
        <v>37.77226955</v>
      </c>
      <c r="T799" s="139">
        <f>($O799*(1-(Assumptions!$C$25+0.06*(1-$J799))-Assumptions!$C$27)-Assumptions!$C$28)-MAX(0,($O799*(1-(Assumptions!$C$25+0.06*(1-$J799))-Assumptions!$C$27)-Assumptions!$C$28)*Assumptions!$C$31)+Assumptions!$C$28-Assumptions!$C$29-$O799*Assumptions!$C$30</f>
        <v>110.6810069</v>
      </c>
      <c r="U799" s="139">
        <f>($P799*(1-(Assumptions!$C$25+0.06*(1-$K799))-Assumptions!$C$27)-Assumptions!$C$28)-MAX(0,($P799*(1-(Assumptions!$C$25+0.06*(1-$K799))-Assumptions!$C$27)-Assumptions!$C$28)*Assumptions!$C$31)+Assumptions!$C$28-Assumptions!$C$29-$P799*Assumptions!$C$30</f>
        <v>41.92199538</v>
      </c>
      <c r="V799" s="143">
        <f>(($Q799/(1+$D799)^1+$R799/(1+$D799)^2+$S799/(1+$D799)^3+$T799/(1+$D799)^4+$U799/(1+$D799)^5+$U799*(1+$E799)/($D799-$E799)/(1+$D799)^5)-Assumptions!$C$37)/Assumptions!$C$40/Assumptions!$C$38</f>
        <v>-0.487258948</v>
      </c>
    </row>
    <row r="800" ht="12.0" customHeight="1">
      <c r="B800" s="139">
        <v>748.0</v>
      </c>
      <c r="C800" s="140">
        <f t="shared" si="6"/>
        <v>0.7919794273</v>
      </c>
      <c r="D800" s="141">
        <f t="shared" si="7"/>
        <v>0.1041972438</v>
      </c>
      <c r="E800" s="141">
        <f t="shared" si="8"/>
        <v>0.02997950449</v>
      </c>
      <c r="F800" s="140">
        <f t="shared" si="9"/>
        <v>0.8875000749</v>
      </c>
      <c r="G800" s="141">
        <f t="shared" si="10"/>
        <v>0.07576975527</v>
      </c>
      <c r="H800" s="142">
        <f t="shared" si="11"/>
        <v>1</v>
      </c>
      <c r="I800" s="142">
        <f t="shared" si="12"/>
        <v>1</v>
      </c>
      <c r="J800" s="142">
        <f t="shared" si="13"/>
        <v>0</v>
      </c>
      <c r="K800" s="142">
        <f t="shared" si="14"/>
        <v>1</v>
      </c>
      <c r="L800" s="139">
        <f>Assumptions!$C$6*Assumptions!$C$7*(1+$G800-0.05*(1-1))^1+Assumptions!$C$6*Assumptions!$C$8*(1+Assumptions!$C$11)^1+Assumptions!$C$16*1+Assumptions!$C$6*Assumptions!$C$9*(1+Assumptions!$C$12)^1</f>
        <v>751.9720996</v>
      </c>
      <c r="M800" s="139">
        <f>Assumptions!$C$6*Assumptions!$C$7*(1+$G800-0.05*(1-$H800))^2+Assumptions!$C$6*Assumptions!$C$8*(1+Assumptions!$C$11)^2+Assumptions!$C$16*$H800+Assumptions!$C$6*Assumptions!$C$9*(1+Assumptions!$C$12)^2</f>
        <v>786.0059986</v>
      </c>
      <c r="N800" s="139">
        <f>Assumptions!$C$6*Assumptions!$C$7*(1+$G800-0.05*(1-$I800))^3+Assumptions!$C$6*Assumptions!$C$8*(1+Assumptions!$C$11)^3+Assumptions!$C$16*$I800+Assumptions!$C$6*Assumptions!$C$9*(1+Assumptions!$C$12)^3</f>
        <v>822.2507047</v>
      </c>
      <c r="O800" s="139">
        <f>Assumptions!$C$6*Assumptions!$C$7*(1+$G800-0.05*(1-$J800))^4+Assumptions!$C$6*Assumptions!$C$8*(1+Assumptions!$C$11)^4+Assumptions!$C$16*$J800+Assumptions!$C$6*Assumptions!$C$9*(1+Assumptions!$C$12)^4</f>
        <v>722.7193252</v>
      </c>
      <c r="P800" s="139">
        <f>Assumptions!$C$6*Assumptions!$C$7*(1+$G800-0.05*(1-$K800))^5+Assumptions!$C$6*Assumptions!$C$8*(1+Assumptions!$C$11)^5+Assumptions!$C$16*$K800+Assumptions!$C$6*Assumptions!$C$9*(1+Assumptions!$C$12)^5</f>
        <v>902.0251402</v>
      </c>
      <c r="Q800" s="139">
        <f>($L800*(1-(Assumptions!$C$25+0.06*(1-1))-Assumptions!$C$27)-Assumptions!$C$28)-MAX(0,($L800*(1-(Assumptions!$C$25+0.06*(1-1))-Assumptions!$C$27)-Assumptions!$C$28)*Assumptions!$C$31)+Assumptions!$C$28-Assumptions!$C$29-$L800*Assumptions!$C$30</f>
        <v>94.17400142</v>
      </c>
      <c r="R800" s="139">
        <f>($M800*(1-(Assumptions!$C$25+0.06*(1-$H800))-Assumptions!$C$27)-Assumptions!$C$28)-MAX(0,($M800*(1-(Assumptions!$C$25+0.06*(1-$H800))-Assumptions!$C$27)-Assumptions!$C$28)*Assumptions!$C$31)+Assumptions!$C$28-Assumptions!$C$29-$M800*Assumptions!$C$30</f>
        <v>101.4912897</v>
      </c>
      <c r="S800" s="139">
        <f>($N800*(1-(Assumptions!$C$25+0.06*(1-$I800))-Assumptions!$C$27)-Assumptions!$C$28)-MAX(0,($N800*(1-(Assumptions!$C$25+0.06*(1-$I800))-Assumptions!$C$27)-Assumptions!$C$28)*Assumptions!$C$31)+Assumptions!$C$28-Assumptions!$C$29-$N800*Assumptions!$C$30</f>
        <v>109.2839015</v>
      </c>
      <c r="T800" s="139">
        <f>($O800*(1-(Assumptions!$C$25+0.06*(1-$J800))-Assumptions!$C$27)-Assumptions!$C$28)-MAX(0,($O800*(1-(Assumptions!$C$25+0.06*(1-$J800))-Assumptions!$C$27)-Assumptions!$C$28)*Assumptions!$C$31)+Assumptions!$C$28-Assumptions!$C$29-$O800*Assumptions!$C$30</f>
        <v>46.2254448</v>
      </c>
      <c r="U800" s="139">
        <f>($P800*(1-(Assumptions!$C$25+0.06*(1-$K800))-Assumptions!$C$27)-Assumptions!$C$28)-MAX(0,($P800*(1-(Assumptions!$C$25+0.06*(1-$K800))-Assumptions!$C$27)-Assumptions!$C$28)*Assumptions!$C$31)+Assumptions!$C$28-Assumptions!$C$29-$P800*Assumptions!$C$30</f>
        <v>126.4354051</v>
      </c>
      <c r="V800" s="143">
        <f>(($Q800/(1+$D800)^1+$R800/(1+$D800)^2+$S800/(1+$D800)^3+$T800/(1+$D800)^4+$U800/(1+$D800)^5+$U800*(1+$E800)/($D800-$E800)/(1+$D800)^5)-Assumptions!$C$37)/Assumptions!$C$40/Assumptions!$C$38</f>
        <v>5.736460056</v>
      </c>
    </row>
    <row r="801" ht="12.0" customHeight="1">
      <c r="B801" s="139">
        <v>749.0</v>
      </c>
      <c r="C801" s="140">
        <f t="shared" si="6"/>
        <v>0.1133508035</v>
      </c>
      <c r="D801" s="141">
        <f t="shared" si="7"/>
        <v>0.09119886461</v>
      </c>
      <c r="E801" s="141">
        <f t="shared" si="8"/>
        <v>0.02598714163</v>
      </c>
      <c r="F801" s="140">
        <f t="shared" si="9"/>
        <v>0.3261830406</v>
      </c>
      <c r="G801" s="141">
        <f t="shared" si="10"/>
        <v>0.05423075469</v>
      </c>
      <c r="H801" s="142">
        <f t="shared" si="11"/>
        <v>1</v>
      </c>
      <c r="I801" s="142">
        <f t="shared" si="12"/>
        <v>1</v>
      </c>
      <c r="J801" s="142">
        <f t="shared" si="13"/>
        <v>1</v>
      </c>
      <c r="K801" s="142">
        <f t="shared" si="14"/>
        <v>1</v>
      </c>
      <c r="L801" s="139">
        <f>Assumptions!$C$6*Assumptions!$C$7*(1+$G801-0.05*(1-1))^1+Assumptions!$C$6*Assumptions!$C$8*(1+Assumptions!$C$11)^1+Assumptions!$C$16*1+Assumptions!$C$6*Assumptions!$C$9*(1+Assumptions!$C$12)^1</f>
        <v>744.722072</v>
      </c>
      <c r="M801" s="139">
        <f>Assumptions!$C$6*Assumptions!$C$7*(1+$G801-0.05*(1-$H801))^2+Assumptions!$C$6*Assumptions!$C$8*(1+Assumptions!$C$11)^2+Assumptions!$C$16*$H801+Assumptions!$C$6*Assumptions!$C$9*(1+Assumptions!$C$12)^2</f>
        <v>770.5634362</v>
      </c>
      <c r="N801" s="139">
        <f>Assumptions!$C$6*Assumptions!$C$7*(1+$G801-0.05*(1-$I801))^3+Assumptions!$C$6*Assumptions!$C$8*(1+Assumptions!$C$11)^3+Assumptions!$C$16*$I801+Assumptions!$C$6*Assumptions!$C$9*(1+Assumptions!$C$12)^3</f>
        <v>797.5803644</v>
      </c>
      <c r="O801" s="139">
        <f>Assumptions!$C$6*Assumptions!$C$7*(1+$G801-0.05*(1-$J801))^4+Assumptions!$C$6*Assumptions!$C$8*(1+Assumptions!$C$11)^4+Assumptions!$C$16*$J801+Assumptions!$C$6*Assumptions!$C$9*(1+Assumptions!$C$12)^4</f>
        <v>825.8320917</v>
      </c>
      <c r="P801" s="139">
        <f>Assumptions!$C$6*Assumptions!$C$7*(1+$G801-0.05*(1-$K801))^5+Assumptions!$C$6*Assumptions!$C$8*(1+Assumptions!$C$11)^5+Assumptions!$C$16*$K801+Assumptions!$C$6*Assumptions!$C$9*(1+Assumptions!$C$12)^5</f>
        <v>855.3809753</v>
      </c>
      <c r="Q801" s="139">
        <f>($L801*(1-(Assumptions!$C$25+0.06*(1-1))-Assumptions!$C$27)-Assumptions!$C$28)-MAX(0,($L801*(1-(Assumptions!$C$25+0.06*(1-1))-Assumptions!$C$27)-Assumptions!$C$28)*Assumptions!$C$31)+Assumptions!$C$28-Assumptions!$C$29-$L801*Assumptions!$C$30</f>
        <v>92.61524549</v>
      </c>
      <c r="R801" s="139">
        <f>($M801*(1-(Assumptions!$C$25+0.06*(1-$H801))-Assumptions!$C$27)-Assumptions!$C$28)-MAX(0,($M801*(1-(Assumptions!$C$25+0.06*(1-$H801))-Assumptions!$C$27)-Assumptions!$C$28)*Assumptions!$C$31)+Assumptions!$C$28-Assumptions!$C$29-$M801*Assumptions!$C$30</f>
        <v>98.17113877</v>
      </c>
      <c r="S801" s="139">
        <f>($N801*(1-(Assumptions!$C$25+0.06*(1-$I801))-Assumptions!$C$27)-Assumptions!$C$28)-MAX(0,($N801*(1-(Assumptions!$C$25+0.06*(1-$I801))-Assumptions!$C$27)-Assumptions!$C$28)*Assumptions!$C$31)+Assumptions!$C$28-Assumptions!$C$29-$N801*Assumptions!$C$30</f>
        <v>103.9797783</v>
      </c>
      <c r="T801" s="139">
        <f>($O801*(1-(Assumptions!$C$25+0.06*(1-$J801))-Assumptions!$C$27)-Assumptions!$C$28)-MAX(0,($O801*(1-(Assumptions!$C$25+0.06*(1-$J801))-Assumptions!$C$27)-Assumptions!$C$28)*Assumptions!$C$31)+Assumptions!$C$28-Assumptions!$C$29-$O801*Assumptions!$C$30</f>
        <v>110.0538997</v>
      </c>
      <c r="U801" s="139">
        <f>($P801*(1-(Assumptions!$C$25+0.06*(1-$K801))-Assumptions!$C$27)-Assumptions!$C$28)-MAX(0,($P801*(1-(Assumptions!$C$25+0.06*(1-$K801))-Assumptions!$C$27)-Assumptions!$C$28)*Assumptions!$C$31)+Assumptions!$C$28-Assumptions!$C$29-$P801*Assumptions!$C$30</f>
        <v>116.4069097</v>
      </c>
      <c r="V801" s="143">
        <f>(($Q801/(1+$D801)^1+$R801/(1+$D801)^2+$S801/(1+$D801)^3+$T801/(1+$D801)^4+$U801/(1+$D801)^5+$U801*(1+$E801)/($D801-$E801)/(1+$D801)^5)-Assumptions!$C$37)/Assumptions!$C$40/Assumptions!$C$38</f>
        <v>6.963524318</v>
      </c>
    </row>
    <row r="802" ht="12.0" customHeight="1">
      <c r="B802" s="139">
        <v>750.0</v>
      </c>
      <c r="C802" s="140">
        <f t="shared" si="6"/>
        <v>0.2079316096</v>
      </c>
      <c r="D802" s="141">
        <f t="shared" si="7"/>
        <v>0.09339576177</v>
      </c>
      <c r="E802" s="141">
        <f t="shared" si="8"/>
        <v>0.01209362771</v>
      </c>
      <c r="F802" s="140">
        <f t="shared" si="9"/>
        <v>0.01831649079</v>
      </c>
      <c r="G802" s="141">
        <f t="shared" si="10"/>
        <v>0.03574192332</v>
      </c>
      <c r="H802" s="142">
        <f t="shared" si="11"/>
        <v>1</v>
      </c>
      <c r="I802" s="142">
        <f t="shared" si="12"/>
        <v>1</v>
      </c>
      <c r="J802" s="142">
        <f t="shared" si="13"/>
        <v>1</v>
      </c>
      <c r="K802" s="142">
        <f t="shared" si="14"/>
        <v>1</v>
      </c>
      <c r="L802" s="139">
        <f>Assumptions!$C$6*Assumptions!$C$7*(1+$G802-0.05*(1-1))^1+Assumptions!$C$6*Assumptions!$C$8*(1+Assumptions!$C$11)^1+Assumptions!$C$16*1+Assumptions!$C$6*Assumptions!$C$9*(1+Assumptions!$C$12)^1</f>
        <v>738.4987314</v>
      </c>
      <c r="M802" s="139">
        <f>Assumptions!$C$6*Assumptions!$C$7*(1+$G802-0.05*(1-$H802))^2+Assumptions!$C$6*Assumptions!$C$8*(1+Assumptions!$C$11)^2+Assumptions!$C$16*$H802+Assumptions!$C$6*Assumptions!$C$9*(1+Assumptions!$C$12)^2</f>
        <v>757.5568243</v>
      </c>
      <c r="N802" s="139">
        <f>Assumptions!$C$6*Assumptions!$C$7*(1+$G802-0.05*(1-$I802))^3+Assumptions!$C$6*Assumptions!$C$8*(1+Assumptions!$C$11)^3+Assumptions!$C$16*$I802+Assumptions!$C$6*Assumptions!$C$9*(1+Assumptions!$C$12)^3</f>
        <v>777.1922349</v>
      </c>
      <c r="O802" s="139">
        <f>Assumptions!$C$6*Assumptions!$C$7*(1+$G802-0.05*(1-$J802))^4+Assumptions!$C$6*Assumptions!$C$8*(1+Assumptions!$C$11)^4+Assumptions!$C$16*$J802+Assumptions!$C$6*Assumptions!$C$9*(1+Assumptions!$C$12)^4</f>
        <v>797.4235206</v>
      </c>
      <c r="P802" s="139">
        <f>Assumptions!$C$6*Assumptions!$C$7*(1+$G802-0.05*(1-$K802))^5+Assumptions!$C$6*Assumptions!$C$8*(1+Assumptions!$C$11)^5+Assumptions!$C$16*$K802+Assumptions!$C$6*Assumptions!$C$9*(1+Assumptions!$C$12)^5</f>
        <v>818.2698605</v>
      </c>
      <c r="Q802" s="139">
        <f>($L802*(1-(Assumptions!$C$25+0.06*(1-1))-Assumptions!$C$27)-Assumptions!$C$28)-MAX(0,($L802*(1-(Assumptions!$C$25+0.06*(1-1))-Assumptions!$C$27)-Assumptions!$C$28)*Assumptions!$C$31)+Assumptions!$C$28-Assumptions!$C$29-$L802*Assumptions!$C$30</f>
        <v>91.27722725</v>
      </c>
      <c r="R802" s="139">
        <f>($M802*(1-(Assumptions!$C$25+0.06*(1-$H802))-Assumptions!$C$27)-Assumptions!$C$28)-MAX(0,($M802*(1-(Assumptions!$C$25+0.06*(1-$H802))-Assumptions!$C$27)-Assumptions!$C$28)*Assumptions!$C$31)+Assumptions!$C$28-Assumptions!$C$29-$M802*Assumptions!$C$30</f>
        <v>95.37471722</v>
      </c>
      <c r="S802" s="139">
        <f>($N802*(1-(Assumptions!$C$25+0.06*(1-$I802))-Assumptions!$C$27)-Assumptions!$C$28)-MAX(0,($N802*(1-(Assumptions!$C$25+0.06*(1-$I802))-Assumptions!$C$27)-Assumptions!$C$28)*Assumptions!$C$31)+Assumptions!$C$28-Assumptions!$C$29-$N802*Assumptions!$C$30</f>
        <v>99.5963305</v>
      </c>
      <c r="T802" s="139">
        <f>($O802*(1-(Assumptions!$C$25+0.06*(1-$J802))-Assumptions!$C$27)-Assumptions!$C$28)-MAX(0,($O802*(1-(Assumptions!$C$25+0.06*(1-$J802))-Assumptions!$C$27)-Assumptions!$C$28)*Assumptions!$C$31)+Assumptions!$C$28-Assumptions!$C$29-$O802*Assumptions!$C$30</f>
        <v>103.9460569</v>
      </c>
      <c r="U802" s="139">
        <f>($P802*(1-(Assumptions!$C$25+0.06*(1-$K802))-Assumptions!$C$27)-Assumptions!$C$28)-MAX(0,($P802*(1-(Assumptions!$C$25+0.06*(1-$K802))-Assumptions!$C$27)-Assumptions!$C$28)*Assumptions!$C$31)+Assumptions!$C$28-Assumptions!$C$29-$P802*Assumptions!$C$30</f>
        <v>108.42802</v>
      </c>
      <c r="V802" s="143">
        <f>(($Q802/(1+$D802)^1+$R802/(1+$D802)^2+$S802/(1+$D802)^3+$T802/(1+$D802)^4+$U802/(1+$D802)^5+$U802*(1+$E802)/($D802-$E802)/(1+$D802)^5)-Assumptions!$C$37)/Assumptions!$C$40/Assumptions!$C$38</f>
        <v>4.320129574</v>
      </c>
    </row>
    <row r="803" ht="12.0" customHeight="1">
      <c r="B803" s="139">
        <v>751.0</v>
      </c>
      <c r="C803" s="140">
        <f t="shared" si="6"/>
        <v>0.3789538485</v>
      </c>
      <c r="D803" s="141">
        <f t="shared" si="7"/>
        <v>0.09633433926</v>
      </c>
      <c r="E803" s="141">
        <f t="shared" si="8"/>
        <v>0.01870185353</v>
      </c>
      <c r="F803" s="140">
        <f t="shared" si="9"/>
        <v>0.7933242873</v>
      </c>
      <c r="G803" s="141">
        <f t="shared" si="10"/>
        <v>0.07071227637</v>
      </c>
      <c r="H803" s="142">
        <f t="shared" si="11"/>
        <v>1</v>
      </c>
      <c r="I803" s="142">
        <f t="shared" si="12"/>
        <v>0</v>
      </c>
      <c r="J803" s="142">
        <f t="shared" si="13"/>
        <v>1</v>
      </c>
      <c r="K803" s="142">
        <f t="shared" si="14"/>
        <v>1</v>
      </c>
      <c r="L803" s="139">
        <f>Assumptions!$C$6*Assumptions!$C$7*(1+$G803-0.05*(1-1))^1+Assumptions!$C$6*Assumptions!$C$8*(1+Assumptions!$C$11)^1+Assumptions!$C$16*1+Assumptions!$C$6*Assumptions!$C$9*(1+Assumptions!$C$12)^1</f>
        <v>750.2697522</v>
      </c>
      <c r="M803" s="139">
        <f>Assumptions!$C$6*Assumptions!$C$7*(1+$G803-0.05*(1-$H803))^2+Assumptions!$C$6*Assumptions!$C$8*(1+Assumptions!$C$11)^2+Assumptions!$C$16*$H803+Assumptions!$C$6*Assumptions!$C$9*(1+Assumptions!$C$12)^2</f>
        <v>782.3519405</v>
      </c>
      <c r="N803" s="139">
        <f>Assumptions!$C$6*Assumptions!$C$7*(1+$G803-0.05*(1-$I803))^3+Assumptions!$C$6*Assumptions!$C$8*(1+Assumptions!$C$11)^3+Assumptions!$C$16*$I803+Assumptions!$C$6*Assumptions!$C$9*(1+Assumptions!$C$12)^3</f>
        <v>701.1461173</v>
      </c>
      <c r="O803" s="139">
        <f>Assumptions!$C$6*Assumptions!$C$7*(1+$G803-0.05*(1-$J803))^4+Assumptions!$C$6*Assumptions!$C$8*(1+Assumptions!$C$11)^4+Assumptions!$C$16*$J803+Assumptions!$C$6*Assumptions!$C$9*(1+Assumptions!$C$12)^4</f>
        <v>852.4484983</v>
      </c>
      <c r="P803" s="139">
        <f>Assumptions!$C$6*Assumptions!$C$7*(1+$G803-0.05*(1-$K803))^5+Assumptions!$C$6*Assumptions!$C$8*(1+Assumptions!$C$11)^5+Assumptions!$C$16*$K803+Assumptions!$C$6*Assumptions!$C$9*(1+Assumptions!$C$12)^5</f>
        <v>890.732069</v>
      </c>
      <c r="Q803" s="139">
        <f>($L803*(1-(Assumptions!$C$25+0.06*(1-1))-Assumptions!$C$27)-Assumptions!$C$28)-MAX(0,($L803*(1-(Assumptions!$C$25+0.06*(1-1))-Assumptions!$C$27)-Assumptions!$C$28)*Assumptions!$C$31)+Assumptions!$C$28-Assumptions!$C$29-$L803*Assumptions!$C$30</f>
        <v>93.80799673</v>
      </c>
      <c r="R803" s="139">
        <f>($M803*(1-(Assumptions!$C$25+0.06*(1-$H803))-Assumptions!$C$27)-Assumptions!$C$28)-MAX(0,($M803*(1-(Assumptions!$C$25+0.06*(1-$H803))-Assumptions!$C$27)-Assumptions!$C$28)*Assumptions!$C$31)+Assumptions!$C$28-Assumptions!$C$29-$M803*Assumptions!$C$30</f>
        <v>100.7056672</v>
      </c>
      <c r="S803" s="139">
        <f>($N803*(1-(Assumptions!$C$25+0.06*(1-$I803))-Assumptions!$C$27)-Assumptions!$C$28)-MAX(0,($N803*(1-(Assumptions!$C$25+0.06*(1-$I803))-Assumptions!$C$27)-Assumptions!$C$28)*Assumptions!$C$31)+Assumptions!$C$28-Assumptions!$C$29-$N803*Assumptions!$C$30</f>
        <v>41.26360698</v>
      </c>
      <c r="T803" s="139">
        <f>($O803*(1-(Assumptions!$C$25+0.06*(1-$J803))-Assumptions!$C$27)-Assumptions!$C$28)-MAX(0,($O803*(1-(Assumptions!$C$25+0.06*(1-$J803))-Assumptions!$C$27)-Assumptions!$C$28)*Assumptions!$C$31)+Assumptions!$C$28-Assumptions!$C$29-$O803*Assumptions!$C$30</f>
        <v>115.7764271</v>
      </c>
      <c r="U803" s="139">
        <f>($P803*(1-(Assumptions!$C$25+0.06*(1-$K803))-Assumptions!$C$27)-Assumptions!$C$28)-MAX(0,($P803*(1-(Assumptions!$C$25+0.06*(1-$K803))-Assumptions!$C$27)-Assumptions!$C$28)*Assumptions!$C$31)+Assumptions!$C$28-Assumptions!$C$29-$P803*Assumptions!$C$30</f>
        <v>124.0073948</v>
      </c>
      <c r="V803" s="143">
        <f>(($Q803/(1+$D803)^1+$R803/(1+$D803)^2+$S803/(1+$D803)^3+$T803/(1+$D803)^4+$U803/(1+$D803)^5+$U803*(1+$E803)/($D803-$E803)/(1+$D803)^5)-Assumptions!$C$37)/Assumptions!$C$40/Assumptions!$C$38</f>
        <v>5.422122072</v>
      </c>
    </row>
    <row r="804" ht="12.0" customHeight="1">
      <c r="B804" s="139">
        <v>752.0</v>
      </c>
      <c r="C804" s="140">
        <f t="shared" si="6"/>
        <v>0.9507848901</v>
      </c>
      <c r="D804" s="141">
        <f t="shared" si="7"/>
        <v>0.1097455089</v>
      </c>
      <c r="E804" s="141">
        <f t="shared" si="8"/>
        <v>0.02649462994</v>
      </c>
      <c r="F804" s="140">
        <f t="shared" si="9"/>
        <v>0.2987201649</v>
      </c>
      <c r="G804" s="141">
        <f t="shared" si="10"/>
        <v>0.0531882793</v>
      </c>
      <c r="H804" s="142">
        <f t="shared" si="11"/>
        <v>0</v>
      </c>
      <c r="I804" s="142">
        <f t="shared" si="12"/>
        <v>1</v>
      </c>
      <c r="J804" s="142">
        <f t="shared" si="13"/>
        <v>0</v>
      </c>
      <c r="K804" s="142">
        <f t="shared" si="14"/>
        <v>1</v>
      </c>
      <c r="L804" s="139">
        <f>Assumptions!$C$6*Assumptions!$C$7*(1+$G804-0.05*(1-1))^1+Assumptions!$C$6*Assumptions!$C$8*(1+Assumptions!$C$11)^1+Assumptions!$C$16*1+Assumptions!$C$6*Assumptions!$C$9*(1+Assumptions!$C$12)^1</f>
        <v>744.3711748</v>
      </c>
      <c r="M804" s="139">
        <f>Assumptions!$C$6*Assumptions!$C$7*(1+$G804-0.05*(1-$H804))^2+Assumptions!$C$6*Assumptions!$C$8*(1+Assumptions!$C$11)^2+Assumptions!$C$16*$H804+Assumptions!$C$6*Assumptions!$C$9*(1+Assumptions!$C$12)^2</f>
        <v>675.2151312</v>
      </c>
      <c r="N804" s="139">
        <f>Assumptions!$C$6*Assumptions!$C$7*(1+$G804-0.05*(1-$I804))^3+Assumptions!$C$6*Assumptions!$C$8*(1+Assumptions!$C$11)^3+Assumptions!$C$16*$I804+Assumptions!$C$6*Assumptions!$C$9*(1+Assumptions!$C$12)^3</f>
        <v>796.4115568</v>
      </c>
      <c r="O804" s="139">
        <f>Assumptions!$C$6*Assumptions!$C$7*(1+$G804-0.05*(1-$J804))^4+Assumptions!$C$6*Assumptions!$C$8*(1+Assumptions!$C$11)^4+Assumptions!$C$16*$J804+Assumptions!$C$6*Assumptions!$C$9*(1+Assumptions!$C$12)^4</f>
        <v>690.9718329</v>
      </c>
      <c r="P804" s="139">
        <f>Assumptions!$C$6*Assumptions!$C$7*(1+$G804-0.05*(1-$K804))^5+Assumptions!$C$6*Assumptions!$C$8*(1+Assumptions!$C$11)^5+Assumptions!$C$16*$K804+Assumptions!$C$6*Assumptions!$C$9*(1+Assumptions!$C$12)^5</f>
        <v>853.2180887</v>
      </c>
      <c r="Q804" s="139">
        <f>($L804*(1-(Assumptions!$C$25+0.06*(1-1))-Assumptions!$C$27)-Assumptions!$C$28)-MAX(0,($L804*(1-(Assumptions!$C$25+0.06*(1-1))-Assumptions!$C$27)-Assumptions!$C$28)*Assumptions!$C$31)+Assumptions!$C$28-Assumptions!$C$29-$L804*Assumptions!$C$30</f>
        <v>92.53980258</v>
      </c>
      <c r="R804" s="139">
        <f>($M804*(1-(Assumptions!$C$25+0.06*(1-$H804))-Assumptions!$C$27)-Assumptions!$C$28)-MAX(0,($M804*(1-(Assumptions!$C$25+0.06*(1-$H804))-Assumptions!$C$27)-Assumptions!$C$28)*Assumptions!$C$31)+Assumptions!$C$28-Assumptions!$C$29-$M804*Assumptions!$C$30</f>
        <v>35.29948018</v>
      </c>
      <c r="S804" s="139">
        <f>($N804*(1-(Assumptions!$C$25+0.06*(1-$I804))-Assumptions!$C$27)-Assumptions!$C$28)-MAX(0,($N804*(1-(Assumptions!$C$25+0.06*(1-$I804))-Assumptions!$C$27)-Assumptions!$C$28)*Assumptions!$C$31)+Assumptions!$C$28-Assumptions!$C$29-$N804*Assumptions!$C$30</f>
        <v>103.7284847</v>
      </c>
      <c r="T804" s="139">
        <f>($O804*(1-(Assumptions!$C$25+0.06*(1-$J804))-Assumptions!$C$27)-Assumptions!$C$28)-MAX(0,($O804*(1-(Assumptions!$C$25+0.06*(1-$J804))-Assumptions!$C$27)-Assumptions!$C$28)*Assumptions!$C$31)+Assumptions!$C$28-Assumptions!$C$29-$O804*Assumptions!$C$30</f>
        <v>38.92352158</v>
      </c>
      <c r="U804" s="139">
        <f>($P804*(1-(Assumptions!$C$25+0.06*(1-$K804))-Assumptions!$C$27)-Assumptions!$C$28)-MAX(0,($P804*(1-(Assumptions!$C$25+0.06*(1-$K804))-Assumptions!$C$27)-Assumptions!$C$28)*Assumptions!$C$31)+Assumptions!$C$28-Assumptions!$C$29-$P804*Assumptions!$C$30</f>
        <v>115.9418891</v>
      </c>
      <c r="V804" s="143">
        <f>(($Q804/(1+$D804)^1+$R804/(1+$D804)^2+$S804/(1+$D804)^3+$T804/(1+$D804)^4+$U804/(1+$D804)^5+$U804*(1+$E804)/($D804-$E804)/(1+$D804)^5)-Assumptions!$C$37)/Assumptions!$C$40/Assumptions!$C$38</f>
        <v>3.434963555</v>
      </c>
    </row>
    <row r="805" ht="12.0" customHeight="1">
      <c r="B805" s="139">
        <v>753.0</v>
      </c>
      <c r="C805" s="140">
        <f t="shared" si="6"/>
        <v>0.7319356633</v>
      </c>
      <c r="D805" s="141">
        <f t="shared" si="7"/>
        <v>0.1027368808</v>
      </c>
      <c r="E805" s="141">
        <f t="shared" si="8"/>
        <v>0.02147090003</v>
      </c>
      <c r="F805" s="140">
        <f t="shared" si="9"/>
        <v>0.7599741579</v>
      </c>
      <c r="G805" s="141">
        <f t="shared" si="10"/>
        <v>0.06921427134</v>
      </c>
      <c r="H805" s="142">
        <f t="shared" si="11"/>
        <v>0</v>
      </c>
      <c r="I805" s="142">
        <f t="shared" si="12"/>
        <v>0</v>
      </c>
      <c r="J805" s="142">
        <f t="shared" si="13"/>
        <v>1</v>
      </c>
      <c r="K805" s="142">
        <f t="shared" si="14"/>
        <v>1</v>
      </c>
      <c r="L805" s="139">
        <f>Assumptions!$C$6*Assumptions!$C$7*(1+$G805-0.05*(1-1))^1+Assumptions!$C$6*Assumptions!$C$8*(1+Assumptions!$C$11)^1+Assumptions!$C$16*1+Assumptions!$C$6*Assumptions!$C$9*(1+Assumptions!$C$12)^1</f>
        <v>749.7655237</v>
      </c>
      <c r="M805" s="139">
        <f>Assumptions!$C$6*Assumptions!$C$7*(1+$G805-0.05*(1-$H805))^2+Assumptions!$C$6*Assumptions!$C$8*(1+Assumptions!$C$11)^2+Assumptions!$C$16*$H805+Assumptions!$C$6*Assumptions!$C$9*(1+Assumptions!$C$12)^2</f>
        <v>686.1246762</v>
      </c>
      <c r="N805" s="139">
        <f>Assumptions!$C$6*Assumptions!$C$7*(1+$G805-0.05*(1-$I805))^3+Assumptions!$C$6*Assumptions!$C$8*(1+Assumptions!$C$11)^3+Assumptions!$C$16*$I805+Assumptions!$C$6*Assumptions!$C$9*(1+Assumptions!$C$12)^3</f>
        <v>699.5724324</v>
      </c>
      <c r="O805" s="139">
        <f>Assumptions!$C$6*Assumptions!$C$7*(1+$G805-0.05*(1-$J805))^4+Assumptions!$C$6*Assumptions!$C$8*(1+Assumptions!$C$11)^4+Assumptions!$C$16*$J805+Assumptions!$C$6*Assumptions!$C$9*(1+Assumptions!$C$12)^4</f>
        <v>849.9779451</v>
      </c>
      <c r="P805" s="139">
        <f>Assumptions!$C$6*Assumptions!$C$7*(1+$G805-0.05*(1-$K805))^5+Assumptions!$C$6*Assumptions!$C$8*(1+Assumptions!$C$11)^5+Assumptions!$C$16*$K805+Assumptions!$C$6*Assumptions!$C$9*(1+Assumptions!$C$12)^5</f>
        <v>887.427816</v>
      </c>
      <c r="Q805" s="139">
        <f>($L805*(1-(Assumptions!$C$25+0.06*(1-1))-Assumptions!$C$27)-Assumptions!$C$28)-MAX(0,($L805*(1-(Assumptions!$C$25+0.06*(1-1))-Assumptions!$C$27)-Assumptions!$C$28)*Assumptions!$C$31)+Assumptions!$C$28-Assumptions!$C$29-$L805*Assumptions!$C$30</f>
        <v>93.6995876</v>
      </c>
      <c r="R805" s="139">
        <f>($M805*(1-(Assumptions!$C$25+0.06*(1-$H805))-Assumptions!$C$27)-Assumptions!$C$28)-MAX(0,($M805*(1-(Assumptions!$C$25+0.06*(1-$H805))-Assumptions!$C$27)-Assumptions!$C$28)*Assumptions!$C$31)+Assumptions!$C$28-Assumptions!$C$29-$M805*Assumptions!$C$30</f>
        <v>37.80867553</v>
      </c>
      <c r="S805" s="139">
        <f>($N805*(1-(Assumptions!$C$25+0.06*(1-$I805))-Assumptions!$C$27)-Assumptions!$C$28)-MAX(0,($N805*(1-(Assumptions!$C$25+0.06*(1-$I805))-Assumptions!$C$27)-Assumptions!$C$28)*Assumptions!$C$31)+Assumptions!$C$28-Assumptions!$C$29-$N805*Assumptions!$C$30</f>
        <v>40.90165945</v>
      </c>
      <c r="T805" s="139">
        <f>($O805*(1-(Assumptions!$C$25+0.06*(1-$J805))-Assumptions!$C$27)-Assumptions!$C$28)-MAX(0,($O805*(1-(Assumptions!$C$25+0.06*(1-$J805))-Assumptions!$C$27)-Assumptions!$C$28)*Assumptions!$C$31)+Assumptions!$C$28-Assumptions!$C$29-$O805*Assumptions!$C$30</f>
        <v>115.2452582</v>
      </c>
      <c r="U805" s="139">
        <f>($P805*(1-(Assumptions!$C$25+0.06*(1-$K805))-Assumptions!$C$27)-Assumptions!$C$28)-MAX(0,($P805*(1-(Assumptions!$C$25+0.06*(1-$K805))-Assumptions!$C$27)-Assumptions!$C$28)*Assumptions!$C$31)+Assumptions!$C$28-Assumptions!$C$29-$P805*Assumptions!$C$30</f>
        <v>123.2969804</v>
      </c>
      <c r="V805" s="143">
        <f>(($Q805/(1+$D805)^1+$R805/(1+$D805)^2+$S805/(1+$D805)^3+$T805/(1+$D805)^4+$U805/(1+$D805)^5+$U805*(1+$E805)/($D805-$E805)/(1+$D805)^5)-Assumptions!$C$37)/Assumptions!$C$40/Assumptions!$C$38</f>
        <v>4.361010012</v>
      </c>
    </row>
    <row r="806" ht="12.0" customHeight="1">
      <c r="B806" s="139">
        <v>754.0</v>
      </c>
      <c r="C806" s="140">
        <f t="shared" si="6"/>
        <v>0.2592318168</v>
      </c>
      <c r="D806" s="141">
        <f t="shared" si="7"/>
        <v>0.09437441123</v>
      </c>
      <c r="E806" s="141">
        <f t="shared" si="8"/>
        <v>0.02886133715</v>
      </c>
      <c r="F806" s="140">
        <f t="shared" si="9"/>
        <v>0.6876320855</v>
      </c>
      <c r="G806" s="141">
        <f t="shared" si="10"/>
        <v>0.06628793037</v>
      </c>
      <c r="H806" s="142">
        <f t="shared" si="11"/>
        <v>1</v>
      </c>
      <c r="I806" s="142">
        <f t="shared" si="12"/>
        <v>0</v>
      </c>
      <c r="J806" s="142">
        <f t="shared" si="13"/>
        <v>1</v>
      </c>
      <c r="K806" s="142">
        <f t="shared" si="14"/>
        <v>1</v>
      </c>
      <c r="L806" s="139">
        <f>Assumptions!$C$6*Assumptions!$C$7*(1+$G806-0.05*(1-1))^1+Assumptions!$C$6*Assumptions!$C$8*(1+Assumptions!$C$11)^1+Assumptions!$C$16*1+Assumptions!$C$6*Assumptions!$C$9*(1+Assumptions!$C$12)^1</f>
        <v>748.7805174</v>
      </c>
      <c r="M806" s="139">
        <f>Assumptions!$C$6*Assumptions!$C$7*(1+$G806-0.05*(1-$H806))^2+Assumptions!$C$6*Assumptions!$C$8*(1+Assumptions!$C$11)^2+Assumptions!$C$16*$H806+Assumptions!$C$6*Assumptions!$C$9*(1+Assumptions!$C$12)^2</f>
        <v>779.1694453</v>
      </c>
      <c r="N806" s="139">
        <f>Assumptions!$C$6*Assumptions!$C$7*(1+$G806-0.05*(1-$I806))^3+Assumptions!$C$6*Assumptions!$C$8*(1+Assumptions!$C$11)^3+Assumptions!$C$16*$I806+Assumptions!$C$6*Assumptions!$C$9*(1+Assumptions!$C$12)^3</f>
        <v>696.5115704</v>
      </c>
      <c r="O806" s="139">
        <f>Assumptions!$C$6*Assumptions!$C$7*(1+$G806-0.05*(1-$J806))^4+Assumptions!$C$6*Assumptions!$C$8*(1+Assumptions!$C$11)^4+Assumptions!$C$16*$J806+Assumptions!$C$6*Assumptions!$C$9*(1+Assumptions!$C$12)^4</f>
        <v>845.1816055</v>
      </c>
      <c r="P806" s="139">
        <f>Assumptions!$C$6*Assumptions!$C$7*(1+$G806-0.05*(1-$K806))^5+Assumptions!$C$6*Assumptions!$C$8*(1+Assumptions!$C$11)^5+Assumptions!$C$16*$K806+Assumptions!$C$6*Assumptions!$C$9*(1+Assumptions!$C$12)^5</f>
        <v>881.0261828</v>
      </c>
      <c r="Q806" s="139">
        <f>($L806*(1-(Assumptions!$C$25+0.06*(1-1))-Assumptions!$C$27)-Assumptions!$C$28)-MAX(0,($L806*(1-(Assumptions!$C$25+0.06*(1-1))-Assumptions!$C$27)-Assumptions!$C$28)*Assumptions!$C$31)+Assumptions!$C$28-Assumptions!$C$29-$L806*Assumptions!$C$30</f>
        <v>93.48781123</v>
      </c>
      <c r="R806" s="139">
        <f>($M806*(1-(Assumptions!$C$25+0.06*(1-$H806))-Assumptions!$C$27)-Assumptions!$C$28)-MAX(0,($M806*(1-(Assumptions!$C$25+0.06*(1-$H806))-Assumptions!$C$27)-Assumptions!$C$28)*Assumptions!$C$31)+Assumptions!$C$28-Assumptions!$C$29-$M806*Assumptions!$C$30</f>
        <v>100.0214307</v>
      </c>
      <c r="S806" s="139">
        <f>($N806*(1-(Assumptions!$C$25+0.06*(1-$I806))-Assumptions!$C$27)-Assumptions!$C$28)-MAX(0,($N806*(1-(Assumptions!$C$25+0.06*(1-$I806))-Assumptions!$C$27)-Assumptions!$C$28)*Assumptions!$C$31)+Assumptions!$C$28-Assumptions!$C$29-$N806*Assumptions!$C$30</f>
        <v>40.19766118</v>
      </c>
      <c r="T806" s="139">
        <f>($O806*(1-(Assumptions!$C$25+0.06*(1-$J806))-Assumptions!$C$27)-Assumptions!$C$28)-MAX(0,($O806*(1-(Assumptions!$C$25+0.06*(1-$J806))-Assumptions!$C$27)-Assumptions!$C$28)*Assumptions!$C$31)+Assumptions!$C$28-Assumptions!$C$29-$O806*Assumptions!$C$30</f>
        <v>114.2140452</v>
      </c>
      <c r="U806" s="139">
        <f>($P806*(1-(Assumptions!$C$25+0.06*(1-$K806))-Assumptions!$C$27)-Assumptions!$C$28)-MAX(0,($P806*(1-(Assumptions!$C$25+0.06*(1-$K806))-Assumptions!$C$27)-Assumptions!$C$28)*Assumptions!$C$31)+Assumptions!$C$28-Assumptions!$C$29-$P806*Assumptions!$C$30</f>
        <v>121.9206293</v>
      </c>
      <c r="V806" s="143">
        <f>(($Q806/(1+$D806)^1+$R806/(1+$D806)^2+$S806/(1+$D806)^3+$T806/(1+$D806)^4+$U806/(1+$D806)^5+$U806*(1+$E806)/($D806-$E806)/(1+$D806)^5)-Assumptions!$C$37)/Assumptions!$C$40/Assumptions!$C$38</f>
        <v>6.906276266</v>
      </c>
    </row>
    <row r="807" ht="12.0" customHeight="1">
      <c r="B807" s="139">
        <v>755.0</v>
      </c>
      <c r="C807" s="140">
        <f t="shared" si="6"/>
        <v>0.2018022373</v>
      </c>
      <c r="D807" s="141">
        <f t="shared" si="7"/>
        <v>0.09327109173</v>
      </c>
      <c r="E807" s="141">
        <f t="shared" si="8"/>
        <v>0.01718087342</v>
      </c>
      <c r="F807" s="140">
        <f t="shared" si="9"/>
        <v>0.3120303588</v>
      </c>
      <c r="G807" s="141">
        <f t="shared" si="10"/>
        <v>0.05369925412</v>
      </c>
      <c r="H807" s="142">
        <f t="shared" si="11"/>
        <v>1</v>
      </c>
      <c r="I807" s="142">
        <f t="shared" si="12"/>
        <v>0</v>
      </c>
      <c r="J807" s="142">
        <f t="shared" si="13"/>
        <v>1</v>
      </c>
      <c r="K807" s="142">
        <f t="shared" si="14"/>
        <v>1</v>
      </c>
      <c r="L807" s="139">
        <f>Assumptions!$C$6*Assumptions!$C$7*(1+$G807-0.05*(1-1))^1+Assumptions!$C$6*Assumptions!$C$8*(1+Assumptions!$C$11)^1+Assumptions!$C$16*1+Assumptions!$C$6*Assumptions!$C$9*(1+Assumptions!$C$12)^1</f>
        <v>744.5431689</v>
      </c>
      <c r="M807" s="139">
        <f>Assumptions!$C$6*Assumptions!$C$7*(1+$G807-0.05*(1-$H807))^2+Assumptions!$C$6*Assumptions!$C$8*(1+Assumptions!$C$11)^2+Assumptions!$C$16*$H807+Assumptions!$C$6*Assumptions!$C$9*(1+Assumptions!$C$12)^2</f>
        <v>770.186321</v>
      </c>
      <c r="N807" s="139">
        <f>Assumptions!$C$6*Assumptions!$C$7*(1+$G807-0.05*(1-$I807))^3+Assumptions!$C$6*Assumptions!$C$8*(1+Assumptions!$C$11)^3+Assumptions!$C$16*$I807+Assumptions!$C$6*Assumptions!$C$9*(1+Assumptions!$C$12)^3</f>
        <v>683.5440096</v>
      </c>
      <c r="O807" s="139">
        <f>Assumptions!$C$6*Assumptions!$C$7*(1+$G807-0.05*(1-$J807))^4+Assumptions!$C$6*Assumptions!$C$8*(1+Assumptions!$C$11)^4+Assumptions!$C$16*$J807+Assumptions!$C$6*Assumptions!$C$9*(1+Assumptions!$C$12)^4</f>
        <v>824.9942607</v>
      </c>
      <c r="P807" s="139">
        <f>Assumptions!$C$6*Assumptions!$C$7*(1+$G807-0.05*(1-$K807))^5+Assumptions!$C$6*Assumptions!$C$8*(1+Assumptions!$C$11)^5+Assumptions!$C$16*$K807+Assumptions!$C$6*Assumptions!$C$9*(1+Assumptions!$C$12)^5</f>
        <v>854.2771695</v>
      </c>
      <c r="Q807" s="139">
        <f>($L807*(1-(Assumptions!$C$25+0.06*(1-1))-Assumptions!$C$27)-Assumptions!$C$28)-MAX(0,($L807*(1-(Assumptions!$C$25+0.06*(1-1))-Assumptions!$C$27)-Assumptions!$C$28)*Assumptions!$C$31)+Assumptions!$C$28-Assumptions!$C$29-$L807*Assumptions!$C$30</f>
        <v>92.57678132</v>
      </c>
      <c r="R807" s="139">
        <f>($M807*(1-(Assumptions!$C$25+0.06*(1-$H807))-Assumptions!$C$27)-Assumptions!$C$28)-MAX(0,($M807*(1-(Assumptions!$C$25+0.06*(1-$H807))-Assumptions!$C$27)-Assumptions!$C$28)*Assumptions!$C$31)+Assumptions!$C$28-Assumptions!$C$29-$M807*Assumptions!$C$30</f>
        <v>98.09005901</v>
      </c>
      <c r="S807" s="139">
        <f>($N807*(1-(Assumptions!$C$25+0.06*(1-$I807))-Assumptions!$C$27)-Assumptions!$C$28)-MAX(0,($N807*(1-(Assumptions!$C$25+0.06*(1-$I807))-Assumptions!$C$27)-Assumptions!$C$28)*Assumptions!$C$31)+Assumptions!$C$28-Assumptions!$C$29-$N807*Assumptions!$C$30</f>
        <v>37.21512222</v>
      </c>
      <c r="T807" s="139">
        <f>($O807*(1-(Assumptions!$C$25+0.06*(1-$J807))-Assumptions!$C$27)-Assumptions!$C$28)-MAX(0,($O807*(1-(Assumptions!$C$25+0.06*(1-$J807))-Assumptions!$C$27)-Assumptions!$C$28)*Assumptions!$C$31)+Assumptions!$C$28-Assumptions!$C$29-$O807*Assumptions!$C$30</f>
        <v>109.873766</v>
      </c>
      <c r="U807" s="139">
        <f>($P807*(1-(Assumptions!$C$25+0.06*(1-$K807))-Assumptions!$C$27)-Assumptions!$C$28)-MAX(0,($P807*(1-(Assumptions!$C$25+0.06*(1-$K807))-Assumptions!$C$27)-Assumptions!$C$28)*Assumptions!$C$31)+Assumptions!$C$28-Assumptions!$C$29-$P807*Assumptions!$C$30</f>
        <v>116.1695914</v>
      </c>
      <c r="V807" s="143">
        <f>(($Q807/(1+$D807)^1+$R807/(1+$D807)^2+$S807/(1+$D807)^3+$T807/(1+$D807)^4+$U807/(1+$D807)^5+$U807*(1+$E807)/($D807-$E807)/(1+$D807)^5)-Assumptions!$C$37)/Assumptions!$C$40/Assumptions!$C$38</f>
        <v>5.065760695</v>
      </c>
    </row>
    <row r="808" ht="12.0" customHeight="1">
      <c r="B808" s="139">
        <v>756.0</v>
      </c>
      <c r="C808" s="140">
        <f t="shared" si="6"/>
        <v>0.3164822839</v>
      </c>
      <c r="D808" s="141">
        <f t="shared" si="7"/>
        <v>0.09535796767</v>
      </c>
      <c r="E808" s="141">
        <f t="shared" si="8"/>
        <v>0.01435169514</v>
      </c>
      <c r="F808" s="140">
        <f t="shared" si="9"/>
        <v>0.1353517583</v>
      </c>
      <c r="G808" s="141">
        <f t="shared" si="10"/>
        <v>0.04560875283</v>
      </c>
      <c r="H808" s="142">
        <f t="shared" si="11"/>
        <v>0</v>
      </c>
      <c r="I808" s="142">
        <f t="shared" si="12"/>
        <v>1</v>
      </c>
      <c r="J808" s="142">
        <f t="shared" si="13"/>
        <v>1</v>
      </c>
      <c r="K808" s="142">
        <f t="shared" si="14"/>
        <v>0</v>
      </c>
      <c r="L808" s="139">
        <f>Assumptions!$C$6*Assumptions!$C$7*(1+$G808-0.05*(1-1))^1+Assumptions!$C$6*Assumptions!$C$8*(1+Assumptions!$C$11)^1+Assumptions!$C$16*1+Assumptions!$C$6*Assumptions!$C$9*(1+Assumptions!$C$12)^1</f>
        <v>741.8199062</v>
      </c>
      <c r="M808" s="139">
        <f>Assumptions!$C$6*Assumptions!$C$7*(1+$G808-0.05*(1-$H808))^2+Assumptions!$C$6*Assumptions!$C$8*(1+Assumptions!$C$11)^2+Assumptions!$C$16*$H808+Assumptions!$C$6*Assumptions!$C$9*(1+Assumptions!$C$12)^2</f>
        <v>670.1156631</v>
      </c>
      <c r="N808" s="139">
        <f>Assumptions!$C$6*Assumptions!$C$7*(1+$G808-0.05*(1-$I808))^3+Assumptions!$C$6*Assumptions!$C$8*(1+Assumptions!$C$11)^3+Assumptions!$C$16*$I808+Assumptions!$C$6*Assumptions!$C$9*(1+Assumptions!$C$12)^3</f>
        <v>787.9828641</v>
      </c>
      <c r="O808" s="139">
        <f>Assumptions!$C$6*Assumptions!$C$7*(1+$G808-0.05*(1-$J808))^4+Assumptions!$C$6*Assumptions!$C$8*(1+Assumptions!$C$11)^4+Assumptions!$C$16*$J808+Assumptions!$C$6*Assumptions!$C$9*(1+Assumptions!$C$12)^4</f>
        <v>812.3964672</v>
      </c>
      <c r="P808" s="139">
        <f>Assumptions!$C$6*Assumptions!$C$7*(1+$G808-0.05*(1-$K808))^5+Assumptions!$C$6*Assumptions!$C$8*(1+Assumptions!$C$11)^5+Assumptions!$C$16*$K808+Assumptions!$C$6*Assumptions!$C$9*(1+Assumptions!$C$12)^5</f>
        <v>686.3338851</v>
      </c>
      <c r="Q808" s="139">
        <f>($L808*(1-(Assumptions!$C$25+0.06*(1-1))-Assumptions!$C$27)-Assumptions!$C$28)-MAX(0,($L808*(1-(Assumptions!$C$25+0.06*(1-1))-Assumptions!$C$27)-Assumptions!$C$28)*Assumptions!$C$31)+Assumptions!$C$28-Assumptions!$C$29-$L808*Assumptions!$C$30</f>
        <v>91.99127983</v>
      </c>
      <c r="R808" s="139">
        <f>($M808*(1-(Assumptions!$C$25+0.06*(1-$H808))-Assumptions!$C$27)-Assumptions!$C$28)-MAX(0,($M808*(1-(Assumptions!$C$25+0.06*(1-$H808))-Assumptions!$C$27)-Assumptions!$C$28)*Assumptions!$C$31)+Assumptions!$C$28-Assumptions!$C$29-$M808*Assumptions!$C$30</f>
        <v>34.12660251</v>
      </c>
      <c r="S808" s="139">
        <f>($N808*(1-(Assumptions!$C$25+0.06*(1-$I808))-Assumptions!$C$27)-Assumptions!$C$28)-MAX(0,($N808*(1-(Assumptions!$C$25+0.06*(1-$I808))-Assumptions!$C$27)-Assumptions!$C$28)*Assumptions!$C$31)+Assumptions!$C$28-Assumptions!$C$29-$N808*Assumptions!$C$30</f>
        <v>101.9163158</v>
      </c>
      <c r="T808" s="139">
        <f>($O808*(1-(Assumptions!$C$25+0.06*(1-$J808))-Assumptions!$C$27)-Assumptions!$C$28)-MAX(0,($O808*(1-(Assumptions!$C$25+0.06*(1-$J808))-Assumptions!$C$27)-Assumptions!$C$28)*Assumptions!$C$31)+Assumptions!$C$28-Assumptions!$C$29-$O808*Assumptions!$C$30</f>
        <v>107.1652404</v>
      </c>
      <c r="U808" s="139">
        <f>($P808*(1-(Assumptions!$C$25+0.06*(1-$K808))-Assumptions!$C$27)-Assumptions!$C$28)-MAX(0,($P808*(1-(Assumptions!$C$25+0.06*(1-$K808))-Assumptions!$C$27)-Assumptions!$C$28)*Assumptions!$C$31)+Assumptions!$C$28-Assumptions!$C$29-$P808*Assumptions!$C$30</f>
        <v>37.85679358</v>
      </c>
      <c r="V808" s="143">
        <f>(($Q808/(1+$D808)^1+$R808/(1+$D808)^2+$S808/(1+$D808)^3+$T808/(1+$D808)^4+$U808/(1+$D808)^5+$U808*(1+$E808)/($D808-$E808)/(1+$D808)^5)-Assumptions!$C$37)/Assumptions!$C$40/Assumptions!$C$38</f>
        <v>-0.8010127705</v>
      </c>
    </row>
    <row r="809" ht="12.0" customHeight="1">
      <c r="B809" s="139">
        <v>757.0</v>
      </c>
      <c r="C809" s="140">
        <f t="shared" si="6"/>
        <v>0.6828745943</v>
      </c>
      <c r="D809" s="141">
        <f t="shared" si="7"/>
        <v>0.1016618085</v>
      </c>
      <c r="E809" s="141">
        <f t="shared" si="8"/>
        <v>0.02618281369</v>
      </c>
      <c r="F809" s="140">
        <f t="shared" si="9"/>
        <v>0.8942258653</v>
      </c>
      <c r="G809" s="141">
        <f t="shared" si="10"/>
        <v>0.07620168697</v>
      </c>
      <c r="H809" s="142">
        <f t="shared" si="11"/>
        <v>0</v>
      </c>
      <c r="I809" s="142">
        <f t="shared" si="12"/>
        <v>1</v>
      </c>
      <c r="J809" s="142">
        <f t="shared" si="13"/>
        <v>0</v>
      </c>
      <c r="K809" s="142">
        <f t="shared" si="14"/>
        <v>1</v>
      </c>
      <c r="L809" s="139">
        <f>Assumptions!$C$6*Assumptions!$C$7*(1+$G809-0.05*(1-1))^1+Assumptions!$C$6*Assumptions!$C$8*(1+Assumptions!$C$11)^1+Assumptions!$C$16*1+Assumptions!$C$6*Assumptions!$C$9*(1+Assumptions!$C$12)^1</f>
        <v>752.1174878</v>
      </c>
      <c r="M809" s="139">
        <f>Assumptions!$C$6*Assumptions!$C$7*(1+$G809-0.05*(1-$H809))^2+Assumptions!$C$6*Assumptions!$C$8*(1+Assumptions!$C$11)^2+Assumptions!$C$16*$H809+Assumptions!$C$6*Assumptions!$C$9*(1+Assumptions!$C$12)^2</f>
        <v>690.9354211</v>
      </c>
      <c r="N809" s="139">
        <f>Assumptions!$C$6*Assumptions!$C$7*(1+$G809-0.05*(1-$I809))^3+Assumptions!$C$6*Assumptions!$C$8*(1+Assumptions!$C$11)^3+Assumptions!$C$16*$I809+Assumptions!$C$6*Assumptions!$C$9*(1+Assumptions!$C$12)^3</f>
        <v>822.7556722</v>
      </c>
      <c r="O809" s="139">
        <f>Assumptions!$C$6*Assumptions!$C$7*(1+$G809-0.05*(1-$J809))^4+Assumptions!$C$6*Assumptions!$C$8*(1+Assumptions!$C$11)^4+Assumptions!$C$16*$J809+Assumptions!$C$6*Assumptions!$C$9*(1+Assumptions!$C$12)^4</f>
        <v>723.3474026</v>
      </c>
      <c r="P809" s="139">
        <f>Assumptions!$C$6*Assumptions!$C$7*(1+$G809-0.05*(1-$K809))^5+Assumptions!$C$6*Assumptions!$C$8*(1+Assumptions!$C$11)^5+Assumptions!$C$16*$K809+Assumptions!$C$6*Assumptions!$C$9*(1+Assumptions!$C$12)^5</f>
        <v>902.9995132</v>
      </c>
      <c r="Q809" s="139">
        <f>($L809*(1-(Assumptions!$C$25+0.06*(1-1))-Assumptions!$C$27)-Assumptions!$C$28)-MAX(0,($L809*(1-(Assumptions!$C$25+0.06*(1-1))-Assumptions!$C$27)-Assumptions!$C$28)*Assumptions!$C$31)+Assumptions!$C$28-Assumptions!$C$29-$L809*Assumptions!$C$30</f>
        <v>94.20525988</v>
      </c>
      <c r="R809" s="139">
        <f>($M809*(1-(Assumptions!$C$25+0.06*(1-$H809))-Assumptions!$C$27)-Assumptions!$C$28)-MAX(0,($M809*(1-(Assumptions!$C$25+0.06*(1-$H809))-Assumptions!$C$27)-Assumptions!$C$28)*Assumptions!$C$31)+Assumptions!$C$28-Assumptions!$C$29-$M809*Assumptions!$C$30</f>
        <v>38.91514686</v>
      </c>
      <c r="S809" s="139">
        <f>($N809*(1-(Assumptions!$C$25+0.06*(1-$I809))-Assumptions!$C$27)-Assumptions!$C$28)-MAX(0,($N809*(1-(Assumptions!$C$25+0.06*(1-$I809))-Assumptions!$C$27)-Assumptions!$C$28)*Assumptions!$C$31)+Assumptions!$C$28-Assumptions!$C$29-$N809*Assumptions!$C$30</f>
        <v>109.3924695</v>
      </c>
      <c r="T809" s="139">
        <f>($O809*(1-(Assumptions!$C$25+0.06*(1-$J809))-Assumptions!$C$27)-Assumptions!$C$28)-MAX(0,($O809*(1-(Assumptions!$C$25+0.06*(1-$J809))-Assumptions!$C$27)-Assumptions!$C$28)*Assumptions!$C$31)+Assumptions!$C$28-Assumptions!$C$29-$O809*Assumptions!$C$30</f>
        <v>46.3699026</v>
      </c>
      <c r="U809" s="139">
        <f>($P809*(1-(Assumptions!$C$25+0.06*(1-$K809))-Assumptions!$C$27)-Assumptions!$C$28)-MAX(0,($P809*(1-(Assumptions!$C$25+0.06*(1-$K809))-Assumptions!$C$27)-Assumptions!$C$28)*Assumptions!$C$31)+Assumptions!$C$28-Assumptions!$C$29-$P809*Assumptions!$C$30</f>
        <v>126.6448953</v>
      </c>
      <c r="V809" s="143">
        <f>(($Q809/(1+$D809)^1+$R809/(1+$D809)^2+$S809/(1+$D809)^3+$T809/(1+$D809)^4+$U809/(1+$D809)^5+$U809*(1+$E809)/($D809-$E809)/(1+$D809)^5)-Assumptions!$C$37)/Assumptions!$C$40/Assumptions!$C$38</f>
        <v>5.293357927</v>
      </c>
    </row>
    <row r="810" ht="12.0" customHeight="1">
      <c r="B810" s="139">
        <v>758.0</v>
      </c>
      <c r="C810" s="140">
        <f t="shared" si="6"/>
        <v>0.6999971506</v>
      </c>
      <c r="D810" s="141">
        <f t="shared" si="7"/>
        <v>0.1020268894</v>
      </c>
      <c r="E810" s="141">
        <f t="shared" si="8"/>
        <v>0.01896857288</v>
      </c>
      <c r="F810" s="140">
        <f t="shared" si="9"/>
        <v>0.535117376</v>
      </c>
      <c r="G810" s="141">
        <f t="shared" si="10"/>
        <v>0.06107269934</v>
      </c>
      <c r="H810" s="142">
        <f t="shared" si="11"/>
        <v>1</v>
      </c>
      <c r="I810" s="142">
        <f t="shared" si="12"/>
        <v>1</v>
      </c>
      <c r="J810" s="142">
        <f t="shared" si="13"/>
        <v>1</v>
      </c>
      <c r="K810" s="142">
        <f t="shared" si="14"/>
        <v>1</v>
      </c>
      <c r="L810" s="139">
        <f>Assumptions!$C$6*Assumptions!$C$7*(1+$G810-0.05*(1-1))^1+Assumptions!$C$6*Assumptions!$C$8*(1+Assumptions!$C$11)^1+Assumptions!$C$16*1+Assumptions!$C$6*Assumptions!$C$9*(1+Assumptions!$C$12)^1</f>
        <v>747.0250706</v>
      </c>
      <c r="M810" s="139">
        <f>Assumptions!$C$6*Assumptions!$C$7*(1+$G810-0.05*(1-$H810))^2+Assumptions!$C$6*Assumptions!$C$8*(1+Assumptions!$C$11)^2+Assumptions!$C$16*$H810+Assumptions!$C$6*Assumptions!$C$9*(1+Assumptions!$C$12)^2</f>
        <v>775.434977</v>
      </c>
      <c r="N810" s="139">
        <f>Assumptions!$C$6*Assumptions!$C$7*(1+$G810-0.05*(1-$I810))^3+Assumptions!$C$6*Assumptions!$C$8*(1+Assumptions!$C$11)^3+Assumptions!$C$16*$I810+Assumptions!$C$6*Assumptions!$C$9*(1+Assumptions!$C$12)^3</f>
        <v>805.3089817</v>
      </c>
      <c r="O810" s="139">
        <f>Assumptions!$C$6*Assumptions!$C$7*(1+$G810-0.05*(1-$J810))^4+Assumptions!$C$6*Assumptions!$C$8*(1+Assumptions!$C$11)^4+Assumptions!$C$16*$J810+Assumptions!$C$6*Assumptions!$C$9*(1+Assumptions!$C$12)^4</f>
        <v>836.7310816</v>
      </c>
      <c r="P810" s="139">
        <f>Assumptions!$C$6*Assumptions!$C$7*(1+$G810-0.05*(1-$K810))^5+Assumptions!$C$6*Assumptions!$C$8*(1+Assumptions!$C$11)^5+Assumptions!$C$16*$K810+Assumptions!$C$6*Assumptions!$C$9*(1+Assumptions!$C$12)^5</f>
        <v>869.7902955</v>
      </c>
      <c r="Q810" s="139">
        <f>($L810*(1-(Assumptions!$C$25+0.06*(1-1))-Assumptions!$C$27)-Assumptions!$C$28)-MAX(0,($L810*(1-(Assumptions!$C$25+0.06*(1-1))-Assumptions!$C$27)-Assumptions!$C$28)*Assumptions!$C$31)+Assumptions!$C$28-Assumptions!$C$29-$L810*Assumptions!$C$30</f>
        <v>93.11039018</v>
      </c>
      <c r="R810" s="139">
        <f>($M810*(1-(Assumptions!$C$25+0.06*(1-$H810))-Assumptions!$C$27)-Assumptions!$C$28)-MAX(0,($M810*(1-(Assumptions!$C$25+0.06*(1-$H810))-Assumptions!$C$27)-Assumptions!$C$28)*Assumptions!$C$31)+Assumptions!$C$28-Assumptions!$C$29-$M810*Assumptions!$C$30</f>
        <v>99.21852005</v>
      </c>
      <c r="S810" s="139">
        <f>($N810*(1-(Assumptions!$C$25+0.06*(1-$I810))-Assumptions!$C$27)-Assumptions!$C$28)-MAX(0,($N810*(1-(Assumptions!$C$25+0.06*(1-$I810))-Assumptions!$C$27)-Assumptions!$C$28)*Assumptions!$C$31)+Assumptions!$C$28-Assumptions!$C$29-$N810*Assumptions!$C$30</f>
        <v>105.6414311</v>
      </c>
      <c r="T810" s="139">
        <f>($O810*(1-(Assumptions!$C$25+0.06*(1-$J810))-Assumptions!$C$27)-Assumptions!$C$28)-MAX(0,($O810*(1-(Assumptions!$C$25+0.06*(1-$J810))-Assumptions!$C$27)-Assumptions!$C$28)*Assumptions!$C$31)+Assumptions!$C$28-Assumptions!$C$29-$O810*Assumptions!$C$30</f>
        <v>112.3971826</v>
      </c>
      <c r="U810" s="139">
        <f>($P810*(1-(Assumptions!$C$25+0.06*(1-$K810))-Assumptions!$C$27)-Assumptions!$C$28)-MAX(0,($P810*(1-(Assumptions!$C$25+0.06*(1-$K810))-Assumptions!$C$27)-Assumptions!$C$28)*Assumptions!$C$31)+Assumptions!$C$28-Assumptions!$C$29-$P810*Assumptions!$C$30</f>
        <v>119.5049135</v>
      </c>
      <c r="V810" s="143">
        <f>(($Q810/(1+$D810)^1+$R810/(1+$D810)^2+$S810/(1+$D810)^3+$T810/(1+$D810)^4+$U810/(1+$D810)^5+$U810*(1+$E810)/($D810-$E810)/(1+$D810)^5)-Assumptions!$C$37)/Assumptions!$C$40/Assumptions!$C$38</f>
        <v>4.722496998</v>
      </c>
    </row>
    <row r="811" ht="12.0" customHeight="1">
      <c r="B811" s="139">
        <v>759.0</v>
      </c>
      <c r="C811" s="140">
        <f t="shared" si="6"/>
        <v>0.2455217002</v>
      </c>
      <c r="D811" s="141">
        <f t="shared" si="7"/>
        <v>0.09412314948</v>
      </c>
      <c r="E811" s="141">
        <f t="shared" si="8"/>
        <v>0.0190941767</v>
      </c>
      <c r="F811" s="140">
        <f t="shared" si="9"/>
        <v>0.7400035308</v>
      </c>
      <c r="G811" s="141">
        <f t="shared" si="10"/>
        <v>0.06836683924</v>
      </c>
      <c r="H811" s="142">
        <f t="shared" si="11"/>
        <v>1</v>
      </c>
      <c r="I811" s="142">
        <f t="shared" si="12"/>
        <v>1</v>
      </c>
      <c r="J811" s="142">
        <f t="shared" si="13"/>
        <v>0</v>
      </c>
      <c r="K811" s="142">
        <f t="shared" si="14"/>
        <v>1</v>
      </c>
      <c r="L811" s="139">
        <f>Assumptions!$C$6*Assumptions!$C$7*(1+$G811-0.05*(1-1))^1+Assumptions!$C$6*Assumptions!$C$8*(1+Assumptions!$C$11)^1+Assumptions!$C$16*1+Assumptions!$C$6*Assumptions!$C$9*(1+Assumptions!$C$12)^1</f>
        <v>749.4802781</v>
      </c>
      <c r="M811" s="139">
        <f>Assumptions!$C$6*Assumptions!$C$7*(1+$G811-0.05*(1-$H811))^2+Assumptions!$C$6*Assumptions!$C$8*(1+Assumptions!$C$11)^2+Assumptions!$C$16*$H811+Assumptions!$C$6*Assumptions!$C$9*(1+Assumptions!$C$12)^2</f>
        <v>780.6631929</v>
      </c>
      <c r="N811" s="139">
        <f>Assumptions!$C$6*Assumptions!$C$7*(1+$G811-0.05*(1-$I811))^3+Assumptions!$C$6*Assumptions!$C$8*(1+Assumptions!$C$11)^3+Assumptions!$C$16*$I811+Assumptions!$C$6*Assumptions!$C$9*(1+Assumptions!$C$12)^3</f>
        <v>813.6588916</v>
      </c>
      <c r="O811" s="139">
        <f>Assumptions!$C$6*Assumptions!$C$7*(1+$G811-0.05*(1-$J811))^4+Assumptions!$C$6*Assumptions!$C$8*(1+Assumptions!$C$11)^4+Assumptions!$C$16*$J811+Assumptions!$C$6*Assumptions!$C$9*(1+Assumptions!$C$12)^4</f>
        <v>712.0773468</v>
      </c>
      <c r="P811" s="139">
        <f>Assumptions!$C$6*Assumptions!$C$7*(1+$G811-0.05*(1-$K811))^5+Assumptions!$C$6*Assumptions!$C$8*(1+Assumptions!$C$11)^5+Assumptions!$C$16*$K811+Assumptions!$C$6*Assumptions!$C$9*(1+Assumptions!$C$12)^5</f>
        <v>885.5667593</v>
      </c>
      <c r="Q811" s="139">
        <f>($L811*(1-(Assumptions!$C$25+0.06*(1-1))-Assumptions!$C$27)-Assumptions!$C$28)-MAX(0,($L811*(1-(Assumptions!$C$25+0.06*(1-1))-Assumptions!$C$27)-Assumptions!$C$28)*Assumptions!$C$31)+Assumptions!$C$28-Assumptions!$C$29-$L811*Assumptions!$C$30</f>
        <v>93.63825979</v>
      </c>
      <c r="R811" s="139">
        <f>($M811*(1-(Assumptions!$C$25+0.06*(1-$H811))-Assumptions!$C$27)-Assumptions!$C$28)-MAX(0,($M811*(1-(Assumptions!$C$25+0.06*(1-$H811))-Assumptions!$C$27)-Assumptions!$C$28)*Assumptions!$C$31)+Assumptions!$C$28-Assumptions!$C$29-$M811*Assumptions!$C$30</f>
        <v>100.3425865</v>
      </c>
      <c r="S811" s="139">
        <f>($N811*(1-(Assumptions!$C$25+0.06*(1-$I811))-Assumptions!$C$27)-Assumptions!$C$28)-MAX(0,($N811*(1-(Assumptions!$C$25+0.06*(1-$I811))-Assumptions!$C$27)-Assumptions!$C$28)*Assumptions!$C$31)+Assumptions!$C$28-Assumptions!$C$29-$N811*Assumptions!$C$30</f>
        <v>107.4366617</v>
      </c>
      <c r="T811" s="139">
        <f>($O811*(1-(Assumptions!$C$25+0.06*(1-$J811))-Assumptions!$C$27)-Assumptions!$C$28)-MAX(0,($O811*(1-(Assumptions!$C$25+0.06*(1-$J811))-Assumptions!$C$27)-Assumptions!$C$28)*Assumptions!$C$31)+Assumptions!$C$28-Assumptions!$C$29-$O811*Assumptions!$C$30</f>
        <v>43.77778976</v>
      </c>
      <c r="U811" s="139">
        <f>($P811*(1-(Assumptions!$C$25+0.06*(1-$K811))-Assumptions!$C$27)-Assumptions!$C$28)-MAX(0,($P811*(1-(Assumptions!$C$25+0.06*(1-$K811))-Assumptions!$C$27)-Assumptions!$C$28)*Assumptions!$C$31)+Assumptions!$C$28-Assumptions!$C$29-$P811*Assumptions!$C$30</f>
        <v>122.8968533</v>
      </c>
      <c r="V811" s="143">
        <f>(($Q811/(1+$D811)^1+$R811/(1+$D811)^2+$S811/(1+$D811)^3+$T811/(1+$D811)^4+$U811/(1+$D811)^5+$U811*(1+$E811)/($D811-$E811)/(1+$D811)^5)-Assumptions!$C$37)/Assumptions!$C$40/Assumptions!$C$38</f>
        <v>5.722496241</v>
      </c>
    </row>
    <row r="812" ht="12.0" customHeight="1">
      <c r="B812" s="139">
        <v>760.0</v>
      </c>
      <c r="C812" s="140">
        <f t="shared" si="6"/>
        <v>0.8234907598</v>
      </c>
      <c r="D812" s="141">
        <f t="shared" si="7"/>
        <v>0.105049036</v>
      </c>
      <c r="E812" s="141">
        <f t="shared" si="8"/>
        <v>0.01442293462</v>
      </c>
      <c r="F812" s="140">
        <f t="shared" si="9"/>
        <v>0.09469476677</v>
      </c>
      <c r="G812" s="141">
        <f t="shared" si="10"/>
        <v>0.04305567234</v>
      </c>
      <c r="H812" s="142">
        <f t="shared" si="11"/>
        <v>0</v>
      </c>
      <c r="I812" s="142">
        <f t="shared" si="12"/>
        <v>1</v>
      </c>
      <c r="J812" s="142">
        <f t="shared" si="13"/>
        <v>1</v>
      </c>
      <c r="K812" s="142">
        <f t="shared" si="14"/>
        <v>1</v>
      </c>
      <c r="L812" s="139">
        <f>Assumptions!$C$6*Assumptions!$C$7*(1+$G812-0.05*(1-1))^1+Assumptions!$C$6*Assumptions!$C$8*(1+Assumptions!$C$11)^1+Assumptions!$C$16*1+Assumptions!$C$6*Assumptions!$C$9*(1+Assumptions!$C$12)^1</f>
        <v>740.9605393</v>
      </c>
      <c r="M812" s="139">
        <f>Assumptions!$C$6*Assumptions!$C$7*(1+$G812-0.05*(1-$H812))^2+Assumptions!$C$6*Assumptions!$C$8*(1+Assumptions!$C$11)^2+Assumptions!$C$16*$H812+Assumptions!$C$6*Assumptions!$C$9*(1+Assumptions!$C$12)^2</f>
        <v>668.4066707</v>
      </c>
      <c r="N812" s="139">
        <f>Assumptions!$C$6*Assumptions!$C$7*(1+$G812-0.05*(1-$I812))^3+Assumptions!$C$6*Assumptions!$C$8*(1+Assumptions!$C$11)^3+Assumptions!$C$16*$I812+Assumptions!$C$6*Assumptions!$C$9*(1+Assumptions!$C$12)^3</f>
        <v>785.1711093</v>
      </c>
      <c r="O812" s="139">
        <f>Assumptions!$C$6*Assumptions!$C$7*(1+$G812-0.05*(1-$J812))^4+Assumptions!$C$6*Assumptions!$C$8*(1+Assumptions!$C$11)^4+Assumptions!$C$16*$J812+Assumptions!$C$6*Assumptions!$C$9*(1+Assumptions!$C$12)^4</f>
        <v>808.4812552</v>
      </c>
      <c r="P812" s="139">
        <f>Assumptions!$C$6*Assumptions!$C$7*(1+$G812-0.05*(1-$K812))^5+Assumptions!$C$6*Assumptions!$C$8*(1+Assumptions!$C$11)^5+Assumptions!$C$16*$K812+Assumptions!$C$6*Assumptions!$C$9*(1+Assumptions!$C$12)^5</f>
        <v>832.6367834</v>
      </c>
      <c r="Q812" s="139">
        <f>($L812*(1-(Assumptions!$C$25+0.06*(1-1))-Assumptions!$C$27)-Assumptions!$C$28)-MAX(0,($L812*(1-(Assumptions!$C$25+0.06*(1-1))-Assumptions!$C$27)-Assumptions!$C$28)*Assumptions!$C$31)+Assumptions!$C$28-Assumptions!$C$29-$L812*Assumptions!$C$30</f>
        <v>91.80651595</v>
      </c>
      <c r="R812" s="139">
        <f>($M812*(1-(Assumptions!$C$25+0.06*(1-$H812))-Assumptions!$C$27)-Assumptions!$C$28)-MAX(0,($M812*(1-(Assumptions!$C$25+0.06*(1-$H812))-Assumptions!$C$27)-Assumptions!$C$28)*Assumptions!$C$31)+Assumptions!$C$28-Assumptions!$C$29-$M812*Assumptions!$C$30</f>
        <v>33.73353426</v>
      </c>
      <c r="S812" s="139">
        <f>($N812*(1-(Assumptions!$C$25+0.06*(1-$I812))-Assumptions!$C$27)-Assumptions!$C$28)-MAX(0,($N812*(1-(Assumptions!$C$25+0.06*(1-$I812))-Assumptions!$C$27)-Assumptions!$C$28)*Assumptions!$C$31)+Assumptions!$C$28-Assumptions!$C$29-$N812*Assumptions!$C$30</f>
        <v>101.3117885</v>
      </c>
      <c r="T812" s="139">
        <f>($O812*(1-(Assumptions!$C$25+0.06*(1-$J812))-Assumptions!$C$27)-Assumptions!$C$28)-MAX(0,($O812*(1-(Assumptions!$C$25+0.06*(1-$J812))-Assumptions!$C$27)-Assumptions!$C$28)*Assumptions!$C$31)+Assumptions!$C$28-Assumptions!$C$29-$O812*Assumptions!$C$30</f>
        <v>106.3234699</v>
      </c>
      <c r="U812" s="139">
        <f>($P812*(1-(Assumptions!$C$25+0.06*(1-$K812))-Assumptions!$C$27)-Assumptions!$C$28)-MAX(0,($P812*(1-(Assumptions!$C$25+0.06*(1-$K812))-Assumptions!$C$27)-Assumptions!$C$28)*Assumptions!$C$31)+Assumptions!$C$28-Assumptions!$C$29-$P812*Assumptions!$C$30</f>
        <v>111.5169084</v>
      </c>
      <c r="V812" s="143">
        <f>(($Q812/(1+$D812)^1+$R812/(1+$D812)^2+$S812/(1+$D812)^3+$T812/(1+$D812)^4+$U812/(1+$D812)^5+$U812*(1+$E812)/($D812-$E812)/(1+$D812)^5)-Assumptions!$C$37)/Assumptions!$C$40/Assumptions!$C$38</f>
        <v>3.048137761</v>
      </c>
    </row>
    <row r="813" ht="12.0" customHeight="1">
      <c r="B813" s="139">
        <v>761.0</v>
      </c>
      <c r="C813" s="140">
        <f t="shared" si="6"/>
        <v>0.6884903519</v>
      </c>
      <c r="D813" s="141">
        <f t="shared" si="7"/>
        <v>0.1017804345</v>
      </c>
      <c r="E813" s="141">
        <f t="shared" si="8"/>
        <v>0.01695304458</v>
      </c>
      <c r="F813" s="140">
        <f t="shared" si="9"/>
        <v>0.5206768896</v>
      </c>
      <c r="G813" s="141">
        <f t="shared" si="10"/>
        <v>0.06062685583</v>
      </c>
      <c r="H813" s="142">
        <f t="shared" si="11"/>
        <v>1</v>
      </c>
      <c r="I813" s="142">
        <f t="shared" si="12"/>
        <v>0</v>
      </c>
      <c r="J813" s="142">
        <f t="shared" si="13"/>
        <v>0</v>
      </c>
      <c r="K813" s="142">
        <f t="shared" si="14"/>
        <v>1</v>
      </c>
      <c r="L813" s="139">
        <f>Assumptions!$C$6*Assumptions!$C$7*(1+$G813-0.05*(1-1))^1+Assumptions!$C$6*Assumptions!$C$8*(1+Assumptions!$C$11)^1+Assumptions!$C$16*1+Assumptions!$C$6*Assumptions!$C$9*(1+Assumptions!$C$12)^1</f>
        <v>746.8749997</v>
      </c>
      <c r="M813" s="139">
        <f>Assumptions!$C$6*Assumptions!$C$7*(1+$G813-0.05*(1-$H813))^2+Assumptions!$C$6*Assumptions!$C$8*(1+Assumptions!$C$11)^2+Assumptions!$C$16*$H813+Assumptions!$C$6*Assumptions!$C$9*(1+Assumptions!$C$12)^2</f>
        <v>775.1165716</v>
      </c>
      <c r="N813" s="139">
        <f>Assumptions!$C$6*Assumptions!$C$7*(1+$G813-0.05*(1-$I813))^3+Assumptions!$C$6*Assumptions!$C$8*(1+Assumptions!$C$11)^3+Assumptions!$C$16*$I813+Assumptions!$C$6*Assumptions!$C$9*(1+Assumptions!$C$12)^3</f>
        <v>690.6401069</v>
      </c>
      <c r="O813" s="139">
        <f>Assumptions!$C$6*Assumptions!$C$7*(1+$G813-0.05*(1-$J813))^4+Assumptions!$C$6*Assumptions!$C$8*(1+Assumptions!$C$11)^4+Assumptions!$C$16*$J813+Assumptions!$C$6*Assumptions!$C$9*(1+Assumptions!$C$12)^4</f>
        <v>701.1962529</v>
      </c>
      <c r="P813" s="139">
        <f>Assumptions!$C$6*Assumptions!$C$7*(1+$G813-0.05*(1-$K813))^5+Assumptions!$C$6*Assumptions!$C$8*(1+Assumptions!$C$11)^5+Assumptions!$C$16*$K813+Assumptions!$C$6*Assumptions!$C$9*(1+Assumptions!$C$12)^5</f>
        <v>868.8399485</v>
      </c>
      <c r="Q813" s="139">
        <f>($L813*(1-(Assumptions!$C$25+0.06*(1-1))-Assumptions!$C$27)-Assumptions!$C$28)-MAX(0,($L813*(1-(Assumptions!$C$25+0.06*(1-1))-Assumptions!$C$27)-Assumptions!$C$28)*Assumptions!$C$31)+Assumptions!$C$28-Assumptions!$C$29-$L813*Assumptions!$C$30</f>
        <v>93.07812493</v>
      </c>
      <c r="R813" s="139">
        <f>($M813*(1-(Assumptions!$C$25+0.06*(1-$H813))-Assumptions!$C$27)-Assumptions!$C$28)-MAX(0,($M813*(1-(Assumptions!$C$25+0.06*(1-$H813))-Assumptions!$C$27)-Assumptions!$C$28)*Assumptions!$C$31)+Assumptions!$C$28-Assumptions!$C$29-$M813*Assumptions!$C$30</f>
        <v>99.15006289</v>
      </c>
      <c r="S813" s="139">
        <f>($N813*(1-(Assumptions!$C$25+0.06*(1-$I813))-Assumptions!$C$27)-Assumptions!$C$28)-MAX(0,($N813*(1-(Assumptions!$C$25+0.06*(1-$I813))-Assumptions!$C$27)-Assumptions!$C$28)*Assumptions!$C$31)+Assumptions!$C$28-Assumptions!$C$29-$N813*Assumptions!$C$30</f>
        <v>38.8472246</v>
      </c>
      <c r="T813" s="139">
        <f>($O813*(1-(Assumptions!$C$25+0.06*(1-$J813))-Assumptions!$C$27)-Assumptions!$C$28)-MAX(0,($O813*(1-(Assumptions!$C$25+0.06*(1-$J813))-Assumptions!$C$27)-Assumptions!$C$28)*Assumptions!$C$31)+Assumptions!$C$28-Assumptions!$C$29-$O813*Assumptions!$C$30</f>
        <v>41.27513816</v>
      </c>
      <c r="U813" s="139">
        <f>($P813*(1-(Assumptions!$C$25+0.06*(1-$K813))-Assumptions!$C$27)-Assumptions!$C$28)-MAX(0,($P813*(1-(Assumptions!$C$25+0.06*(1-$K813))-Assumptions!$C$27)-Assumptions!$C$28)*Assumptions!$C$31)+Assumptions!$C$28-Assumptions!$C$29-$P813*Assumptions!$C$30</f>
        <v>119.3005889</v>
      </c>
      <c r="V813" s="143">
        <f>(($Q813/(1+$D813)^1+$R813/(1+$D813)^2+$S813/(1+$D813)^3+$T813/(1+$D813)^4+$U813/(1+$D813)^5+$U813*(1+$E813)/($D813-$E813)/(1+$D813)^5)-Assumptions!$C$37)/Assumptions!$C$40/Assumptions!$C$38</f>
        <v>3.791970345</v>
      </c>
    </row>
    <row r="814" ht="12.0" customHeight="1">
      <c r="B814" s="139">
        <v>762.0</v>
      </c>
      <c r="C814" s="140">
        <f t="shared" si="6"/>
        <v>0.4955221887</v>
      </c>
      <c r="D814" s="141">
        <f t="shared" si="7"/>
        <v>0.09817703795</v>
      </c>
      <c r="E814" s="141">
        <f t="shared" si="8"/>
        <v>0.02859898687</v>
      </c>
      <c r="F814" s="140">
        <f t="shared" si="9"/>
        <v>0.6994876022</v>
      </c>
      <c r="G814" s="141">
        <f t="shared" si="10"/>
        <v>0.06674226331</v>
      </c>
      <c r="H814" s="142">
        <f t="shared" si="11"/>
        <v>1</v>
      </c>
      <c r="I814" s="142">
        <f t="shared" si="12"/>
        <v>0</v>
      </c>
      <c r="J814" s="142">
        <f t="shared" si="13"/>
        <v>0</v>
      </c>
      <c r="K814" s="142">
        <f t="shared" si="14"/>
        <v>1</v>
      </c>
      <c r="L814" s="139">
        <f>Assumptions!$C$6*Assumptions!$C$7*(1+$G814-0.05*(1-1))^1+Assumptions!$C$6*Assumptions!$C$8*(1+Assumptions!$C$11)^1+Assumptions!$C$16*1+Assumptions!$C$6*Assumptions!$C$9*(1+Assumptions!$C$12)^1</f>
        <v>748.9334458</v>
      </c>
      <c r="M814" s="139">
        <f>Assumptions!$C$6*Assumptions!$C$7*(1+$G814-0.05*(1-$H814))^2+Assumptions!$C$6*Assumptions!$C$8*(1+Assumptions!$C$11)^2+Assumptions!$C$16*$H814+Assumptions!$C$6*Assumptions!$C$9*(1+Assumptions!$C$12)^2</f>
        <v>779.4956464</v>
      </c>
      <c r="N814" s="139">
        <f>Assumptions!$C$6*Assumptions!$C$7*(1+$G814-0.05*(1-$I814))^3+Assumptions!$C$6*Assumptions!$C$8*(1+Assumptions!$C$11)^3+Assumptions!$C$16*$I814+Assumptions!$C$6*Assumptions!$C$9*(1+Assumptions!$C$12)^3</f>
        <v>696.9856347</v>
      </c>
      <c r="O814" s="139">
        <f>Assumptions!$C$6*Assumptions!$C$7*(1+$G814-0.05*(1-$J814))^4+Assumptions!$C$6*Assumptions!$C$8*(1+Assumptions!$C$11)^4+Assumptions!$C$16*$J814+Assumptions!$C$6*Assumptions!$C$9*(1+Assumptions!$C$12)^4</f>
        <v>709.7727896</v>
      </c>
      <c r="P814" s="139">
        <f>Assumptions!$C$6*Assumptions!$C$7*(1+$G814-0.05*(1-$K814))^5+Assumptions!$C$6*Assumptions!$C$8*(1+Assumptions!$C$11)^5+Assumptions!$C$16*$K814+Assumptions!$C$6*Assumptions!$C$9*(1+Assumptions!$C$12)^5</f>
        <v>882.0154791</v>
      </c>
      <c r="Q814" s="139">
        <f>($L814*(1-(Assumptions!$C$25+0.06*(1-1))-Assumptions!$C$27)-Assumptions!$C$28)-MAX(0,($L814*(1-(Assumptions!$C$25+0.06*(1-1))-Assumptions!$C$27)-Assumptions!$C$28)*Assumptions!$C$31)+Assumptions!$C$28-Assumptions!$C$29-$L814*Assumptions!$C$30</f>
        <v>93.52069085</v>
      </c>
      <c r="R814" s="139">
        <f>($M814*(1-(Assumptions!$C$25+0.06*(1-$H814))-Assumptions!$C$27)-Assumptions!$C$28)-MAX(0,($M814*(1-(Assumptions!$C$25+0.06*(1-$H814))-Assumptions!$C$27)-Assumptions!$C$28)*Assumptions!$C$31)+Assumptions!$C$28-Assumptions!$C$29-$M814*Assumptions!$C$30</f>
        <v>100.091564</v>
      </c>
      <c r="S814" s="139">
        <f>($N814*(1-(Assumptions!$C$25+0.06*(1-$I814))-Assumptions!$C$27)-Assumptions!$C$28)-MAX(0,($N814*(1-(Assumptions!$C$25+0.06*(1-$I814))-Assumptions!$C$27)-Assumptions!$C$28)*Assumptions!$C$31)+Assumptions!$C$28-Assumptions!$C$29-$N814*Assumptions!$C$30</f>
        <v>40.30669598</v>
      </c>
      <c r="T814" s="139">
        <f>($O814*(1-(Assumptions!$C$25+0.06*(1-$J814))-Assumptions!$C$27)-Assumptions!$C$28)-MAX(0,($O814*(1-(Assumptions!$C$25+0.06*(1-$J814))-Assumptions!$C$27)-Assumptions!$C$28)*Assumptions!$C$31)+Assumptions!$C$28-Assumptions!$C$29-$O814*Assumptions!$C$30</f>
        <v>43.2477416</v>
      </c>
      <c r="U814" s="139">
        <f>($P814*(1-(Assumptions!$C$25+0.06*(1-$K814))-Assumptions!$C$27)-Assumptions!$C$28)-MAX(0,($P814*(1-(Assumptions!$C$25+0.06*(1-$K814))-Assumptions!$C$27)-Assumptions!$C$28)*Assumptions!$C$31)+Assumptions!$C$28-Assumptions!$C$29-$P814*Assumptions!$C$30</f>
        <v>122.133328</v>
      </c>
      <c r="V814" s="143">
        <f>(($Q814/(1+$D814)^1+$R814/(1+$D814)^2+$S814/(1+$D814)^3+$T814/(1+$D814)^4+$U814/(1+$D814)^5+$U814*(1+$E814)/($D814-$E814)/(1+$D814)^5)-Assumptions!$C$37)/Assumptions!$C$40/Assumptions!$C$38</f>
        <v>5.802465667</v>
      </c>
    </row>
    <row r="815" ht="12.0" customHeight="1">
      <c r="B815" s="139">
        <v>763.0</v>
      </c>
      <c r="C815" s="140">
        <f t="shared" si="6"/>
        <v>0.1433061113</v>
      </c>
      <c r="D815" s="141">
        <f t="shared" si="7"/>
        <v>0.0919699908</v>
      </c>
      <c r="E815" s="141">
        <f t="shared" si="8"/>
        <v>0.0275139536</v>
      </c>
      <c r="F815" s="140">
        <f t="shared" si="9"/>
        <v>0.7437540959</v>
      </c>
      <c r="G815" s="141">
        <f t="shared" si="10"/>
        <v>0.06852344005</v>
      </c>
      <c r="H815" s="142">
        <f t="shared" si="11"/>
        <v>1</v>
      </c>
      <c r="I815" s="142">
        <f t="shared" si="12"/>
        <v>0</v>
      </c>
      <c r="J815" s="142">
        <f t="shared" si="13"/>
        <v>1</v>
      </c>
      <c r="K815" s="142">
        <f t="shared" si="14"/>
        <v>1</v>
      </c>
      <c r="L815" s="139">
        <f>Assumptions!$C$6*Assumptions!$C$7*(1+$G815-0.05*(1-1))^1+Assumptions!$C$6*Assumptions!$C$8*(1+Assumptions!$C$11)^1+Assumptions!$C$16*1+Assumptions!$C$6*Assumptions!$C$9*(1+Assumptions!$C$12)^1</f>
        <v>749.5329899</v>
      </c>
      <c r="M815" s="139">
        <f>Assumptions!$C$6*Assumptions!$C$7*(1+$G815-0.05*(1-$H815))^2+Assumptions!$C$6*Assumptions!$C$8*(1+Assumptions!$C$11)^2+Assumptions!$C$16*$H815+Assumptions!$C$6*Assumptions!$C$9*(1+Assumptions!$C$12)^2</f>
        <v>780.7758323</v>
      </c>
      <c r="N815" s="139">
        <f>Assumptions!$C$6*Assumptions!$C$7*(1+$G815-0.05*(1-$I815))^3+Assumptions!$C$6*Assumptions!$C$8*(1+Assumptions!$C$11)^3+Assumptions!$C$16*$I815+Assumptions!$C$6*Assumptions!$C$9*(1+Assumptions!$C$12)^3</f>
        <v>698.8482567</v>
      </c>
      <c r="O815" s="139">
        <f>Assumptions!$C$6*Assumptions!$C$7*(1+$G815-0.05*(1-$J815))^4+Assumptions!$C$6*Assumptions!$C$8*(1+Assumptions!$C$11)^4+Assumptions!$C$16*$J815+Assumptions!$C$6*Assumptions!$C$9*(1+Assumptions!$C$12)^4</f>
        <v>848.8420992</v>
      </c>
      <c r="P815" s="139">
        <f>Assumptions!$C$6*Assumptions!$C$7*(1+$G815-0.05*(1-$K815))^5+Assumptions!$C$6*Assumptions!$C$8*(1+Assumptions!$C$11)^5+Assumptions!$C$16*$K815+Assumptions!$C$6*Assumptions!$C$9*(1+Assumptions!$C$12)^5</f>
        <v>885.9102279</v>
      </c>
      <c r="Q815" s="139">
        <f>($L815*(1-(Assumptions!$C$25+0.06*(1-1))-Assumptions!$C$27)-Assumptions!$C$28)-MAX(0,($L815*(1-(Assumptions!$C$25+0.06*(1-1))-Assumptions!$C$27)-Assumptions!$C$28)*Assumptions!$C$31)+Assumptions!$C$28-Assumptions!$C$29-$L815*Assumptions!$C$30</f>
        <v>93.64959283</v>
      </c>
      <c r="R815" s="139">
        <f>($M815*(1-(Assumptions!$C$25+0.06*(1-$H815))-Assumptions!$C$27)-Assumptions!$C$28)-MAX(0,($M815*(1-(Assumptions!$C$25+0.06*(1-$H815))-Assumptions!$C$27)-Assumptions!$C$28)*Assumptions!$C$31)+Assumptions!$C$28-Assumptions!$C$29-$M815*Assumptions!$C$30</f>
        <v>100.3668039</v>
      </c>
      <c r="S815" s="139">
        <f>($N815*(1-(Assumptions!$C$25+0.06*(1-$I815))-Assumptions!$C$27)-Assumptions!$C$28)-MAX(0,($N815*(1-(Assumptions!$C$25+0.06*(1-$I815))-Assumptions!$C$27)-Assumptions!$C$28)*Assumptions!$C$31)+Assumptions!$C$28-Assumptions!$C$29-$N815*Assumptions!$C$30</f>
        <v>40.73509904</v>
      </c>
      <c r="T815" s="139">
        <f>($O815*(1-(Assumptions!$C$25+0.06*(1-$J815))-Assumptions!$C$27)-Assumptions!$C$28)-MAX(0,($O815*(1-(Assumptions!$C$25+0.06*(1-$J815))-Assumptions!$C$27)-Assumptions!$C$28)*Assumptions!$C$31)+Assumptions!$C$28-Assumptions!$C$29-$O815*Assumptions!$C$30</f>
        <v>115.0010513</v>
      </c>
      <c r="U815" s="139">
        <f>($P815*(1-(Assumptions!$C$25+0.06*(1-$K815))-Assumptions!$C$27)-Assumptions!$C$28)-MAX(0,($P815*(1-(Assumptions!$C$25+0.06*(1-$K815))-Assumptions!$C$27)-Assumptions!$C$28)*Assumptions!$C$31)+Assumptions!$C$28-Assumptions!$C$29-$P815*Assumptions!$C$30</f>
        <v>122.970699</v>
      </c>
      <c r="V815" s="143">
        <f>(($Q815/(1+$D815)^1+$R815/(1+$D815)^2+$S815/(1+$D815)^3+$T815/(1+$D815)^4+$U815/(1+$D815)^5+$U815*(1+$E815)/($D815-$E815)/(1+$D815)^5)-Assumptions!$C$37)/Assumptions!$C$40/Assumptions!$C$38</f>
        <v>7.275055453</v>
      </c>
    </row>
    <row r="816" ht="12.0" customHeight="1">
      <c r="B816" s="139">
        <v>764.0</v>
      </c>
      <c r="C816" s="140">
        <f t="shared" si="6"/>
        <v>0.3413429341</v>
      </c>
      <c r="D816" s="141">
        <f t="shared" si="7"/>
        <v>0.09575710252</v>
      </c>
      <c r="E816" s="141">
        <f t="shared" si="8"/>
        <v>0.02529886513</v>
      </c>
      <c r="F816" s="140">
        <f t="shared" si="9"/>
        <v>0.8892346319</v>
      </c>
      <c r="G816" s="141">
        <f t="shared" si="10"/>
        <v>0.07587988447</v>
      </c>
      <c r="H816" s="142">
        <f t="shared" si="11"/>
        <v>1</v>
      </c>
      <c r="I816" s="142">
        <f t="shared" si="12"/>
        <v>1</v>
      </c>
      <c r="J816" s="142">
        <f t="shared" si="13"/>
        <v>0</v>
      </c>
      <c r="K816" s="142">
        <f t="shared" si="14"/>
        <v>1</v>
      </c>
      <c r="L816" s="139">
        <f>Assumptions!$C$6*Assumptions!$C$7*(1+$G816-0.05*(1-1))^1+Assumptions!$C$6*Assumptions!$C$8*(1+Assumptions!$C$11)^1+Assumptions!$C$16*1+Assumptions!$C$6*Assumptions!$C$9*(1+Assumptions!$C$12)^1</f>
        <v>752.0091691</v>
      </c>
      <c r="M816" s="139">
        <f>Assumptions!$C$6*Assumptions!$C$7*(1+$G816-0.05*(1-$H816))^2+Assumptions!$C$6*Assumptions!$C$8*(1+Assumptions!$C$11)^2+Assumptions!$C$16*$H816+Assumptions!$C$6*Assumptions!$C$9*(1+Assumptions!$C$12)^2</f>
        <v>786.0857592</v>
      </c>
      <c r="N816" s="139">
        <f>Assumptions!$C$6*Assumptions!$C$7*(1+$G816-0.05*(1-$I816))^3+Assumptions!$C$6*Assumptions!$C$8*(1+Assumptions!$C$11)^3+Assumptions!$C$16*$I816+Assumptions!$C$6*Assumptions!$C$9*(1+Assumptions!$C$12)^3</f>
        <v>822.3794173</v>
      </c>
      <c r="O816" s="139">
        <f>Assumptions!$C$6*Assumptions!$C$7*(1+$G816-0.05*(1-$J816))^4+Assumptions!$C$6*Assumptions!$C$8*(1+Assumptions!$C$11)^4+Assumptions!$C$16*$J816+Assumptions!$C$6*Assumptions!$C$9*(1+Assumptions!$C$12)^4</f>
        <v>722.8793902</v>
      </c>
      <c r="P816" s="139">
        <f>Assumptions!$C$6*Assumptions!$C$7*(1+$G816-0.05*(1-$K816))^5+Assumptions!$C$6*Assumptions!$C$8*(1+Assumptions!$C$11)^5+Assumptions!$C$16*$K816+Assumptions!$C$6*Assumptions!$C$9*(1+Assumptions!$C$12)^5</f>
        <v>902.2734265</v>
      </c>
      <c r="Q816" s="139">
        <f>($L816*(1-(Assumptions!$C$25+0.06*(1-1))-Assumptions!$C$27)-Assumptions!$C$28)-MAX(0,($L816*(1-(Assumptions!$C$25+0.06*(1-1))-Assumptions!$C$27)-Assumptions!$C$28)*Assumptions!$C$31)+Assumptions!$C$28-Assumptions!$C$29-$L816*Assumptions!$C$30</f>
        <v>94.18197136</v>
      </c>
      <c r="R816" s="139">
        <f>($M816*(1-(Assumptions!$C$25+0.06*(1-$H816))-Assumptions!$C$27)-Assumptions!$C$28)-MAX(0,($M816*(1-(Assumptions!$C$25+0.06*(1-$H816))-Assumptions!$C$27)-Assumptions!$C$28)*Assumptions!$C$31)+Assumptions!$C$28-Assumptions!$C$29-$M816*Assumptions!$C$30</f>
        <v>101.5084382</v>
      </c>
      <c r="S816" s="139">
        <f>($N816*(1-(Assumptions!$C$25+0.06*(1-$I816))-Assumptions!$C$27)-Assumptions!$C$28)-MAX(0,($N816*(1-(Assumptions!$C$25+0.06*(1-$I816))-Assumptions!$C$27)-Assumptions!$C$28)*Assumptions!$C$31)+Assumptions!$C$28-Assumptions!$C$29-$N816*Assumptions!$C$30</f>
        <v>109.3115747</v>
      </c>
      <c r="T816" s="139">
        <f>($O816*(1-(Assumptions!$C$25+0.06*(1-$J816))-Assumptions!$C$27)-Assumptions!$C$28)-MAX(0,($O816*(1-(Assumptions!$C$25+0.06*(1-$J816))-Assumptions!$C$27)-Assumptions!$C$28)*Assumptions!$C$31)+Assumptions!$C$28-Assumptions!$C$29-$O816*Assumptions!$C$30</f>
        <v>46.26225974</v>
      </c>
      <c r="U816" s="139">
        <f>($P816*(1-(Assumptions!$C$25+0.06*(1-$K816))-Assumptions!$C$27)-Assumptions!$C$28)-MAX(0,($P816*(1-(Assumptions!$C$25+0.06*(1-$K816))-Assumptions!$C$27)-Assumptions!$C$28)*Assumptions!$C$31)+Assumptions!$C$28-Assumptions!$C$29-$P816*Assumptions!$C$30</f>
        <v>126.4887867</v>
      </c>
      <c r="V816" s="143">
        <f>(($Q816/(1+$D816)^1+$R816/(1+$D816)^2+$S816/(1+$D816)^3+$T816/(1+$D816)^4+$U816/(1+$D816)^5+$U816*(1+$E816)/($D816-$E816)/(1+$D816)^5)-Assumptions!$C$37)/Assumptions!$C$40/Assumptions!$C$38</f>
        <v>6.549379847</v>
      </c>
    </row>
    <row r="817" ht="12.0" customHeight="1">
      <c r="B817" s="139">
        <v>765.0</v>
      </c>
      <c r="C817" s="140">
        <f t="shared" si="6"/>
        <v>0.1012327722</v>
      </c>
      <c r="D817" s="141">
        <f t="shared" si="7"/>
        <v>0.090858149</v>
      </c>
      <c r="E817" s="141">
        <f t="shared" si="8"/>
        <v>0.01839250743</v>
      </c>
      <c r="F817" s="140">
        <f t="shared" si="9"/>
        <v>0.2031939549</v>
      </c>
      <c r="G817" s="141">
        <f t="shared" si="10"/>
        <v>0.04912456846</v>
      </c>
      <c r="H817" s="142">
        <f t="shared" si="11"/>
        <v>0</v>
      </c>
      <c r="I817" s="142">
        <f t="shared" si="12"/>
        <v>1</v>
      </c>
      <c r="J817" s="142">
        <f t="shared" si="13"/>
        <v>1</v>
      </c>
      <c r="K817" s="142">
        <f t="shared" si="14"/>
        <v>0</v>
      </c>
      <c r="L817" s="139">
        <f>Assumptions!$C$6*Assumptions!$C$7*(1+$G817-0.05*(1-1))^1+Assumptions!$C$6*Assumptions!$C$8*(1+Assumptions!$C$11)^1+Assumptions!$C$16*1+Assumptions!$C$6*Assumptions!$C$9*(1+Assumptions!$C$12)^1</f>
        <v>743.0033297</v>
      </c>
      <c r="M817" s="139">
        <f>Assumptions!$C$6*Assumptions!$C$7*(1+$G817-0.05*(1-$H817))^2+Assumptions!$C$6*Assumptions!$C$8*(1+Assumptions!$C$11)^2+Assumptions!$C$16*$H817+Assumptions!$C$6*Assumptions!$C$9*(1+Assumptions!$C$12)^2</f>
        <v>672.4762775</v>
      </c>
      <c r="N817" s="139">
        <f>Assumptions!$C$6*Assumptions!$C$7*(1+$G817-0.05*(1-$I817))^3+Assumptions!$C$6*Assumptions!$C$8*(1+Assumptions!$C$11)^3+Assumptions!$C$16*$I817+Assumptions!$C$6*Assumptions!$C$9*(1+Assumptions!$C$12)^3</f>
        <v>791.8774327</v>
      </c>
      <c r="O817" s="139">
        <f>Assumptions!$C$6*Assumptions!$C$7*(1+$G817-0.05*(1-$J817))^4+Assumptions!$C$6*Assumptions!$C$8*(1+Assumptions!$C$11)^4+Assumptions!$C$16*$J817+Assumptions!$C$6*Assumptions!$C$9*(1+Assumptions!$C$12)^4</f>
        <v>817.8351992</v>
      </c>
      <c r="P817" s="139">
        <f>Assumptions!$C$6*Assumptions!$C$7*(1+$G817-0.05*(1-$K817))^5+Assumptions!$C$6*Assumptions!$C$8*(1+Assumptions!$C$11)^5+Assumptions!$C$16*$K817+Assumptions!$C$6*Assumptions!$C$9*(1+Assumptions!$C$12)^5</f>
        <v>692.1889579</v>
      </c>
      <c r="Q817" s="139">
        <f>($L817*(1-(Assumptions!$C$25+0.06*(1-1))-Assumptions!$C$27)-Assumptions!$C$28)-MAX(0,($L817*(1-(Assumptions!$C$25+0.06*(1-1))-Assumptions!$C$27)-Assumptions!$C$28)*Assumptions!$C$31)+Assumptions!$C$28-Assumptions!$C$29-$L817*Assumptions!$C$30</f>
        <v>92.24571589</v>
      </c>
      <c r="R817" s="139">
        <f>($M817*(1-(Assumptions!$C$25+0.06*(1-$H817))-Assumptions!$C$27)-Assumptions!$C$28)-MAX(0,($M817*(1-(Assumptions!$C$25+0.06*(1-$H817))-Assumptions!$C$27)-Assumptions!$C$28)*Assumptions!$C$31)+Assumptions!$C$28-Assumptions!$C$29-$M817*Assumptions!$C$30</f>
        <v>34.66954381</v>
      </c>
      <c r="S817" s="139">
        <f>($N817*(1-(Assumptions!$C$25+0.06*(1-$I817))-Assumptions!$C$27)-Assumptions!$C$28)-MAX(0,($N817*(1-(Assumptions!$C$25+0.06*(1-$I817))-Assumptions!$C$27)-Assumptions!$C$28)*Assumptions!$C$31)+Assumptions!$C$28-Assumptions!$C$29-$N817*Assumptions!$C$30</f>
        <v>102.753648</v>
      </c>
      <c r="T817" s="139">
        <f>($O817*(1-(Assumptions!$C$25+0.06*(1-$J817))-Assumptions!$C$27)-Assumptions!$C$28)-MAX(0,($O817*(1-(Assumptions!$C$25+0.06*(1-$J817))-Assumptions!$C$27)-Assumptions!$C$28)*Assumptions!$C$31)+Assumptions!$C$28-Assumptions!$C$29-$O817*Assumptions!$C$30</f>
        <v>108.3345678</v>
      </c>
      <c r="U817" s="139">
        <f>($P817*(1-(Assumptions!$C$25+0.06*(1-$K817))-Assumptions!$C$27)-Assumptions!$C$28)-MAX(0,($P817*(1-(Assumptions!$C$25+0.06*(1-$K817))-Assumptions!$C$27)-Assumptions!$C$28)*Assumptions!$C$31)+Assumptions!$C$28-Assumptions!$C$29-$P817*Assumptions!$C$30</f>
        <v>39.20346031</v>
      </c>
      <c r="V817" s="143">
        <f>(($Q817/(1+$D817)^1+$R817/(1+$D817)^2+$S817/(1+$D817)^3+$T817/(1+$D817)^4+$U817/(1+$D817)^5+$U817*(1+$E817)/($D817-$E817)/(1+$D817)^5)-Assumptions!$C$37)/Assumptions!$C$40/Assumptions!$C$38</f>
        <v>-0.3144245381</v>
      </c>
    </row>
    <row r="818" ht="12.0" customHeight="1">
      <c r="B818" s="139">
        <v>766.0</v>
      </c>
      <c r="C818" s="140">
        <f t="shared" si="6"/>
        <v>0.9370596512</v>
      </c>
      <c r="D818" s="141">
        <f t="shared" si="7"/>
        <v>0.1090578173</v>
      </c>
      <c r="E818" s="141">
        <f t="shared" si="8"/>
        <v>0.01788382962</v>
      </c>
      <c r="F818" s="140">
        <f t="shared" si="9"/>
        <v>0.8275332863</v>
      </c>
      <c r="G818" s="141">
        <f t="shared" si="10"/>
        <v>0.07238069</v>
      </c>
      <c r="H818" s="142">
        <f t="shared" si="11"/>
        <v>0</v>
      </c>
      <c r="I818" s="142">
        <f t="shared" si="12"/>
        <v>1</v>
      </c>
      <c r="J818" s="142">
        <f t="shared" si="13"/>
        <v>0</v>
      </c>
      <c r="K818" s="142">
        <f t="shared" si="14"/>
        <v>1</v>
      </c>
      <c r="L818" s="139">
        <f>Assumptions!$C$6*Assumptions!$C$7*(1+$G818-0.05*(1-1))^1+Assumptions!$C$6*Assumptions!$C$8*(1+Assumptions!$C$11)^1+Assumptions!$C$16*1+Assumptions!$C$6*Assumptions!$C$9*(1+Assumptions!$C$12)^1</f>
        <v>750.8313403</v>
      </c>
      <c r="M818" s="139">
        <f>Assumptions!$C$6*Assumptions!$C$7*(1+$G818-0.05*(1-$H818))^2+Assumptions!$C$6*Assumptions!$C$8*(1+Assumptions!$C$11)^2+Assumptions!$C$16*$H818+Assumptions!$C$6*Assumptions!$C$9*(1+Assumptions!$C$12)^2</f>
        <v>688.3006419</v>
      </c>
      <c r="N818" s="139">
        <f>Assumptions!$C$6*Assumptions!$C$7*(1+$G818-0.05*(1-$I818))^3+Assumptions!$C$6*Assumptions!$C$8*(1+Assumptions!$C$11)^3+Assumptions!$C$16*$I818+Assumptions!$C$6*Assumptions!$C$9*(1+Assumptions!$C$12)^3</f>
        <v>818.3026328</v>
      </c>
      <c r="O818" s="139">
        <f>Assumptions!$C$6*Assumptions!$C$7*(1+$G818-0.05*(1-$J818))^4+Assumptions!$C$6*Assumptions!$C$8*(1+Assumptions!$C$11)^4+Assumptions!$C$16*$J818+Assumptions!$C$6*Assumptions!$C$9*(1+Assumptions!$C$12)^4</f>
        <v>717.8187078</v>
      </c>
      <c r="P818" s="139">
        <f>Assumptions!$C$6*Assumptions!$C$7*(1+$G818-0.05*(1-$K818))^5+Assumptions!$C$6*Assumptions!$C$8*(1+Assumptions!$C$11)^5+Assumptions!$C$16*$K818+Assumptions!$C$6*Assumptions!$C$9*(1+Assumptions!$C$12)^5</f>
        <v>894.4340351</v>
      </c>
      <c r="Q818" s="139">
        <f>($L818*(1-(Assumptions!$C$25+0.06*(1-1))-Assumptions!$C$27)-Assumptions!$C$28)-MAX(0,($L818*(1-(Assumptions!$C$25+0.06*(1-1))-Assumptions!$C$27)-Assumptions!$C$28)*Assumptions!$C$31)+Assumptions!$C$28-Assumptions!$C$29-$L818*Assumptions!$C$30</f>
        <v>93.92873815</v>
      </c>
      <c r="R818" s="139">
        <f>($M818*(1-(Assumptions!$C$25+0.06*(1-$H818))-Assumptions!$C$27)-Assumptions!$C$28)-MAX(0,($M818*(1-(Assumptions!$C$25+0.06*(1-$H818))-Assumptions!$C$27)-Assumptions!$C$28)*Assumptions!$C$31)+Assumptions!$C$28-Assumptions!$C$29-$M818*Assumptions!$C$30</f>
        <v>38.30914763</v>
      </c>
      <c r="S818" s="139">
        <f>($N818*(1-(Assumptions!$C$25+0.06*(1-$I818))-Assumptions!$C$27)-Assumptions!$C$28)-MAX(0,($N818*(1-(Assumptions!$C$25+0.06*(1-$I818))-Assumptions!$C$27)-Assumptions!$C$28)*Assumptions!$C$31)+Assumptions!$C$28-Assumptions!$C$29-$N818*Assumptions!$C$30</f>
        <v>108.435066</v>
      </c>
      <c r="T818" s="139">
        <f>($O818*(1-(Assumptions!$C$25+0.06*(1-$J818))-Assumptions!$C$27)-Assumptions!$C$28)-MAX(0,($O818*(1-(Assumptions!$C$25+0.06*(1-$J818))-Assumptions!$C$27)-Assumptions!$C$28)*Assumptions!$C$31)+Assumptions!$C$28-Assumptions!$C$29-$O818*Assumptions!$C$30</f>
        <v>45.09830279</v>
      </c>
      <c r="U818" s="139">
        <f>($P818*(1-(Assumptions!$C$25+0.06*(1-$K818))-Assumptions!$C$27)-Assumptions!$C$28)-MAX(0,($P818*(1-(Assumptions!$C$25+0.06*(1-$K818))-Assumptions!$C$27)-Assumptions!$C$28)*Assumptions!$C$31)+Assumptions!$C$28-Assumptions!$C$29-$P818*Assumptions!$C$30</f>
        <v>124.8033175</v>
      </c>
      <c r="V818" s="143">
        <f>(($Q818/(1+$D818)^1+$R818/(1+$D818)^2+$S818/(1+$D818)^3+$T818/(1+$D818)^4+$U818/(1+$D818)^5+$U818*(1+$E818)/($D818-$E818)/(1+$D818)^5)-Assumptions!$C$37)/Assumptions!$C$40/Assumptions!$C$38</f>
        <v>3.419744352</v>
      </c>
    </row>
    <row r="819" ht="12.0" customHeight="1">
      <c r="B819" s="139">
        <v>767.0</v>
      </c>
      <c r="C819" s="140">
        <f t="shared" si="6"/>
        <v>0.1033989321</v>
      </c>
      <c r="D819" s="141">
        <f t="shared" si="7"/>
        <v>0.09092049305</v>
      </c>
      <c r="E819" s="141">
        <f t="shared" si="8"/>
        <v>0.0112865392</v>
      </c>
      <c r="F819" s="140">
        <f t="shared" si="9"/>
        <v>0.6569255093</v>
      </c>
      <c r="G819" s="141">
        <f t="shared" si="10"/>
        <v>0.06514976694</v>
      </c>
      <c r="H819" s="142">
        <f t="shared" si="11"/>
        <v>0</v>
      </c>
      <c r="I819" s="142">
        <f t="shared" si="12"/>
        <v>1</v>
      </c>
      <c r="J819" s="142">
        <f t="shared" si="13"/>
        <v>1</v>
      </c>
      <c r="K819" s="142">
        <f t="shared" si="14"/>
        <v>0</v>
      </c>
      <c r="L819" s="139">
        <f>Assumptions!$C$6*Assumptions!$C$7*(1+$G819-0.05*(1-1))^1+Assumptions!$C$6*Assumptions!$C$8*(1+Assumptions!$C$11)^1+Assumptions!$C$16*1+Assumptions!$C$6*Assumptions!$C$9*(1+Assumptions!$C$12)^1</f>
        <v>748.3974116</v>
      </c>
      <c r="M819" s="139">
        <f>Assumptions!$C$6*Assumptions!$C$7*(1+$G819-0.05*(1-$H819))^2+Assumptions!$C$6*Assumptions!$C$8*(1+Assumptions!$C$11)^2+Assumptions!$C$16*$H819+Assumptions!$C$6*Assumptions!$C$9*(1+Assumptions!$C$12)^2</f>
        <v>683.341438</v>
      </c>
      <c r="N819" s="139">
        <f>Assumptions!$C$6*Assumptions!$C$7*(1+$G819-0.05*(1-$I819))^3+Assumptions!$C$6*Assumptions!$C$8*(1+Assumptions!$C$11)^3+Assumptions!$C$16*$I819+Assumptions!$C$6*Assumptions!$C$9*(1+Assumptions!$C$12)^3</f>
        <v>809.9620692</v>
      </c>
      <c r="O819" s="139">
        <f>Assumptions!$C$6*Assumptions!$C$7*(1+$G819-0.05*(1-$J819))^4+Assumptions!$C$6*Assumptions!$C$8*(1+Assumptions!$C$11)^4+Assumptions!$C$16*$J819+Assumptions!$C$6*Assumptions!$C$9*(1+Assumptions!$C$12)^4</f>
        <v>843.326764</v>
      </c>
      <c r="P819" s="139">
        <f>Assumptions!$C$6*Assumptions!$C$7*(1+$G819-0.05*(1-$K819))^5+Assumptions!$C$6*Assumptions!$C$8*(1+Assumptions!$C$11)^5+Assumptions!$C$16*$K819+Assumptions!$C$6*Assumptions!$C$9*(1+Assumptions!$C$12)^5</f>
        <v>719.9411313</v>
      </c>
      <c r="Q819" s="139">
        <f>($L819*(1-(Assumptions!$C$25+0.06*(1-1))-Assumptions!$C$27)-Assumptions!$C$28)-MAX(0,($L819*(1-(Assumptions!$C$25+0.06*(1-1))-Assumptions!$C$27)-Assumptions!$C$28)*Assumptions!$C$31)+Assumptions!$C$28-Assumptions!$C$29-$L819*Assumptions!$C$30</f>
        <v>93.40544348</v>
      </c>
      <c r="R819" s="139">
        <f>($M819*(1-(Assumptions!$C$25+0.06*(1-$H819))-Assumptions!$C$27)-Assumptions!$C$28)-MAX(0,($M819*(1-(Assumptions!$C$25+0.06*(1-$H819))-Assumptions!$C$27)-Assumptions!$C$28)*Assumptions!$C$31)+Assumptions!$C$28-Assumptions!$C$29-$M819*Assumptions!$C$30</f>
        <v>37.16853074</v>
      </c>
      <c r="S819" s="139">
        <f>($N819*(1-(Assumptions!$C$25+0.06*(1-$I819))-Assumptions!$C$27)-Assumptions!$C$28)-MAX(0,($N819*(1-(Assumptions!$C$25+0.06*(1-$I819))-Assumptions!$C$27)-Assumptions!$C$28)*Assumptions!$C$31)+Assumptions!$C$28-Assumptions!$C$29-$N819*Assumptions!$C$30</f>
        <v>106.6418449</v>
      </c>
      <c r="T819" s="139">
        <f>($O819*(1-(Assumptions!$C$25+0.06*(1-$J819))-Assumptions!$C$27)-Assumptions!$C$28)-MAX(0,($O819*(1-(Assumptions!$C$25+0.06*(1-$J819))-Assumptions!$C$27)-Assumptions!$C$28)*Assumptions!$C$31)+Assumptions!$C$28-Assumptions!$C$29-$O819*Assumptions!$C$30</f>
        <v>113.8152543</v>
      </c>
      <c r="U819" s="139">
        <f>($P819*(1-(Assumptions!$C$25+0.06*(1-$K819))-Assumptions!$C$27)-Assumptions!$C$28)-MAX(0,($P819*(1-(Assumptions!$C$25+0.06*(1-$K819))-Assumptions!$C$27)-Assumptions!$C$28)*Assumptions!$C$31)+Assumptions!$C$28-Assumptions!$C$29-$P819*Assumptions!$C$30</f>
        <v>45.58646021</v>
      </c>
      <c r="V819" s="143">
        <f>(($Q819/(1+$D819)^1+$R819/(1+$D819)^2+$S819/(1+$D819)^3+$T819/(1+$D819)^4+$U819/(1+$D819)^5+$U819*(1+$E819)/($D819-$E819)/(1+$D819)^5)-Assumptions!$C$37)/Assumptions!$C$40/Assumptions!$C$38</f>
        <v>-0.0638392079</v>
      </c>
    </row>
    <row r="820" ht="12.0" customHeight="1">
      <c r="B820" s="139">
        <v>768.0</v>
      </c>
      <c r="C820" s="140">
        <f t="shared" si="6"/>
        <v>0.3776411082</v>
      </c>
      <c r="D820" s="141">
        <f t="shared" si="7"/>
        <v>0.09631462234</v>
      </c>
      <c r="E820" s="141">
        <f t="shared" si="8"/>
        <v>0.01378559119</v>
      </c>
      <c r="F820" s="140">
        <f t="shared" si="9"/>
        <v>0.02224937502</v>
      </c>
      <c r="G820" s="141">
        <f t="shared" si="10"/>
        <v>0.03632841805</v>
      </c>
      <c r="H820" s="142">
        <f t="shared" si="11"/>
        <v>1</v>
      </c>
      <c r="I820" s="142">
        <f t="shared" si="12"/>
        <v>0</v>
      </c>
      <c r="J820" s="142">
        <f t="shared" si="13"/>
        <v>0</v>
      </c>
      <c r="K820" s="142">
        <f t="shared" si="14"/>
        <v>0</v>
      </c>
      <c r="L820" s="139">
        <f>Assumptions!$C$6*Assumptions!$C$7*(1+$G820-0.05*(1-1))^1+Assumptions!$C$6*Assumptions!$C$8*(1+Assumptions!$C$11)^1+Assumptions!$C$16*1+Assumptions!$C$6*Assumptions!$C$9*(1+Assumptions!$C$12)^1</f>
        <v>738.6961455</v>
      </c>
      <c r="M820" s="139">
        <f>Assumptions!$C$6*Assumptions!$C$7*(1+$G820-0.05*(1-$H820))^2+Assumptions!$C$6*Assumptions!$C$8*(1+Assumptions!$C$11)^2+Assumptions!$C$16*$H820+Assumptions!$C$6*Assumptions!$C$9*(1+Assumptions!$C$12)^2</f>
        <v>757.9658802</v>
      </c>
      <c r="N820" s="139">
        <f>Assumptions!$C$6*Assumptions!$C$7*(1+$G820-0.05*(1-$I820))^3+Assumptions!$C$6*Assumptions!$C$8*(1+Assumptions!$C$11)^3+Assumptions!$C$16*$I820+Assumptions!$C$6*Assumptions!$C$9*(1+Assumptions!$C$12)^3</f>
        <v>666.1769875</v>
      </c>
      <c r="O820" s="139">
        <f>Assumptions!$C$6*Assumptions!$C$7*(1+$G820-0.05*(1-$J820))^4+Assumptions!$C$6*Assumptions!$C$8*(1+Assumptions!$C$11)^4+Assumptions!$C$16*$J820+Assumptions!$C$6*Assumptions!$C$9*(1+Assumptions!$C$12)^4</f>
        <v>668.6252016</v>
      </c>
      <c r="P820" s="139">
        <f>Assumptions!$C$6*Assumptions!$C$7*(1+$G820-0.05*(1-$K820))^5+Assumptions!$C$6*Assumptions!$C$8*(1+Assumptions!$C$11)^5+Assumptions!$C$16*$K820+Assumptions!$C$6*Assumptions!$C$9*(1+Assumptions!$C$12)^5</f>
        <v>671.2710629</v>
      </c>
      <c r="Q820" s="139">
        <f>($L820*(1-(Assumptions!$C$25+0.06*(1-1))-Assumptions!$C$27)-Assumptions!$C$28)-MAX(0,($L820*(1-(Assumptions!$C$25+0.06*(1-1))-Assumptions!$C$27)-Assumptions!$C$28)*Assumptions!$C$31)+Assumptions!$C$28-Assumptions!$C$29-$L820*Assumptions!$C$30</f>
        <v>91.31967129</v>
      </c>
      <c r="R820" s="139">
        <f>($M820*(1-(Assumptions!$C$25+0.06*(1-$H820))-Assumptions!$C$27)-Assumptions!$C$28)-MAX(0,($M820*(1-(Assumptions!$C$25+0.06*(1-$H820))-Assumptions!$C$27)-Assumptions!$C$28)*Assumptions!$C$31)+Assumptions!$C$28-Assumptions!$C$29-$M820*Assumptions!$C$30</f>
        <v>95.46266425</v>
      </c>
      <c r="S820" s="139">
        <f>($N820*(1-(Assumptions!$C$25+0.06*(1-$I820))-Assumptions!$C$27)-Assumptions!$C$28)-MAX(0,($N820*(1-(Assumptions!$C$25+0.06*(1-$I820))-Assumptions!$C$27)-Assumptions!$C$28)*Assumptions!$C$31)+Assumptions!$C$28-Assumptions!$C$29-$N820*Assumptions!$C$30</f>
        <v>33.22070712</v>
      </c>
      <c r="T820" s="139">
        <f>($O820*(1-(Assumptions!$C$25+0.06*(1-$J820))-Assumptions!$C$27)-Assumptions!$C$28)-MAX(0,($O820*(1-(Assumptions!$C$25+0.06*(1-$J820))-Assumptions!$C$27)-Assumptions!$C$28)*Assumptions!$C$31)+Assumptions!$C$28-Assumptions!$C$29-$O820*Assumptions!$C$30</f>
        <v>33.78379636</v>
      </c>
      <c r="U820" s="139">
        <f>($P820*(1-(Assumptions!$C$25+0.06*(1-$K820))-Assumptions!$C$27)-Assumptions!$C$28)-MAX(0,($P820*(1-(Assumptions!$C$25+0.06*(1-$K820))-Assumptions!$C$27)-Assumptions!$C$28)*Assumptions!$C$31)+Assumptions!$C$28-Assumptions!$C$29-$P820*Assumptions!$C$30</f>
        <v>34.39234446</v>
      </c>
      <c r="V820" s="143">
        <f>(($Q820/(1+$D820)^1+$R820/(1+$D820)^2+$S820/(1+$D820)^3+$T820/(1+$D820)^4+$U820/(1+$D820)^5+$U820*(1+$E820)/($D820-$E820)/(1+$D820)^5)-Assumptions!$C$37)/Assumptions!$C$40/Assumptions!$C$38</f>
        <v>-1.497577376</v>
      </c>
    </row>
    <row r="821" ht="12.0" customHeight="1">
      <c r="B821" s="139">
        <v>769.0</v>
      </c>
      <c r="C821" s="140">
        <f t="shared" si="6"/>
        <v>0.4695303506</v>
      </c>
      <c r="D821" s="141">
        <f t="shared" si="7"/>
        <v>0.09774910225</v>
      </c>
      <c r="E821" s="141">
        <f t="shared" si="8"/>
        <v>0.02195697562</v>
      </c>
      <c r="F821" s="140">
        <f t="shared" si="9"/>
        <v>0.4582967372</v>
      </c>
      <c r="G821" s="141">
        <f t="shared" si="10"/>
        <v>0.05872166651</v>
      </c>
      <c r="H821" s="142">
        <f t="shared" si="11"/>
        <v>1</v>
      </c>
      <c r="I821" s="142">
        <f t="shared" si="12"/>
        <v>1</v>
      </c>
      <c r="J821" s="142">
        <f t="shared" si="13"/>
        <v>1</v>
      </c>
      <c r="K821" s="142">
        <f t="shared" si="14"/>
        <v>1</v>
      </c>
      <c r="L821" s="139">
        <f>Assumptions!$C$6*Assumptions!$C$7*(1+$G821-0.05*(1-1))^1+Assumptions!$C$6*Assumptions!$C$8*(1+Assumptions!$C$11)^1+Assumptions!$C$16*1+Assumptions!$C$6*Assumptions!$C$9*(1+Assumptions!$C$12)^1</f>
        <v>746.2337129</v>
      </c>
      <c r="M821" s="139">
        <f>Assumptions!$C$6*Assumptions!$C$7*(1+$G821-0.05*(1-$H821))^2+Assumptions!$C$6*Assumptions!$C$8*(1+Assumptions!$C$11)^2+Assumptions!$C$16*$H821+Assumptions!$C$6*Assumptions!$C$9*(1+Assumptions!$C$12)^2</f>
        <v>773.7574615</v>
      </c>
      <c r="N821" s="139">
        <f>Assumptions!$C$6*Assumptions!$C$7*(1+$G821-0.05*(1-$I821))^3+Assumptions!$C$6*Assumptions!$C$8*(1+Assumptions!$C$11)^3+Assumptions!$C$16*$I821+Assumptions!$C$6*Assumptions!$C$9*(1+Assumptions!$C$12)^3</f>
        <v>802.6419897</v>
      </c>
      <c r="O821" s="139">
        <f>Assumptions!$C$6*Assumptions!$C$7*(1+$G821-0.05*(1-$J821))^4+Assumptions!$C$6*Assumptions!$C$8*(1+Assumptions!$C$11)^4+Assumptions!$C$16*$J821+Assumptions!$C$6*Assumptions!$C$9*(1+Assumptions!$C$12)^4</f>
        <v>832.9620955</v>
      </c>
      <c r="P821" s="139">
        <f>Assumptions!$C$6*Assumptions!$C$7*(1+$G821-0.05*(1-$K821))^5+Assumptions!$C$6*Assumptions!$C$8*(1+Assumptions!$C$11)^5+Assumptions!$C$16*$K821+Assumptions!$C$6*Assumptions!$C$9*(1+Assumptions!$C$12)^5</f>
        <v>864.796867</v>
      </c>
      <c r="Q821" s="139">
        <f>($L821*(1-(Assumptions!$C$25+0.06*(1-1))-Assumptions!$C$27)-Assumptions!$C$28)-MAX(0,($L821*(1-(Assumptions!$C$25+0.06*(1-1))-Assumptions!$C$27)-Assumptions!$C$28)*Assumptions!$C$31)+Assumptions!$C$28-Assumptions!$C$29-$L821*Assumptions!$C$30</f>
        <v>92.94024828</v>
      </c>
      <c r="R821" s="139">
        <f>($M821*(1-(Assumptions!$C$25+0.06*(1-$H821))-Assumptions!$C$27)-Assumptions!$C$28)-MAX(0,($M821*(1-(Assumptions!$C$25+0.06*(1-$H821))-Assumptions!$C$27)-Assumptions!$C$28)*Assumptions!$C$31)+Assumptions!$C$28-Assumptions!$C$29-$M821*Assumptions!$C$30</f>
        <v>98.85785422</v>
      </c>
      <c r="S821" s="139">
        <f>($N821*(1-(Assumptions!$C$25+0.06*(1-$I821))-Assumptions!$C$27)-Assumptions!$C$28)-MAX(0,($N821*(1-(Assumptions!$C$25+0.06*(1-$I821))-Assumptions!$C$27)-Assumptions!$C$28)*Assumptions!$C$31)+Assumptions!$C$28-Assumptions!$C$29-$N821*Assumptions!$C$30</f>
        <v>105.0680278</v>
      </c>
      <c r="T821" s="139">
        <f>($O821*(1-(Assumptions!$C$25+0.06*(1-$J821))-Assumptions!$C$27)-Assumptions!$C$28)-MAX(0,($O821*(1-(Assumptions!$C$25+0.06*(1-$J821))-Assumptions!$C$27)-Assumptions!$C$28)*Assumptions!$C$31)+Assumptions!$C$28-Assumptions!$C$29-$O821*Assumptions!$C$30</f>
        <v>111.5868505</v>
      </c>
      <c r="U821" s="139">
        <f>($P821*(1-(Assumptions!$C$25+0.06*(1-$K821))-Assumptions!$C$27)-Assumptions!$C$28)-MAX(0,($P821*(1-(Assumptions!$C$25+0.06*(1-$K821))-Assumptions!$C$27)-Assumptions!$C$28)*Assumptions!$C$31)+Assumptions!$C$28-Assumptions!$C$29-$P821*Assumptions!$C$30</f>
        <v>118.4313264</v>
      </c>
      <c r="V821" s="143">
        <f>(($Q821/(1+$D821)^1+$R821/(1+$D821)^2+$S821/(1+$D821)^3+$T821/(1+$D821)^4+$U821/(1+$D821)^5+$U821*(1+$E821)/($D821-$E821)/(1+$D821)^5)-Assumptions!$C$37)/Assumptions!$C$40/Assumptions!$C$38</f>
        <v>5.519844287</v>
      </c>
    </row>
    <row r="822" ht="12.0" customHeight="1">
      <c r="B822" s="139">
        <v>770.0</v>
      </c>
      <c r="C822" s="140">
        <f t="shared" si="6"/>
        <v>0.3235140364</v>
      </c>
      <c r="D822" s="141">
        <f t="shared" si="7"/>
        <v>0.09547240461</v>
      </c>
      <c r="E822" s="141">
        <f t="shared" si="8"/>
        <v>0.02049853365</v>
      </c>
      <c r="F822" s="140">
        <f t="shared" si="9"/>
        <v>0.8609964661</v>
      </c>
      <c r="G822" s="141">
        <f t="shared" si="10"/>
        <v>0.07418208733</v>
      </c>
      <c r="H822" s="142">
        <f t="shared" si="11"/>
        <v>0</v>
      </c>
      <c r="I822" s="142">
        <f t="shared" si="12"/>
        <v>0</v>
      </c>
      <c r="J822" s="142">
        <f t="shared" si="13"/>
        <v>1</v>
      </c>
      <c r="K822" s="142">
        <f t="shared" si="14"/>
        <v>0</v>
      </c>
      <c r="L822" s="139">
        <f>Assumptions!$C$6*Assumptions!$C$7*(1+$G822-0.05*(1-1))^1+Assumptions!$C$6*Assumptions!$C$8*(1+Assumptions!$C$11)^1+Assumptions!$C$16*1+Assumptions!$C$6*Assumptions!$C$9*(1+Assumptions!$C$12)^1</f>
        <v>751.4376906</v>
      </c>
      <c r="M822" s="139">
        <f>Assumptions!$C$6*Assumptions!$C$7*(1+$G822-0.05*(1-$H822))^2+Assumptions!$C$6*Assumptions!$C$8*(1+Assumptions!$C$11)^2+Assumptions!$C$16*$H822+Assumptions!$C$6*Assumptions!$C$9*(1+Assumptions!$C$12)^2</f>
        <v>689.5415759</v>
      </c>
      <c r="N822" s="139">
        <f>Assumptions!$C$6*Assumptions!$C$7*(1+$G822-0.05*(1-$I822))^3+Assumptions!$C$6*Assumptions!$C$8*(1+Assumptions!$C$11)^3+Assumptions!$C$16*$I822+Assumptions!$C$6*Assumptions!$C$9*(1+Assumptions!$C$12)^3</f>
        <v>704.809003</v>
      </c>
      <c r="O822" s="139">
        <f>Assumptions!$C$6*Assumptions!$C$7*(1+$G822-0.05*(1-$J822))^4+Assumptions!$C$6*Assumptions!$C$8*(1+Assumptions!$C$11)^4+Assumptions!$C$16*$J822+Assumptions!$C$6*Assumptions!$C$9*(1+Assumptions!$C$12)^4</f>
        <v>858.2109698</v>
      </c>
      <c r="P822" s="139">
        <f>Assumptions!$C$6*Assumptions!$C$7*(1+$G822-0.05*(1-$K822))^5+Assumptions!$C$6*Assumptions!$C$8*(1+Assumptions!$C$11)^5+Assumptions!$C$16*$K822+Assumptions!$C$6*Assumptions!$C$9*(1+Assumptions!$C$12)^5</f>
        <v>736.3747089</v>
      </c>
      <c r="Q822" s="139">
        <f>($L822*(1-(Assumptions!$C$25+0.06*(1-1))-Assumptions!$C$27)-Assumptions!$C$28)-MAX(0,($L822*(1-(Assumptions!$C$25+0.06*(1-1))-Assumptions!$C$27)-Assumptions!$C$28)*Assumptions!$C$31)+Assumptions!$C$28-Assumptions!$C$29-$L822*Assumptions!$C$30</f>
        <v>94.05910348</v>
      </c>
      <c r="R822" s="139">
        <f>($M822*(1-(Assumptions!$C$25+0.06*(1-$H822))-Assumptions!$C$27)-Assumptions!$C$28)-MAX(0,($M822*(1-(Assumptions!$C$25+0.06*(1-$H822))-Assumptions!$C$27)-Assumptions!$C$28)*Assumptions!$C$31)+Assumptions!$C$28-Assumptions!$C$29-$M822*Assumptions!$C$30</f>
        <v>38.59456246</v>
      </c>
      <c r="S822" s="139">
        <f>($N822*(1-(Assumptions!$C$25+0.06*(1-$I822))-Assumptions!$C$27)-Assumptions!$C$28)-MAX(0,($N822*(1-(Assumptions!$C$25+0.06*(1-$I822))-Assumptions!$C$27)-Assumptions!$C$28)*Assumptions!$C$31)+Assumptions!$C$28-Assumptions!$C$29-$N822*Assumptions!$C$30</f>
        <v>42.10607069</v>
      </c>
      <c r="T822" s="139">
        <f>($O822*(1-(Assumptions!$C$25+0.06*(1-$J822))-Assumptions!$C$27)-Assumptions!$C$28)-MAX(0,($O822*(1-(Assumptions!$C$25+0.06*(1-$J822))-Assumptions!$C$27)-Assumptions!$C$28)*Assumptions!$C$31)+Assumptions!$C$28-Assumptions!$C$29-$O822*Assumptions!$C$30</f>
        <v>117.0153585</v>
      </c>
      <c r="U822" s="139">
        <f>($P822*(1-(Assumptions!$C$25+0.06*(1-$K822))-Assumptions!$C$27)-Assumptions!$C$28)-MAX(0,($P822*(1-(Assumptions!$C$25+0.06*(1-$K822))-Assumptions!$C$27)-Assumptions!$C$28)*Assumptions!$C$31)+Assumptions!$C$28-Assumptions!$C$29-$P822*Assumptions!$C$30</f>
        <v>49.36618304</v>
      </c>
      <c r="V822" s="143">
        <f>(($Q822/(1+$D822)^1+$R822/(1+$D822)^2+$S822/(1+$D822)^3+$T822/(1+$D822)^4+$U822/(1+$D822)^5+$U822*(1+$E822)/($D822-$E822)/(1+$D822)^5)-Assumptions!$C$37)/Assumptions!$C$40/Assumptions!$C$38</f>
        <v>-0.02488223223</v>
      </c>
    </row>
    <row r="823" ht="12.0" customHeight="1">
      <c r="B823" s="139">
        <v>771.0</v>
      </c>
      <c r="C823" s="140">
        <f t="shared" si="6"/>
        <v>0.8099938775</v>
      </c>
      <c r="D823" s="141">
        <f t="shared" si="7"/>
        <v>0.1046755903</v>
      </c>
      <c r="E823" s="141">
        <f t="shared" si="8"/>
        <v>0.0136863</v>
      </c>
      <c r="F823" s="140">
        <f t="shared" si="9"/>
        <v>0.6929511769</v>
      </c>
      <c r="G823" s="141">
        <f t="shared" si="10"/>
        <v>0.06649068522</v>
      </c>
      <c r="H823" s="142">
        <f t="shared" si="11"/>
        <v>0</v>
      </c>
      <c r="I823" s="142">
        <f t="shared" si="12"/>
        <v>0</v>
      </c>
      <c r="J823" s="142">
        <f t="shared" si="13"/>
        <v>1</v>
      </c>
      <c r="K823" s="142">
        <f t="shared" si="14"/>
        <v>1</v>
      </c>
      <c r="L823" s="139">
        <f>Assumptions!$C$6*Assumptions!$C$7*(1+$G823-0.05*(1-1))^1+Assumptions!$C$6*Assumptions!$C$8*(1+Assumptions!$C$11)^1+Assumptions!$C$16*1+Assumptions!$C$6*Assumptions!$C$9*(1+Assumptions!$C$12)^1</f>
        <v>748.8487646</v>
      </c>
      <c r="M823" s="139">
        <f>Assumptions!$C$6*Assumptions!$C$7*(1+$G823-0.05*(1-$H823))^2+Assumptions!$C$6*Assumptions!$C$8*(1+Assumptions!$C$11)^2+Assumptions!$C$16*$H823+Assumptions!$C$6*Assumptions!$C$9*(1+Assumptions!$C$12)^2</f>
        <v>684.2584252</v>
      </c>
      <c r="N823" s="139">
        <f>Assumptions!$C$6*Assumptions!$C$7*(1+$G823-0.05*(1-$I823))^3+Assumptions!$C$6*Assumptions!$C$8*(1+Assumptions!$C$11)^3+Assumptions!$C$16*$I823+Assumptions!$C$6*Assumptions!$C$9*(1+Assumptions!$C$12)^3</f>
        <v>696.7230784</v>
      </c>
      <c r="O823" s="139">
        <f>Assumptions!$C$6*Assumptions!$C$7*(1+$G823-0.05*(1-$J823))^4+Assumptions!$C$6*Assumptions!$C$8*(1+Assumptions!$C$11)^4+Assumptions!$C$16*$J823+Assumptions!$C$6*Assumptions!$C$9*(1+Assumptions!$C$12)^4</f>
        <v>845.5126548</v>
      </c>
      <c r="P823" s="139">
        <f>Assumptions!$C$6*Assumptions!$C$7*(1+$G823-0.05*(1-$K823))^5+Assumptions!$C$6*Assumptions!$C$8*(1+Assumptions!$C$11)^5+Assumptions!$C$16*$K823+Assumptions!$C$6*Assumptions!$C$9*(1+Assumptions!$C$12)^5</f>
        <v>881.4674671</v>
      </c>
      <c r="Q823" s="139">
        <f>($L823*(1-(Assumptions!$C$25+0.06*(1-1))-Assumptions!$C$27)-Assumptions!$C$28)-MAX(0,($L823*(1-(Assumptions!$C$25+0.06*(1-1))-Assumptions!$C$27)-Assumptions!$C$28)*Assumptions!$C$31)+Assumptions!$C$28-Assumptions!$C$29-$L823*Assumptions!$C$30</f>
        <v>93.5024844</v>
      </c>
      <c r="R823" s="139">
        <f>($M823*(1-(Assumptions!$C$25+0.06*(1-$H823))-Assumptions!$C$27)-Assumptions!$C$28)-MAX(0,($M823*(1-(Assumptions!$C$25+0.06*(1-$H823))-Assumptions!$C$27)-Assumptions!$C$28)*Assumptions!$C$31)+Assumptions!$C$28-Assumptions!$C$29-$M823*Assumptions!$C$30</f>
        <v>37.3794378</v>
      </c>
      <c r="S823" s="139">
        <f>($N823*(1-(Assumptions!$C$25+0.06*(1-$I823))-Assumptions!$C$27)-Assumptions!$C$28)-MAX(0,($N823*(1-(Assumptions!$C$25+0.06*(1-$I823))-Assumptions!$C$27)-Assumptions!$C$28)*Assumptions!$C$31)+Assumptions!$C$28-Assumptions!$C$29-$N823*Assumptions!$C$30</f>
        <v>40.24630802</v>
      </c>
      <c r="T823" s="139">
        <f>($O823*(1-(Assumptions!$C$25+0.06*(1-$J823))-Assumptions!$C$27)-Assumptions!$C$28)-MAX(0,($O823*(1-(Assumptions!$C$25+0.06*(1-$J823))-Assumptions!$C$27)-Assumptions!$C$28)*Assumptions!$C$31)+Assumptions!$C$28-Assumptions!$C$29-$O823*Assumptions!$C$30</f>
        <v>114.2852208</v>
      </c>
      <c r="U823" s="139">
        <f>($P823*(1-(Assumptions!$C$25+0.06*(1-$K823))-Assumptions!$C$27)-Assumptions!$C$28)-MAX(0,($P823*(1-(Assumptions!$C$25+0.06*(1-$K823))-Assumptions!$C$27)-Assumptions!$C$28)*Assumptions!$C$31)+Assumptions!$C$28-Assumptions!$C$29-$P823*Assumptions!$C$30</f>
        <v>122.0155054</v>
      </c>
      <c r="V823" s="143">
        <f>(($Q823/(1+$D823)^1+$R823/(1+$D823)^2+$S823/(1+$D823)^3+$T823/(1+$D823)^4+$U823/(1+$D823)^5+$U823*(1+$E823)/($D823-$E823)/(1+$D823)^5)-Assumptions!$C$37)/Assumptions!$C$40/Assumptions!$C$38</f>
        <v>3.36099783</v>
      </c>
    </row>
    <row r="824" ht="12.0" customHeight="1">
      <c r="B824" s="139">
        <v>772.0</v>
      </c>
      <c r="C824" s="140">
        <f t="shared" si="6"/>
        <v>0.6657419359</v>
      </c>
      <c r="D824" s="141">
        <f t="shared" si="7"/>
        <v>0.1013062506</v>
      </c>
      <c r="E824" s="141">
        <f t="shared" si="8"/>
        <v>0.01125707744</v>
      </c>
      <c r="F824" s="140">
        <f t="shared" si="9"/>
        <v>0.2055916356</v>
      </c>
      <c r="G824" s="141">
        <f t="shared" si="10"/>
        <v>0.04923707213</v>
      </c>
      <c r="H824" s="142">
        <f t="shared" si="11"/>
        <v>1</v>
      </c>
      <c r="I824" s="142">
        <f t="shared" si="12"/>
        <v>1</v>
      </c>
      <c r="J824" s="142">
        <f t="shared" si="13"/>
        <v>1</v>
      </c>
      <c r="K824" s="142">
        <f t="shared" si="14"/>
        <v>1</v>
      </c>
      <c r="L824" s="139">
        <f>Assumptions!$C$6*Assumptions!$C$7*(1+$G824-0.05*(1-1))^1+Assumptions!$C$6*Assumptions!$C$8*(1+Assumptions!$C$11)^1+Assumptions!$C$16*1+Assumptions!$C$6*Assumptions!$C$9*(1+Assumptions!$C$12)^1</f>
        <v>743.0411985</v>
      </c>
      <c r="M824" s="139">
        <f>Assumptions!$C$6*Assumptions!$C$7*(1+$G824-0.05*(1-$H824))^2+Assumptions!$C$6*Assumptions!$C$8*(1+Assumptions!$C$11)^2+Assumptions!$C$16*$H824+Assumptions!$C$6*Assumptions!$C$9*(1+Assumptions!$C$12)^2</f>
        <v>767.0277727</v>
      </c>
      <c r="N824" s="139">
        <f>Assumptions!$C$6*Assumptions!$C$7*(1+$G824-0.05*(1-$I824))^3+Assumptions!$C$6*Assumptions!$C$8*(1+Assumptions!$C$11)^3+Assumptions!$C$16*$I824+Assumptions!$C$6*Assumptions!$C$9*(1+Assumptions!$C$12)^3</f>
        <v>792.0024882</v>
      </c>
      <c r="O824" s="139">
        <f>Assumptions!$C$6*Assumptions!$C$7*(1+$G824-0.05*(1-$J824))^4+Assumptions!$C$6*Assumptions!$C$8*(1+Assumptions!$C$11)^4+Assumptions!$C$16*$J824+Assumptions!$C$6*Assumptions!$C$9*(1+Assumptions!$C$12)^4</f>
        <v>818.0101402</v>
      </c>
      <c r="P824" s="139">
        <f>Assumptions!$C$6*Assumptions!$C$7*(1+$G824-0.05*(1-$K824))^5+Assumptions!$C$6*Assumptions!$C$8*(1+Assumptions!$C$11)^5+Assumptions!$C$16*$K824+Assumptions!$C$6*Assumptions!$C$9*(1+Assumptions!$C$12)^5</f>
        <v>845.0976528</v>
      </c>
      <c r="Q824" s="139">
        <f>($L824*(1-(Assumptions!$C$25+0.06*(1-1))-Assumptions!$C$27)-Assumptions!$C$28)-MAX(0,($L824*(1-(Assumptions!$C$25+0.06*(1-1))-Assumptions!$C$27)-Assumptions!$C$28)*Assumptions!$C$31)+Assumptions!$C$28-Assumptions!$C$29-$L824*Assumptions!$C$30</f>
        <v>92.25385767</v>
      </c>
      <c r="R824" s="139">
        <f>($M824*(1-(Assumptions!$C$25+0.06*(1-$H824))-Assumptions!$C$27)-Assumptions!$C$28)-MAX(0,($M824*(1-(Assumptions!$C$25+0.06*(1-$H824))-Assumptions!$C$27)-Assumptions!$C$28)*Assumptions!$C$31)+Assumptions!$C$28-Assumptions!$C$29-$M824*Assumptions!$C$30</f>
        <v>97.41097114</v>
      </c>
      <c r="S824" s="139">
        <f>($N824*(1-(Assumptions!$C$25+0.06*(1-$I824))-Assumptions!$C$27)-Assumptions!$C$28)-MAX(0,($N824*(1-(Assumptions!$C$25+0.06*(1-$I824))-Assumptions!$C$27)-Assumptions!$C$28)*Assumptions!$C$31)+Assumptions!$C$28-Assumptions!$C$29-$N824*Assumptions!$C$30</f>
        <v>102.780535</v>
      </c>
      <c r="T824" s="139">
        <f>($O824*(1-(Assumptions!$C$25+0.06*(1-$J824))-Assumptions!$C$27)-Assumptions!$C$28)-MAX(0,($O824*(1-(Assumptions!$C$25+0.06*(1-$J824))-Assumptions!$C$27)-Assumptions!$C$28)*Assumptions!$C$31)+Assumptions!$C$28-Assumptions!$C$29-$O824*Assumptions!$C$30</f>
        <v>108.3721802</v>
      </c>
      <c r="U824" s="139">
        <f>($P824*(1-(Assumptions!$C$25+0.06*(1-$K824))-Assumptions!$C$27)-Assumptions!$C$28)-MAX(0,($P824*(1-(Assumptions!$C$25+0.06*(1-$K824))-Assumptions!$C$27)-Assumptions!$C$28)*Assumptions!$C$31)+Assumptions!$C$28-Assumptions!$C$29-$P824*Assumptions!$C$30</f>
        <v>114.1959954</v>
      </c>
      <c r="V824" s="143">
        <f>(($Q824/(1+$D824)^1+$R824/(1+$D824)^2+$S824/(1+$D824)^3+$T824/(1+$D824)^4+$U824/(1+$D824)^5+$U824*(1+$E824)/($D824-$E824)/(1+$D824)^5)-Assumptions!$C$37)/Assumptions!$C$40/Assumptions!$C$38</f>
        <v>3.785386228</v>
      </c>
    </row>
    <row r="825" ht="12.0" customHeight="1">
      <c r="B825" s="139">
        <v>773.0</v>
      </c>
      <c r="C825" s="140">
        <f t="shared" si="6"/>
        <v>0.9049121557</v>
      </c>
      <c r="D825" s="141">
        <f t="shared" si="7"/>
        <v>0.1076962831</v>
      </c>
      <c r="E825" s="141">
        <f t="shared" si="8"/>
        <v>0.02850364258</v>
      </c>
      <c r="F825" s="140">
        <f t="shared" si="9"/>
        <v>0.3313139632</v>
      </c>
      <c r="G825" s="141">
        <f t="shared" si="10"/>
        <v>0.05442058832</v>
      </c>
      <c r="H825" s="142">
        <f t="shared" si="11"/>
        <v>1</v>
      </c>
      <c r="I825" s="142">
        <f t="shared" si="12"/>
        <v>1</v>
      </c>
      <c r="J825" s="142">
        <f t="shared" si="13"/>
        <v>0</v>
      </c>
      <c r="K825" s="142">
        <f t="shared" si="14"/>
        <v>0</v>
      </c>
      <c r="L825" s="139">
        <f>Assumptions!$C$6*Assumptions!$C$7*(1+$G825-0.05*(1-1))^1+Assumptions!$C$6*Assumptions!$C$8*(1+Assumptions!$C$11)^1+Assumptions!$C$16*1+Assumptions!$C$6*Assumptions!$C$9*(1+Assumptions!$C$12)^1</f>
        <v>744.78597</v>
      </c>
      <c r="M825" s="139">
        <f>Assumptions!$C$6*Assumptions!$C$7*(1+$G825-0.05*(1-$H825))^2+Assumptions!$C$6*Assumptions!$C$8*(1+Assumptions!$C$11)^2+Assumptions!$C$16*$H825+Assumptions!$C$6*Assumptions!$C$9*(1+Assumptions!$C$12)^2</f>
        <v>770.6981748</v>
      </c>
      <c r="N825" s="139">
        <f>Assumptions!$C$6*Assumptions!$C$7*(1+$G825-0.05*(1-$I825))^3+Assumptions!$C$6*Assumptions!$C$8*(1+Assumptions!$C$11)^3+Assumptions!$C$16*$I825+Assumptions!$C$6*Assumptions!$C$9*(1+Assumptions!$C$12)^3</f>
        <v>797.7934519</v>
      </c>
      <c r="O825" s="139">
        <f>Assumptions!$C$6*Assumptions!$C$7*(1+$G825-0.05*(1-$J825))^4+Assumptions!$C$6*Assumptions!$C$8*(1+Assumptions!$C$11)^4+Assumptions!$C$16*$J825+Assumptions!$C$6*Assumptions!$C$9*(1+Assumptions!$C$12)^4</f>
        <v>692.6500233</v>
      </c>
      <c r="P825" s="139">
        <f>Assumptions!$C$6*Assumptions!$C$7*(1+$G825-0.05*(1-$K825))^5+Assumptions!$C$6*Assumptions!$C$8*(1+Assumptions!$C$11)^5+Assumptions!$C$16*$K825+Assumptions!$C$6*Assumptions!$C$9*(1+Assumptions!$C$12)^5</f>
        <v>701.1656503</v>
      </c>
      <c r="Q825" s="139">
        <f>($L825*(1-(Assumptions!$C$25+0.06*(1-1))-Assumptions!$C$27)-Assumptions!$C$28)-MAX(0,($L825*(1-(Assumptions!$C$25+0.06*(1-1))-Assumptions!$C$27)-Assumptions!$C$28)*Assumptions!$C$31)+Assumptions!$C$28-Assumptions!$C$29-$L825*Assumptions!$C$30</f>
        <v>92.62898356</v>
      </c>
      <c r="R825" s="139">
        <f>($M825*(1-(Assumptions!$C$25+0.06*(1-$H825))-Assumptions!$C$27)-Assumptions!$C$28)-MAX(0,($M825*(1-(Assumptions!$C$25+0.06*(1-$H825))-Assumptions!$C$27)-Assumptions!$C$28)*Assumptions!$C$31)+Assumptions!$C$28-Assumptions!$C$29-$M825*Assumptions!$C$30</f>
        <v>98.20010757</v>
      </c>
      <c r="S825" s="139">
        <f>($N825*(1-(Assumptions!$C$25+0.06*(1-$I825))-Assumptions!$C$27)-Assumptions!$C$28)-MAX(0,($N825*(1-(Assumptions!$C$25+0.06*(1-$I825))-Assumptions!$C$27)-Assumptions!$C$28)*Assumptions!$C$31)+Assumptions!$C$28-Assumptions!$C$29-$N825*Assumptions!$C$30</f>
        <v>104.0255922</v>
      </c>
      <c r="T825" s="139">
        <f>($O825*(1-(Assumptions!$C$25+0.06*(1-$J825))-Assumptions!$C$27)-Assumptions!$C$28)-MAX(0,($O825*(1-(Assumptions!$C$25+0.06*(1-$J825))-Assumptions!$C$27)-Assumptions!$C$28)*Assumptions!$C$31)+Assumptions!$C$28-Assumptions!$C$29-$O825*Assumptions!$C$30</f>
        <v>39.30950536</v>
      </c>
      <c r="U825" s="139">
        <f>($P825*(1-(Assumptions!$C$25+0.06*(1-$K825))-Assumptions!$C$27)-Assumptions!$C$28)-MAX(0,($P825*(1-(Assumptions!$C$25+0.06*(1-$K825))-Assumptions!$C$27)-Assumptions!$C$28)*Assumptions!$C$31)+Assumptions!$C$28-Assumptions!$C$29-$P825*Assumptions!$C$30</f>
        <v>41.26809958</v>
      </c>
      <c r="V825" s="143">
        <f>(($Q825/(1+$D825)^1+$R825/(1+$D825)^2+$S825/(1+$D825)^3+$T825/(1+$D825)^4+$U825/(1+$D825)^5+$U825*(1+$E825)/($D825-$E825)/(1+$D825)^5)-Assumptions!$C$37)/Assumptions!$C$40/Assumptions!$C$38</f>
        <v>-0.618533835</v>
      </c>
    </row>
    <row r="826" ht="12.0" customHeight="1">
      <c r="B826" s="139">
        <v>774.0</v>
      </c>
      <c r="C826" s="140">
        <f t="shared" si="6"/>
        <v>0.02897752373</v>
      </c>
      <c r="D826" s="141">
        <f t="shared" si="7"/>
        <v>0.08813422726</v>
      </c>
      <c r="E826" s="141">
        <f t="shared" si="8"/>
        <v>0.01064045516</v>
      </c>
      <c r="F826" s="140">
        <f t="shared" si="9"/>
        <v>0.1796261568</v>
      </c>
      <c r="G826" s="141">
        <f t="shared" si="10"/>
        <v>0.04798129812</v>
      </c>
      <c r="H826" s="142">
        <f t="shared" si="11"/>
        <v>1</v>
      </c>
      <c r="I826" s="142">
        <f t="shared" si="12"/>
        <v>0</v>
      </c>
      <c r="J826" s="142">
        <f t="shared" si="13"/>
        <v>0</v>
      </c>
      <c r="K826" s="142">
        <f t="shared" si="14"/>
        <v>0</v>
      </c>
      <c r="L826" s="139">
        <f>Assumptions!$C$6*Assumptions!$C$7*(1+$G826-0.05*(1-1))^1+Assumptions!$C$6*Assumptions!$C$8*(1+Assumptions!$C$11)^1+Assumptions!$C$16*1+Assumptions!$C$6*Assumptions!$C$9*(1+Assumptions!$C$12)^1</f>
        <v>742.6185049</v>
      </c>
      <c r="M826" s="139">
        <f>Assumptions!$C$6*Assumptions!$C$7*(1+$G826-0.05*(1-$H826))^2+Assumptions!$C$6*Assumptions!$C$8*(1+Assumptions!$C$11)^2+Assumptions!$C$16*$H826+Assumptions!$C$6*Assumptions!$C$9*(1+Assumptions!$C$12)^2</f>
        <v>766.1412921</v>
      </c>
      <c r="N826" s="139">
        <f>Assumptions!$C$6*Assumptions!$C$7*(1+$G826-0.05*(1-$I826))^3+Assumptions!$C$6*Assumptions!$C$8*(1+Assumptions!$C$11)^3+Assumptions!$C$16*$I826+Assumptions!$C$6*Assumptions!$C$9*(1+Assumptions!$C$12)^3</f>
        <v>677.7602944</v>
      </c>
      <c r="O826" s="139">
        <f>Assumptions!$C$6*Assumptions!$C$7*(1+$G826-0.05*(1-$J826))^4+Assumptions!$C$6*Assumptions!$C$8*(1+Assumptions!$C$11)^4+Assumptions!$C$16*$J826+Assumptions!$C$6*Assumptions!$C$9*(1+Assumptions!$C$12)^4</f>
        <v>683.9487995</v>
      </c>
      <c r="P826" s="139">
        <f>Assumptions!$C$6*Assumptions!$C$7*(1+$G826-0.05*(1-$K826))^5+Assumptions!$C$6*Assumptions!$C$8*(1+Assumptions!$C$11)^5+Assumptions!$C$16*$K826+Assumptions!$C$6*Assumptions!$C$9*(1+Assumptions!$C$12)^5</f>
        <v>690.2759458</v>
      </c>
      <c r="Q826" s="139">
        <f>($L826*(1-(Assumptions!$C$25+0.06*(1-1))-Assumptions!$C$27)-Assumptions!$C$28)-MAX(0,($L826*(1-(Assumptions!$C$25+0.06*(1-1))-Assumptions!$C$27)-Assumptions!$C$28)*Assumptions!$C$31)+Assumptions!$C$28-Assumptions!$C$29-$L826*Assumptions!$C$30</f>
        <v>92.16297856</v>
      </c>
      <c r="R826" s="139">
        <f>($M826*(1-(Assumptions!$C$25+0.06*(1-$H826))-Assumptions!$C$27)-Assumptions!$C$28)-MAX(0,($M826*(1-(Assumptions!$C$25+0.06*(1-$H826))-Assumptions!$C$27)-Assumptions!$C$28)*Assumptions!$C$31)+Assumptions!$C$28-Assumptions!$C$29-$M826*Assumptions!$C$30</f>
        <v>97.2203778</v>
      </c>
      <c r="S826" s="139">
        <f>($N826*(1-(Assumptions!$C$25+0.06*(1-$I826))-Assumptions!$C$27)-Assumptions!$C$28)-MAX(0,($N826*(1-(Assumptions!$C$25+0.06*(1-$I826))-Assumptions!$C$27)-Assumptions!$C$28)*Assumptions!$C$31)+Assumptions!$C$28-Assumptions!$C$29-$N826*Assumptions!$C$30</f>
        <v>35.8848677</v>
      </c>
      <c r="T826" s="139">
        <f>($O826*(1-(Assumptions!$C$25+0.06*(1-$J826))-Assumptions!$C$27)-Assumptions!$C$28)-MAX(0,($O826*(1-(Assumptions!$C$25+0.06*(1-$J826))-Assumptions!$C$27)-Assumptions!$C$28)*Assumptions!$C$31)+Assumptions!$C$28-Assumptions!$C$29-$O826*Assumptions!$C$30</f>
        <v>37.30822387</v>
      </c>
      <c r="U826" s="139">
        <f>($P826*(1-(Assumptions!$C$25+0.06*(1-$K826))-Assumptions!$C$27)-Assumptions!$C$28)-MAX(0,($P826*(1-(Assumptions!$C$25+0.06*(1-$K826))-Assumptions!$C$27)-Assumptions!$C$28)*Assumptions!$C$31)+Assumptions!$C$28-Assumptions!$C$29-$P826*Assumptions!$C$30</f>
        <v>38.76346754</v>
      </c>
      <c r="V826" s="143">
        <f>(($Q826/(1+$D826)^1+$R826/(1+$D826)^2+$S826/(1+$D826)^3+$T826/(1+$D826)^4+$U826/(1+$D826)^5+$U826*(1+$E826)/($D826-$E826)/(1+$D826)^5)-Assumptions!$C$37)/Assumptions!$C$40/Assumptions!$C$38</f>
        <v>-0.8867435815</v>
      </c>
    </row>
    <row r="827" ht="12.0" customHeight="1">
      <c r="B827" s="139">
        <v>775.0</v>
      </c>
      <c r="C827" s="140">
        <f t="shared" si="6"/>
        <v>0.5939271169</v>
      </c>
      <c r="D827" s="141">
        <f t="shared" si="7"/>
        <v>0.09990672708</v>
      </c>
      <c r="E827" s="141">
        <f t="shared" si="8"/>
        <v>0.01184254505</v>
      </c>
      <c r="F827" s="140">
        <f t="shared" si="9"/>
        <v>0.375378833</v>
      </c>
      <c r="G827" s="141">
        <f t="shared" si="10"/>
        <v>0.05599388196</v>
      </c>
      <c r="H827" s="142">
        <f t="shared" si="11"/>
        <v>1</v>
      </c>
      <c r="I827" s="142">
        <f t="shared" si="12"/>
        <v>0</v>
      </c>
      <c r="J827" s="142">
        <f t="shared" si="13"/>
        <v>1</v>
      </c>
      <c r="K827" s="142">
        <f t="shared" si="14"/>
        <v>0</v>
      </c>
      <c r="L827" s="139">
        <f>Assumptions!$C$6*Assumptions!$C$7*(1+$G827-0.05*(1-1))^1+Assumptions!$C$6*Assumptions!$C$8*(1+Assumptions!$C$11)^1+Assumptions!$C$16*1+Assumptions!$C$6*Assumptions!$C$9*(1+Assumptions!$C$12)^1</f>
        <v>745.3155407</v>
      </c>
      <c r="M827" s="139">
        <f>Assumptions!$C$6*Assumptions!$C$7*(1+$G827-0.05*(1-$H827))^2+Assumptions!$C$6*Assumptions!$C$8*(1+Assumptions!$C$11)^2+Assumptions!$C$16*$H827+Assumptions!$C$6*Assumptions!$C$9*(1+Assumptions!$C$12)^2</f>
        <v>771.8157883</v>
      </c>
      <c r="N827" s="139">
        <f>Assumptions!$C$6*Assumptions!$C$7*(1+$G827-0.05*(1-$I827))^3+Assumptions!$C$6*Assumptions!$C$8*(1+Assumptions!$C$11)^3+Assumptions!$C$16*$I827+Assumptions!$C$6*Assumptions!$C$9*(1+Assumptions!$C$12)^3</f>
        <v>685.8836404</v>
      </c>
      <c r="O827" s="139">
        <f>Assumptions!$C$6*Assumptions!$C$7*(1+$G827-0.05*(1-$J827))^4+Assumptions!$C$6*Assumptions!$C$8*(1+Assumptions!$C$11)^4+Assumptions!$C$16*$J827+Assumptions!$C$6*Assumptions!$C$9*(1+Assumptions!$C$12)^4</f>
        <v>828.6204858</v>
      </c>
      <c r="P827" s="139">
        <f>Assumptions!$C$6*Assumptions!$C$7*(1+$G827-0.05*(1-$K827))^5+Assumptions!$C$6*Assumptions!$C$8*(1+Assumptions!$C$11)^5+Assumptions!$C$16*$K827+Assumptions!$C$6*Assumptions!$C$9*(1+Assumptions!$C$12)^5</f>
        <v>703.8690911</v>
      </c>
      <c r="Q827" s="139">
        <f>($L827*(1-(Assumptions!$C$25+0.06*(1-1))-Assumptions!$C$27)-Assumptions!$C$28)-MAX(0,($L827*(1-(Assumptions!$C$25+0.06*(1-1))-Assumptions!$C$27)-Assumptions!$C$28)*Assumptions!$C$31)+Assumptions!$C$28-Assumptions!$C$29-$L827*Assumptions!$C$30</f>
        <v>92.74284124</v>
      </c>
      <c r="R827" s="139">
        <f>($M827*(1-(Assumptions!$C$25+0.06*(1-$H827))-Assumptions!$C$27)-Assumptions!$C$28)-MAX(0,($M827*(1-(Assumptions!$C$25+0.06*(1-$H827))-Assumptions!$C$27)-Assumptions!$C$28)*Assumptions!$C$31)+Assumptions!$C$28-Assumptions!$C$29-$M827*Assumptions!$C$30</f>
        <v>98.44039449</v>
      </c>
      <c r="S827" s="139">
        <f>($N827*(1-(Assumptions!$C$25+0.06*(1-$I827))-Assumptions!$C$27)-Assumptions!$C$28)-MAX(0,($N827*(1-(Assumptions!$C$25+0.06*(1-$I827))-Assumptions!$C$27)-Assumptions!$C$28)*Assumptions!$C$31)+Assumptions!$C$28-Assumptions!$C$29-$N827*Assumptions!$C$30</f>
        <v>37.75323729</v>
      </c>
      <c r="T827" s="139">
        <f>($O827*(1-(Assumptions!$C$25+0.06*(1-$J827))-Assumptions!$C$27)-Assumptions!$C$28)-MAX(0,($O827*(1-(Assumptions!$C$25+0.06*(1-$J827))-Assumptions!$C$27)-Assumptions!$C$28)*Assumptions!$C$31)+Assumptions!$C$28-Assumptions!$C$29-$O827*Assumptions!$C$30</f>
        <v>110.6534044</v>
      </c>
      <c r="U827" s="139">
        <f>($P827*(1-(Assumptions!$C$25+0.06*(1-$K827))-Assumptions!$C$27)-Assumptions!$C$28)-MAX(0,($P827*(1-(Assumptions!$C$25+0.06*(1-$K827))-Assumptions!$C$27)-Assumptions!$C$28)*Assumptions!$C$31)+Assumptions!$C$28-Assumptions!$C$29-$P827*Assumptions!$C$30</f>
        <v>41.88989096</v>
      </c>
      <c r="V827" s="143">
        <f>(($Q827/(1+$D827)^1+$R827/(1+$D827)^2+$S827/(1+$D827)^3+$T827/(1+$D827)^4+$U827/(1+$D827)^5+$U827*(1+$E827)/($D827-$E827)/(1+$D827)^5)-Assumptions!$C$37)/Assumptions!$C$40/Assumptions!$C$38</f>
        <v>-0.7572510621</v>
      </c>
    </row>
    <row r="828" ht="12.0" customHeight="1">
      <c r="B828" s="139">
        <v>776.0</v>
      </c>
      <c r="C828" s="140">
        <f t="shared" si="6"/>
        <v>0.7470633736</v>
      </c>
      <c r="D828" s="141">
        <f t="shared" si="7"/>
        <v>0.1030879285</v>
      </c>
      <c r="E828" s="141">
        <f t="shared" si="8"/>
        <v>0.02013057814</v>
      </c>
      <c r="F828" s="140">
        <f t="shared" si="9"/>
        <v>0.861570132</v>
      </c>
      <c r="G828" s="141">
        <f t="shared" si="10"/>
        <v>0.07421476125</v>
      </c>
      <c r="H828" s="142">
        <f t="shared" si="11"/>
        <v>1</v>
      </c>
      <c r="I828" s="142">
        <f t="shared" si="12"/>
        <v>1</v>
      </c>
      <c r="J828" s="142">
        <f t="shared" si="13"/>
        <v>0</v>
      </c>
      <c r="K828" s="142">
        <f t="shared" si="14"/>
        <v>1</v>
      </c>
      <c r="L828" s="139">
        <f>Assumptions!$C$6*Assumptions!$C$7*(1+$G828-0.05*(1-1))^1+Assumptions!$C$6*Assumptions!$C$8*(1+Assumptions!$C$11)^1+Assumptions!$C$16*1+Assumptions!$C$6*Assumptions!$C$9*(1+Assumptions!$C$12)^1</f>
        <v>751.4486886</v>
      </c>
      <c r="M828" s="139">
        <f>Assumptions!$C$6*Assumptions!$C$7*(1+$G828-0.05*(1-$H828))^2+Assumptions!$C$6*Assumptions!$C$8*(1+Assumptions!$C$11)^2+Assumptions!$C$16*$H828+Assumptions!$C$6*Assumptions!$C$9*(1+Assumptions!$C$12)^2</f>
        <v>784.8806731</v>
      </c>
      <c r="N828" s="139">
        <f>Assumptions!$C$6*Assumptions!$C$7*(1+$G828-0.05*(1-$I828))^3+Assumptions!$C$6*Assumptions!$C$8*(1+Assumptions!$C$11)^3+Assumptions!$C$16*$I828+Assumptions!$C$6*Assumptions!$C$9*(1+Assumptions!$C$12)^3</f>
        <v>820.43613</v>
      </c>
      <c r="O828" s="139">
        <f>Assumptions!$C$6*Assumptions!$C$7*(1+$G828-0.05*(1-$J828))^4+Assumptions!$C$6*Assumptions!$C$8*(1+Assumptions!$C$11)^4+Assumptions!$C$16*$J828+Assumptions!$C$6*Assumptions!$C$9*(1+Assumptions!$C$12)^4</f>
        <v>720.4647495</v>
      </c>
      <c r="P828" s="139">
        <f>Assumptions!$C$6*Assumptions!$C$7*(1+$G828-0.05*(1-$K828))^5+Assumptions!$C$6*Assumptions!$C$8*(1+Assumptions!$C$11)^5+Assumptions!$C$16*$K828+Assumptions!$C$6*Assumptions!$C$9*(1+Assumptions!$C$12)^5</f>
        <v>898.5302411</v>
      </c>
      <c r="Q828" s="139">
        <f>($L828*(1-(Assumptions!$C$25+0.06*(1-1))-Assumptions!$C$27)-Assumptions!$C$28)-MAX(0,($L828*(1-(Assumptions!$C$25+0.06*(1-1))-Assumptions!$C$27)-Assumptions!$C$28)*Assumptions!$C$31)+Assumptions!$C$28-Assumptions!$C$29-$L828*Assumptions!$C$30</f>
        <v>94.06146806</v>
      </c>
      <c r="R828" s="139">
        <f>($M828*(1-(Assumptions!$C$25+0.06*(1-$H828))-Assumptions!$C$27)-Assumptions!$C$28)-MAX(0,($M828*(1-(Assumptions!$C$25+0.06*(1-$H828))-Assumptions!$C$27)-Assumptions!$C$28)*Assumptions!$C$31)+Assumptions!$C$28-Assumptions!$C$29-$M828*Assumptions!$C$30</f>
        <v>101.2493447</v>
      </c>
      <c r="S828" s="139">
        <f>($N828*(1-(Assumptions!$C$25+0.06*(1-$I828))-Assumptions!$C$27)-Assumptions!$C$28)-MAX(0,($N828*(1-(Assumptions!$C$25+0.06*(1-$I828))-Assumptions!$C$27)-Assumptions!$C$28)*Assumptions!$C$31)+Assumptions!$C$28-Assumptions!$C$29-$N828*Assumptions!$C$30</f>
        <v>108.893768</v>
      </c>
      <c r="T828" s="139">
        <f>($O828*(1-(Assumptions!$C$25+0.06*(1-$J828))-Assumptions!$C$27)-Assumptions!$C$28)-MAX(0,($O828*(1-(Assumptions!$C$25+0.06*(1-$J828))-Assumptions!$C$27)-Assumptions!$C$28)*Assumptions!$C$31)+Assumptions!$C$28-Assumptions!$C$29-$O828*Assumptions!$C$30</f>
        <v>45.70689238</v>
      </c>
      <c r="U828" s="139">
        <f>($P828*(1-(Assumptions!$C$25+0.06*(1-$K828))-Assumptions!$C$27)-Assumptions!$C$28)-MAX(0,($P828*(1-(Assumptions!$C$25+0.06*(1-$K828))-Assumptions!$C$27)-Assumptions!$C$28)*Assumptions!$C$31)+Assumptions!$C$28-Assumptions!$C$29-$P828*Assumptions!$C$30</f>
        <v>125.6840018</v>
      </c>
      <c r="V828" s="143">
        <f>(($Q828/(1+$D828)^1+$R828/(1+$D828)^2+$S828/(1+$D828)^3+$T828/(1+$D828)^4+$U828/(1+$D828)^5+$U828*(1+$E828)/($D828-$E828)/(1+$D828)^5)-Assumptions!$C$37)/Assumptions!$C$40/Assumptions!$C$38</f>
        <v>4.776305186</v>
      </c>
    </row>
    <row r="829" ht="12.0" customHeight="1">
      <c r="B829" s="139">
        <v>777.0</v>
      </c>
      <c r="C829" s="140">
        <f t="shared" si="6"/>
        <v>0.117374161</v>
      </c>
      <c r="D829" s="141">
        <f t="shared" si="7"/>
        <v>0.09130791888</v>
      </c>
      <c r="E829" s="141">
        <f t="shared" si="8"/>
        <v>0.02906241766</v>
      </c>
      <c r="F829" s="140">
        <f t="shared" si="9"/>
        <v>0.09842515382</v>
      </c>
      <c r="G829" s="141">
        <f t="shared" si="10"/>
        <v>0.04331034473</v>
      </c>
      <c r="H829" s="142">
        <f t="shared" si="11"/>
        <v>1</v>
      </c>
      <c r="I829" s="142">
        <f t="shared" si="12"/>
        <v>1</v>
      </c>
      <c r="J829" s="142">
        <f t="shared" si="13"/>
        <v>1</v>
      </c>
      <c r="K829" s="142">
        <f t="shared" si="14"/>
        <v>0</v>
      </c>
      <c r="L829" s="139">
        <f>Assumptions!$C$6*Assumptions!$C$7*(1+$G829-0.05*(1-1))^1+Assumptions!$C$6*Assumptions!$C$8*(1+Assumptions!$C$11)^1+Assumptions!$C$16*1+Assumptions!$C$6*Assumptions!$C$9*(1+Assumptions!$C$12)^1</f>
        <v>741.046262</v>
      </c>
      <c r="M829" s="139">
        <f>Assumptions!$C$6*Assumptions!$C$7*(1+$G829-0.05*(1-$H829))^2+Assumptions!$C$6*Assumptions!$C$8*(1+Assumptions!$C$11)^2+Assumptions!$C$16*$H829+Assumptions!$C$6*Assumptions!$C$9*(1+Assumptions!$C$12)^2</f>
        <v>762.8532736</v>
      </c>
      <c r="N829" s="139">
        <f>Assumptions!$C$6*Assumptions!$C$7*(1+$G829-0.05*(1-$I829))^3+Assumptions!$C$6*Assumptions!$C$8*(1+Assumptions!$C$11)^3+Assumptions!$C$16*$I829+Assumptions!$C$6*Assumptions!$C$9*(1+Assumptions!$C$12)^3</f>
        <v>785.4509677</v>
      </c>
      <c r="O829" s="139">
        <f>Assumptions!$C$6*Assumptions!$C$7*(1+$G829-0.05*(1-$J829))^4+Assumptions!$C$6*Assumptions!$C$8*(1+Assumptions!$C$11)^4+Assumptions!$C$16*$J829+Assumptions!$C$6*Assumptions!$C$9*(1+Assumptions!$C$12)^4</f>
        <v>808.8705132</v>
      </c>
      <c r="P829" s="139">
        <f>Assumptions!$C$6*Assumptions!$C$7*(1+$G829-0.05*(1-$K829))^5+Assumptions!$C$6*Assumptions!$C$8*(1+Assumptions!$C$11)^5+Assumptions!$C$16*$K829+Assumptions!$C$6*Assumptions!$C$9*(1+Assumptions!$C$12)^5</f>
        <v>682.5506711</v>
      </c>
      <c r="Q829" s="139">
        <f>($L829*(1-(Assumptions!$C$25+0.06*(1-1))-Assumptions!$C$27)-Assumptions!$C$28)-MAX(0,($L829*(1-(Assumptions!$C$25+0.06*(1-1))-Assumptions!$C$27)-Assumptions!$C$28)*Assumptions!$C$31)+Assumptions!$C$28-Assumptions!$C$29-$L829*Assumptions!$C$30</f>
        <v>91.82494634</v>
      </c>
      <c r="R829" s="139">
        <f>($M829*(1-(Assumptions!$C$25+0.06*(1-$H829))-Assumptions!$C$27)-Assumptions!$C$28)-MAX(0,($M829*(1-(Assumptions!$C$25+0.06*(1-$H829))-Assumptions!$C$27)-Assumptions!$C$28)*Assumptions!$C$31)+Assumptions!$C$28-Assumptions!$C$29-$M829*Assumptions!$C$30</f>
        <v>96.51345383</v>
      </c>
      <c r="S829" s="139">
        <f>($N829*(1-(Assumptions!$C$25+0.06*(1-$I829))-Assumptions!$C$27)-Assumptions!$C$28)-MAX(0,($N829*(1-(Assumptions!$C$25+0.06*(1-$I829))-Assumptions!$C$27)-Assumptions!$C$28)*Assumptions!$C$31)+Assumptions!$C$28-Assumptions!$C$29-$N829*Assumptions!$C$30</f>
        <v>101.371958</v>
      </c>
      <c r="T829" s="139">
        <f>($O829*(1-(Assumptions!$C$25+0.06*(1-$J829))-Assumptions!$C$27)-Assumptions!$C$28)-MAX(0,($O829*(1-(Assumptions!$C$25+0.06*(1-$J829))-Assumptions!$C$27)-Assumptions!$C$28)*Assumptions!$C$31)+Assumptions!$C$28-Assumptions!$C$29-$O829*Assumptions!$C$30</f>
        <v>106.4071603</v>
      </c>
      <c r="U829" s="139">
        <f>($P829*(1-(Assumptions!$C$25+0.06*(1-$K829))-Assumptions!$C$27)-Assumptions!$C$28)-MAX(0,($P829*(1-(Assumptions!$C$25+0.06*(1-$K829))-Assumptions!$C$27)-Assumptions!$C$28)*Assumptions!$C$31)+Assumptions!$C$28-Assumptions!$C$29-$P829*Assumptions!$C$30</f>
        <v>36.98665436</v>
      </c>
      <c r="V829" s="143">
        <f>(($Q829/(1+$D829)^1+$R829/(1+$D829)^2+$S829/(1+$D829)^3+$T829/(1+$D829)^4+$U829/(1+$D829)^5+$U829*(1+$E829)/($D829-$E829)/(1+$D829)^5)-Assumptions!$C$37)/Assumptions!$C$40/Assumptions!$C$38</f>
        <v>0.3545696123</v>
      </c>
    </row>
    <row r="830" ht="12.0" customHeight="1">
      <c r="B830" s="139">
        <v>778.0</v>
      </c>
      <c r="C830" s="140">
        <f t="shared" si="6"/>
        <v>0.441490271</v>
      </c>
      <c r="D830" s="141">
        <f t="shared" si="7"/>
        <v>0.09729904076</v>
      </c>
      <c r="E830" s="141">
        <f t="shared" si="8"/>
        <v>0.01229071948</v>
      </c>
      <c r="F830" s="140">
        <f t="shared" si="9"/>
        <v>0.230326438</v>
      </c>
      <c r="G830" s="141">
        <f t="shared" si="10"/>
        <v>0.05036142402</v>
      </c>
      <c r="H830" s="142">
        <f t="shared" si="11"/>
        <v>1</v>
      </c>
      <c r="I830" s="142">
        <f t="shared" si="12"/>
        <v>1</v>
      </c>
      <c r="J830" s="142">
        <f t="shared" si="13"/>
        <v>1</v>
      </c>
      <c r="K830" s="142">
        <f t="shared" si="14"/>
        <v>1</v>
      </c>
      <c r="L830" s="139">
        <f>Assumptions!$C$6*Assumptions!$C$7*(1+$G830-0.05*(1-1))^1+Assumptions!$C$6*Assumptions!$C$8*(1+Assumptions!$C$11)^1+Assumptions!$C$16*1+Assumptions!$C$6*Assumptions!$C$9*(1+Assumptions!$C$12)^1</f>
        <v>743.4196553</v>
      </c>
      <c r="M830" s="139">
        <f>Assumptions!$C$6*Assumptions!$C$7*(1+$G830-0.05*(1-$H830))^2+Assumptions!$C$6*Assumptions!$C$8*(1+Assumptions!$C$11)^2+Assumptions!$C$16*$H830+Assumptions!$C$6*Assumptions!$C$9*(1+Assumptions!$C$12)^2</f>
        <v>767.8223802</v>
      </c>
      <c r="N830" s="139">
        <f>Assumptions!$C$6*Assumptions!$C$7*(1+$G830-0.05*(1-$I830))^3+Assumptions!$C$6*Assumptions!$C$8*(1+Assumptions!$C$11)^3+Assumptions!$C$16*$I830+Assumptions!$C$6*Assumptions!$C$9*(1+Assumptions!$C$12)^3</f>
        <v>793.2537557</v>
      </c>
      <c r="O830" s="139">
        <f>Assumptions!$C$6*Assumptions!$C$7*(1+$G830-0.05*(1-$J830))^4+Assumptions!$C$6*Assumptions!$C$8*(1+Assumptions!$C$11)^4+Assumptions!$C$16*$J830+Assumptions!$C$6*Assumptions!$C$9*(1+Assumptions!$C$12)^4</f>
        <v>819.7615802</v>
      </c>
      <c r="P830" s="139">
        <f>Assumptions!$C$6*Assumptions!$C$7*(1+$G830-0.05*(1-$K830))^5+Assumptions!$C$6*Assumptions!$C$8*(1+Assumptions!$C$11)^5+Assumptions!$C$16*$K830+Assumptions!$C$6*Assumptions!$C$9*(1+Assumptions!$C$12)^5</f>
        <v>847.3959789</v>
      </c>
      <c r="Q830" s="139">
        <f>($L830*(1-(Assumptions!$C$25+0.06*(1-1))-Assumptions!$C$27)-Assumptions!$C$28)-MAX(0,($L830*(1-(Assumptions!$C$25+0.06*(1-1))-Assumptions!$C$27)-Assumptions!$C$28)*Assumptions!$C$31)+Assumptions!$C$28-Assumptions!$C$29-$L830*Assumptions!$C$30</f>
        <v>92.3352259</v>
      </c>
      <c r="R830" s="139">
        <f>($M830*(1-(Assumptions!$C$25+0.06*(1-$H830))-Assumptions!$C$27)-Assumptions!$C$28)-MAX(0,($M830*(1-(Assumptions!$C$25+0.06*(1-$H830))-Assumptions!$C$27)-Assumptions!$C$28)*Assumptions!$C$31)+Assumptions!$C$28-Assumptions!$C$29-$M830*Assumptions!$C$30</f>
        <v>97.58181173</v>
      </c>
      <c r="S830" s="139">
        <f>($N830*(1-(Assumptions!$C$25+0.06*(1-$I830))-Assumptions!$C$27)-Assumptions!$C$28)-MAX(0,($N830*(1-(Assumptions!$C$25+0.06*(1-$I830))-Assumptions!$C$27)-Assumptions!$C$28)*Assumptions!$C$31)+Assumptions!$C$28-Assumptions!$C$29-$N830*Assumptions!$C$30</f>
        <v>103.0495575</v>
      </c>
      <c r="T830" s="139">
        <f>($O830*(1-(Assumptions!$C$25+0.06*(1-$J830))-Assumptions!$C$27)-Assumptions!$C$28)-MAX(0,($O830*(1-(Assumptions!$C$25+0.06*(1-$J830))-Assumptions!$C$27)-Assumptions!$C$28)*Assumptions!$C$31)+Assumptions!$C$28-Assumptions!$C$29-$O830*Assumptions!$C$30</f>
        <v>108.7487397</v>
      </c>
      <c r="U830" s="139">
        <f>($P830*(1-(Assumptions!$C$25+0.06*(1-$K830))-Assumptions!$C$27)-Assumptions!$C$28)-MAX(0,($P830*(1-(Assumptions!$C$25+0.06*(1-$K830))-Assumptions!$C$27)-Assumptions!$C$28)*Assumptions!$C$31)+Assumptions!$C$28-Assumptions!$C$29-$P830*Assumptions!$C$30</f>
        <v>114.6901355</v>
      </c>
      <c r="V830" s="143">
        <f>(($Q830/(1+$D830)^1+$R830/(1+$D830)^2+$S830/(1+$D830)^3+$T830/(1+$D830)^4+$U830/(1+$D830)^5+$U830*(1+$E830)/($D830-$E830)/(1+$D830)^5)-Assumptions!$C$37)/Assumptions!$C$40/Assumptions!$C$38</f>
        <v>4.347599544</v>
      </c>
    </row>
    <row r="831" ht="12.0" customHeight="1">
      <c r="B831" s="139">
        <v>779.0</v>
      </c>
      <c r="C831" s="140">
        <f t="shared" si="6"/>
        <v>0.4164046196</v>
      </c>
      <c r="D831" s="141">
        <f t="shared" si="7"/>
        <v>0.0969058847</v>
      </c>
      <c r="E831" s="141">
        <f t="shared" si="8"/>
        <v>0.02331215241</v>
      </c>
      <c r="F831" s="140">
        <f t="shared" si="9"/>
        <v>0.4048870495</v>
      </c>
      <c r="G831" s="141">
        <f t="shared" si="10"/>
        <v>0.05699623472</v>
      </c>
      <c r="H831" s="142">
        <f t="shared" si="11"/>
        <v>1</v>
      </c>
      <c r="I831" s="142">
        <f t="shared" si="12"/>
        <v>1</v>
      </c>
      <c r="J831" s="142">
        <f t="shared" si="13"/>
        <v>1</v>
      </c>
      <c r="K831" s="142">
        <f t="shared" si="14"/>
        <v>0</v>
      </c>
      <c r="L831" s="139">
        <f>Assumptions!$C$6*Assumptions!$C$7*(1+$G831-0.05*(1-1))^1+Assumptions!$C$6*Assumptions!$C$8*(1+Assumptions!$C$11)^1+Assumptions!$C$16*1+Assumptions!$C$6*Assumptions!$C$9*(1+Assumptions!$C$12)^1</f>
        <v>745.6529326</v>
      </c>
      <c r="M831" s="139">
        <f>Assumptions!$C$6*Assumptions!$C$7*(1+$G831-0.05*(1-$H831))^2+Assumptions!$C$6*Assumptions!$C$8*(1+Assumptions!$C$11)^2+Assumptions!$C$16*$H831+Assumptions!$C$6*Assumptions!$C$9*(1+Assumptions!$C$12)^2</f>
        <v>772.5286941</v>
      </c>
      <c r="N831" s="139">
        <f>Assumptions!$C$6*Assumptions!$C$7*(1+$G831-0.05*(1-$I831))^3+Assumptions!$C$6*Assumptions!$C$8*(1+Assumptions!$C$11)^3+Assumptions!$C$16*$I831+Assumptions!$C$6*Assumptions!$C$9*(1+Assumptions!$C$12)^3</f>
        <v>800.6921954</v>
      </c>
      <c r="O831" s="139">
        <f>Assumptions!$C$6*Assumptions!$C$7*(1+$G831-0.05*(1-$J831))^4+Assumptions!$C$6*Assumptions!$C$8*(1+Assumptions!$C$11)^4+Assumptions!$C$16*$J831+Assumptions!$C$6*Assumptions!$C$9*(1+Assumptions!$C$12)^4</f>
        <v>830.2119512</v>
      </c>
      <c r="P831" s="139">
        <f>Assumptions!$C$6*Assumptions!$C$7*(1+$G831-0.05*(1-$K831))^5+Assumptions!$C$6*Assumptions!$C$8*(1+Assumptions!$C$11)^5+Assumptions!$C$16*$K831+Assumptions!$C$6*Assumptions!$C$9*(1+Assumptions!$C$12)^5</f>
        <v>705.6003081</v>
      </c>
      <c r="Q831" s="139">
        <f>($L831*(1-(Assumptions!$C$25+0.06*(1-1))-Assumptions!$C$27)-Assumptions!$C$28)-MAX(0,($L831*(1-(Assumptions!$C$25+0.06*(1-1))-Assumptions!$C$27)-Assumptions!$C$28)*Assumptions!$C$31)+Assumptions!$C$28-Assumptions!$C$29-$L831*Assumptions!$C$30</f>
        <v>92.81538051</v>
      </c>
      <c r="R831" s="139">
        <f>($M831*(1-(Assumptions!$C$25+0.06*(1-$H831))-Assumptions!$C$27)-Assumptions!$C$28)-MAX(0,($M831*(1-(Assumptions!$C$25+0.06*(1-$H831))-Assumptions!$C$27)-Assumptions!$C$28)*Assumptions!$C$31)+Assumptions!$C$28-Assumptions!$C$29-$M831*Assumptions!$C$30</f>
        <v>98.59366924</v>
      </c>
      <c r="S831" s="139">
        <f>($N831*(1-(Assumptions!$C$25+0.06*(1-$I831))-Assumptions!$C$27)-Assumptions!$C$28)-MAX(0,($N831*(1-(Assumptions!$C$25+0.06*(1-$I831))-Assumptions!$C$27)-Assumptions!$C$28)*Assumptions!$C$31)+Assumptions!$C$28-Assumptions!$C$29-$N831*Assumptions!$C$30</f>
        <v>104.648822</v>
      </c>
      <c r="T831" s="139">
        <f>($O831*(1-(Assumptions!$C$25+0.06*(1-$J831))-Assumptions!$C$27)-Assumptions!$C$28)-MAX(0,($O831*(1-(Assumptions!$C$25+0.06*(1-$J831))-Assumptions!$C$27)-Assumptions!$C$28)*Assumptions!$C$31)+Assumptions!$C$28-Assumptions!$C$29-$O831*Assumptions!$C$30</f>
        <v>110.9955695</v>
      </c>
      <c r="U831" s="139">
        <f>($P831*(1-(Assumptions!$C$25+0.06*(1-$K831))-Assumptions!$C$27)-Assumptions!$C$28)-MAX(0,($P831*(1-(Assumptions!$C$25+0.06*(1-$K831))-Assumptions!$C$27)-Assumptions!$C$28)*Assumptions!$C$31)+Assumptions!$C$28-Assumptions!$C$29-$P831*Assumptions!$C$30</f>
        <v>42.28807087</v>
      </c>
      <c r="V831" s="143">
        <f>(($Q831/(1+$D831)^1+$R831/(1+$D831)^2+$S831/(1+$D831)^3+$T831/(1+$D831)^4+$U831/(1+$D831)^5+$U831*(1+$E831)/($D831-$E831)/(1+$D831)^5)-Assumptions!$C$37)/Assumptions!$C$40/Assumptions!$C$38</f>
        <v>0.2164595844</v>
      </c>
    </row>
    <row r="832" ht="12.0" customHeight="1">
      <c r="B832" s="139">
        <v>780.0</v>
      </c>
      <c r="C832" s="140">
        <f t="shared" si="6"/>
        <v>0.2916965522</v>
      </c>
      <c r="D832" s="141">
        <f t="shared" si="7"/>
        <v>0.09494410032</v>
      </c>
      <c r="E832" s="141">
        <f t="shared" si="8"/>
        <v>0.0236591954</v>
      </c>
      <c r="F832" s="140">
        <f t="shared" si="9"/>
        <v>0.4096452141</v>
      </c>
      <c r="G832" s="141">
        <f t="shared" si="10"/>
        <v>0.05715439901</v>
      </c>
      <c r="H832" s="142">
        <f t="shared" si="11"/>
        <v>1</v>
      </c>
      <c r="I832" s="142">
        <f t="shared" si="12"/>
        <v>0</v>
      </c>
      <c r="J832" s="142">
        <f t="shared" si="13"/>
        <v>1</v>
      </c>
      <c r="K832" s="142">
        <f t="shared" si="14"/>
        <v>1</v>
      </c>
      <c r="L832" s="139">
        <f>Assumptions!$C$6*Assumptions!$C$7*(1+$G832-0.05*(1-1))^1+Assumptions!$C$6*Assumptions!$C$8*(1+Assumptions!$C$11)^1+Assumptions!$C$16*1+Assumptions!$C$6*Assumptions!$C$9*(1+Assumptions!$C$12)^1</f>
        <v>745.7061707</v>
      </c>
      <c r="M832" s="139">
        <f>Assumptions!$C$6*Assumptions!$C$7*(1+$G832-0.05*(1-$H832))^2+Assumptions!$C$6*Assumptions!$C$8*(1+Assumptions!$C$11)^2+Assumptions!$C$16*$H832+Assumptions!$C$6*Assumptions!$C$9*(1+Assumptions!$C$12)^2</f>
        <v>772.6412475</v>
      </c>
      <c r="N832" s="139">
        <f>Assumptions!$C$6*Assumptions!$C$7*(1+$G832-0.05*(1-$I832))^3+Assumptions!$C$6*Assumptions!$C$8*(1+Assumptions!$C$11)^3+Assumptions!$C$16*$I832+Assumptions!$C$6*Assumptions!$C$9*(1+Assumptions!$C$12)^3</f>
        <v>687.0709896</v>
      </c>
      <c r="O832" s="139">
        <f>Assumptions!$C$6*Assumptions!$C$7*(1+$G832-0.05*(1-$J832))^4+Assumptions!$C$6*Assumptions!$C$8*(1+Assumptions!$C$11)^4+Assumptions!$C$16*$J832+Assumptions!$C$6*Assumptions!$C$9*(1+Assumptions!$C$12)^4</f>
        <v>830.4634873</v>
      </c>
      <c r="P832" s="139">
        <f>Assumptions!$C$6*Assumptions!$C$7*(1+$G832-0.05*(1-$K832))^5+Assumptions!$C$6*Assumptions!$C$8*(1+Assumptions!$C$11)^5+Assumptions!$C$16*$K832+Assumptions!$C$6*Assumptions!$C$9*(1+Assumptions!$C$12)^5</f>
        <v>861.4926494</v>
      </c>
      <c r="Q832" s="139">
        <f>($L832*(1-(Assumptions!$C$25+0.06*(1-1))-Assumptions!$C$27)-Assumptions!$C$28)-MAX(0,($L832*(1-(Assumptions!$C$25+0.06*(1-1))-Assumptions!$C$27)-Assumptions!$C$28)*Assumptions!$C$31)+Assumptions!$C$28-Assumptions!$C$29-$L832*Assumptions!$C$30</f>
        <v>92.8268267</v>
      </c>
      <c r="R832" s="139">
        <f>($M832*(1-(Assumptions!$C$25+0.06*(1-$H832))-Assumptions!$C$27)-Assumptions!$C$28)-MAX(0,($M832*(1-(Assumptions!$C$25+0.06*(1-$H832))-Assumptions!$C$27)-Assumptions!$C$28)*Assumptions!$C$31)+Assumptions!$C$28-Assumptions!$C$29-$M832*Assumptions!$C$30</f>
        <v>98.61786821</v>
      </c>
      <c r="S832" s="139">
        <f>($N832*(1-(Assumptions!$C$25+0.06*(1-$I832))-Assumptions!$C$27)-Assumptions!$C$28)-MAX(0,($N832*(1-(Assumptions!$C$25+0.06*(1-$I832))-Assumptions!$C$27)-Assumptions!$C$28)*Assumptions!$C$31)+Assumptions!$C$28-Assumptions!$C$29-$N832*Assumptions!$C$30</f>
        <v>38.02632761</v>
      </c>
      <c r="T832" s="139">
        <f>($O832*(1-(Assumptions!$C$25+0.06*(1-$J832))-Assumptions!$C$27)-Assumptions!$C$28)-MAX(0,($O832*(1-(Assumptions!$C$25+0.06*(1-$J832))-Assumptions!$C$27)-Assumptions!$C$28)*Assumptions!$C$31)+Assumptions!$C$28-Assumptions!$C$29-$O832*Assumptions!$C$30</f>
        <v>111.0496498</v>
      </c>
      <c r="U832" s="139">
        <f>($P832*(1-(Assumptions!$C$25+0.06*(1-$K832))-Assumptions!$C$27)-Assumptions!$C$28)-MAX(0,($P832*(1-(Assumptions!$C$25+0.06*(1-$K832))-Assumptions!$C$27)-Assumptions!$C$28)*Assumptions!$C$31)+Assumptions!$C$28-Assumptions!$C$29-$P832*Assumptions!$C$30</f>
        <v>117.7209196</v>
      </c>
      <c r="V832" s="143">
        <f>(($Q832/(1+$D832)^1+$R832/(1+$D832)^2+$S832/(1+$D832)^3+$T832/(1+$D832)^4+$U832/(1+$D832)^5+$U832*(1+$E832)/($D832-$E832)/(1+$D832)^5)-Assumptions!$C$37)/Assumptions!$C$40/Assumptions!$C$38</f>
        <v>5.700615461</v>
      </c>
    </row>
    <row r="833" ht="12.0" customHeight="1">
      <c r="B833" s="139">
        <v>781.0</v>
      </c>
      <c r="C833" s="140">
        <f t="shared" si="6"/>
        <v>0.03381541499</v>
      </c>
      <c r="D833" s="141">
        <f t="shared" si="7"/>
        <v>0.08838576811</v>
      </c>
      <c r="E833" s="141">
        <f t="shared" si="8"/>
        <v>0.02575128962</v>
      </c>
      <c r="F833" s="140">
        <f t="shared" si="9"/>
        <v>0.4976952963</v>
      </c>
      <c r="G833" s="141">
        <f t="shared" si="10"/>
        <v>0.05993077903</v>
      </c>
      <c r="H833" s="142">
        <f t="shared" si="11"/>
        <v>1</v>
      </c>
      <c r="I833" s="142">
        <f t="shared" si="12"/>
        <v>1</v>
      </c>
      <c r="J833" s="142">
        <f t="shared" si="13"/>
        <v>0</v>
      </c>
      <c r="K833" s="142">
        <f t="shared" si="14"/>
        <v>0</v>
      </c>
      <c r="L833" s="139">
        <f>Assumptions!$C$6*Assumptions!$C$7*(1+$G833-0.05*(1-1))^1+Assumptions!$C$6*Assumptions!$C$8*(1+Assumptions!$C$11)^1+Assumptions!$C$16*1+Assumptions!$C$6*Assumptions!$C$9*(1+Assumptions!$C$12)^1</f>
        <v>746.6407002</v>
      </c>
      <c r="M833" s="139">
        <f>Assumptions!$C$6*Assumptions!$C$7*(1+$G833-0.05*(1-$H833))^2+Assumptions!$C$6*Assumptions!$C$8*(1+Assumptions!$C$11)^2+Assumptions!$C$16*$H833+Assumptions!$C$6*Assumptions!$C$9*(1+Assumptions!$C$12)^2</f>
        <v>774.6197261</v>
      </c>
      <c r="N833" s="139">
        <f>Assumptions!$C$6*Assumptions!$C$7*(1+$G833-0.05*(1-$I833))^3+Assumptions!$C$6*Assumptions!$C$8*(1+Assumptions!$C$11)^3+Assumptions!$C$16*$I833+Assumptions!$C$6*Assumptions!$C$9*(1+Assumptions!$C$12)^3</f>
        <v>804.012119</v>
      </c>
      <c r="O833" s="139">
        <f>Assumptions!$C$6*Assumptions!$C$7*(1+$G833-0.05*(1-$J833))^4+Assumptions!$C$6*Assumptions!$C$8*(1+Assumptions!$C$11)^4+Assumptions!$C$16*$J833+Assumptions!$C$6*Assumptions!$C$9*(1+Assumptions!$C$12)^4</f>
        <v>700.229857</v>
      </c>
      <c r="P833" s="139">
        <f>Assumptions!$C$6*Assumptions!$C$7*(1+$G833-0.05*(1-$K833))^5+Assumptions!$C$6*Assumptions!$C$8*(1+Assumptions!$C$11)^5+Assumptions!$C$16*$K833+Assumptions!$C$6*Assumptions!$C$9*(1+Assumptions!$C$12)^5</f>
        <v>710.708502</v>
      </c>
      <c r="Q833" s="139">
        <f>($L833*(1-(Assumptions!$C$25+0.06*(1-1))-Assumptions!$C$27)-Assumptions!$C$28)-MAX(0,($L833*(1-(Assumptions!$C$25+0.06*(1-1))-Assumptions!$C$27)-Assumptions!$C$28)*Assumptions!$C$31)+Assumptions!$C$28-Assumptions!$C$29-$L833*Assumptions!$C$30</f>
        <v>93.02775055</v>
      </c>
      <c r="R833" s="139">
        <f>($M833*(1-(Assumptions!$C$25+0.06*(1-$H833))-Assumptions!$C$27)-Assumptions!$C$28)-MAX(0,($M833*(1-(Assumptions!$C$25+0.06*(1-$H833))-Assumptions!$C$27)-Assumptions!$C$28)*Assumptions!$C$31)+Assumptions!$C$28-Assumptions!$C$29-$M833*Assumptions!$C$30</f>
        <v>99.04324111</v>
      </c>
      <c r="S833" s="139">
        <f>($N833*(1-(Assumptions!$C$25+0.06*(1-$I833))-Assumptions!$C$27)-Assumptions!$C$28)-MAX(0,($N833*(1-(Assumptions!$C$25+0.06*(1-$I833))-Assumptions!$C$27)-Assumptions!$C$28)*Assumptions!$C$31)+Assumptions!$C$28-Assumptions!$C$29-$N833*Assumptions!$C$30</f>
        <v>105.3626056</v>
      </c>
      <c r="T833" s="139">
        <f>($O833*(1-(Assumptions!$C$25+0.06*(1-$J833))-Assumptions!$C$27)-Assumptions!$C$28)-MAX(0,($O833*(1-(Assumptions!$C$25+0.06*(1-$J833))-Assumptions!$C$27)-Assumptions!$C$28)*Assumptions!$C$31)+Assumptions!$C$28-Assumptions!$C$29-$O833*Assumptions!$C$30</f>
        <v>41.05286712</v>
      </c>
      <c r="U833" s="139">
        <f>($P833*(1-(Assumptions!$C$25+0.06*(1-$K833))-Assumptions!$C$27)-Assumptions!$C$28)-MAX(0,($P833*(1-(Assumptions!$C$25+0.06*(1-$K833))-Assumptions!$C$27)-Assumptions!$C$28)*Assumptions!$C$31)+Assumptions!$C$28-Assumptions!$C$29-$P833*Assumptions!$C$30</f>
        <v>43.46295546</v>
      </c>
      <c r="V833" s="143">
        <f>(($Q833/(1+$D833)^1+$R833/(1+$D833)^2+$S833/(1+$D833)^3+$T833/(1+$D833)^4+$U833/(1+$D833)^5+$U833*(1+$E833)/($D833-$E833)/(1+$D833)^5)-Assumptions!$C$37)/Assumptions!$C$40/Assumptions!$C$38</f>
        <v>0.6467154852</v>
      </c>
    </row>
    <row r="834" ht="12.0" customHeight="1">
      <c r="B834" s="139">
        <v>782.0</v>
      </c>
      <c r="C834" s="140">
        <f t="shared" si="6"/>
        <v>0.7828212913</v>
      </c>
      <c r="D834" s="141">
        <f t="shared" si="7"/>
        <v>0.1039620085</v>
      </c>
      <c r="E834" s="141">
        <f t="shared" si="8"/>
        <v>0.01240141432</v>
      </c>
      <c r="F834" s="140">
        <f t="shared" si="9"/>
        <v>0.9217243978</v>
      </c>
      <c r="G834" s="141">
        <f t="shared" si="10"/>
        <v>0.07813003437</v>
      </c>
      <c r="H834" s="142">
        <f t="shared" si="11"/>
        <v>0</v>
      </c>
      <c r="I834" s="142">
        <f t="shared" si="12"/>
        <v>0</v>
      </c>
      <c r="J834" s="142">
        <f t="shared" si="13"/>
        <v>0</v>
      </c>
      <c r="K834" s="142">
        <f t="shared" si="14"/>
        <v>0</v>
      </c>
      <c r="L834" s="139">
        <f>Assumptions!$C$6*Assumptions!$C$7*(1+$G834-0.05*(1-1))^1+Assumptions!$C$6*Assumptions!$C$8*(1+Assumptions!$C$11)^1+Assumptions!$C$16*1+Assumptions!$C$6*Assumptions!$C$9*(1+Assumptions!$C$12)^1</f>
        <v>752.7665696</v>
      </c>
      <c r="M834" s="139">
        <f>Assumptions!$C$6*Assumptions!$C$7*(1+$G834-0.05*(1-$H834))^2+Assumptions!$C$6*Assumptions!$C$8*(1+Assumptions!$C$11)^2+Assumptions!$C$16*$H834+Assumptions!$C$6*Assumptions!$C$9*(1+Assumptions!$C$12)^2</f>
        <v>692.2688503</v>
      </c>
      <c r="N834" s="139">
        <f>Assumptions!$C$6*Assumptions!$C$7*(1+$G834-0.05*(1-$I834))^3+Assumptions!$C$6*Assumptions!$C$8*(1+Assumptions!$C$11)^3+Assumptions!$C$16*$I834+Assumptions!$C$6*Assumptions!$C$9*(1+Assumptions!$C$12)^3</f>
        <v>709.0069219</v>
      </c>
      <c r="O834" s="139">
        <f>Assumptions!$C$6*Assumptions!$C$7*(1+$G834-0.05*(1-$J834))^4+Assumptions!$C$6*Assumptions!$C$8*(1+Assumptions!$C$11)^4+Assumptions!$C$16*$J834+Assumptions!$C$6*Assumptions!$C$9*(1+Assumptions!$C$12)^4</f>
        <v>726.1611266</v>
      </c>
      <c r="P834" s="139">
        <f>Assumptions!$C$6*Assumptions!$C$7*(1+$G834-0.05*(1-$K834))^5+Assumptions!$C$6*Assumptions!$C$8*(1+Assumptions!$C$11)^5+Assumptions!$C$16*$K834+Assumptions!$C$6*Assumptions!$C$9*(1+Assumptions!$C$12)^5</f>
        <v>743.7420759</v>
      </c>
      <c r="Q834" s="139">
        <f>($L834*(1-(Assumptions!$C$25+0.06*(1-1))-Assumptions!$C$27)-Assumptions!$C$28)-MAX(0,($L834*(1-(Assumptions!$C$25+0.06*(1-1))-Assumptions!$C$27)-Assumptions!$C$28)*Assumptions!$C$31)+Assumptions!$C$28-Assumptions!$C$29-$L834*Assumptions!$C$30</f>
        <v>94.34481246</v>
      </c>
      <c r="R834" s="139">
        <f>($M834*(1-(Assumptions!$C$25+0.06*(1-$H834))-Assumptions!$C$27)-Assumptions!$C$28)-MAX(0,($M834*(1-(Assumptions!$C$25+0.06*(1-$H834))-Assumptions!$C$27)-Assumptions!$C$28)*Assumptions!$C$31)+Assumptions!$C$28-Assumptions!$C$29-$M834*Assumptions!$C$30</f>
        <v>39.22183558</v>
      </c>
      <c r="S834" s="139">
        <f>($N834*(1-(Assumptions!$C$25+0.06*(1-$I834))-Assumptions!$C$27)-Assumptions!$C$28)-MAX(0,($N834*(1-(Assumptions!$C$25+0.06*(1-$I834))-Assumptions!$C$27)-Assumptions!$C$28)*Assumptions!$C$31)+Assumptions!$C$28-Assumptions!$C$29-$N834*Assumptions!$C$30</f>
        <v>43.07159205</v>
      </c>
      <c r="T834" s="139">
        <f>($O834*(1-(Assumptions!$C$25+0.06*(1-$J834))-Assumptions!$C$27)-Assumptions!$C$28)-MAX(0,($O834*(1-(Assumptions!$C$25+0.06*(1-$J834))-Assumptions!$C$27)-Assumptions!$C$28)*Assumptions!$C$31)+Assumptions!$C$28-Assumptions!$C$29-$O834*Assumptions!$C$30</f>
        <v>47.01705911</v>
      </c>
      <c r="U834" s="139">
        <f>($P834*(1-(Assumptions!$C$25+0.06*(1-$K834))-Assumptions!$C$27)-Assumptions!$C$28)-MAX(0,($P834*(1-(Assumptions!$C$25+0.06*(1-$K834))-Assumptions!$C$27)-Assumptions!$C$28)*Assumptions!$C$31)+Assumptions!$C$28-Assumptions!$C$29-$P834*Assumptions!$C$30</f>
        <v>51.06067746</v>
      </c>
      <c r="V834" s="143">
        <f>(($Q834/(1+$D834)^1+$R834/(1+$D834)^2+$S834/(1+$D834)^3+$T834/(1+$D834)^4+$U834/(1+$D834)^5+$U834*(1+$E834)/($D834-$E834)/(1+$D834)^5)-Assumptions!$C$37)/Assumptions!$C$40/Assumptions!$C$38</f>
        <v>-1.052999167</v>
      </c>
    </row>
    <row r="835" ht="12.0" customHeight="1">
      <c r="B835" s="139">
        <v>783.0</v>
      </c>
      <c r="C835" s="140">
        <f t="shared" si="6"/>
        <v>0.7724841713</v>
      </c>
      <c r="D835" s="141">
        <f t="shared" si="7"/>
        <v>0.1037023728</v>
      </c>
      <c r="E835" s="141">
        <f t="shared" si="8"/>
        <v>0.0136901142</v>
      </c>
      <c r="F835" s="140">
        <f t="shared" si="9"/>
        <v>0.3704953199</v>
      </c>
      <c r="G835" s="141">
        <f t="shared" si="10"/>
        <v>0.05582424395</v>
      </c>
      <c r="H835" s="142">
        <f t="shared" si="11"/>
        <v>0</v>
      </c>
      <c r="I835" s="142">
        <f t="shared" si="12"/>
        <v>1</v>
      </c>
      <c r="J835" s="142">
        <f t="shared" si="13"/>
        <v>1</v>
      </c>
      <c r="K835" s="142">
        <f t="shared" si="14"/>
        <v>1</v>
      </c>
      <c r="L835" s="139">
        <f>Assumptions!$C$6*Assumptions!$C$7*(1+$G835-0.05*(1-1))^1+Assumptions!$C$6*Assumptions!$C$8*(1+Assumptions!$C$11)^1+Assumptions!$C$16*1+Assumptions!$C$6*Assumptions!$C$9*(1+Assumptions!$C$12)^1</f>
        <v>745.2584405</v>
      </c>
      <c r="M835" s="139">
        <f>Assumptions!$C$6*Assumptions!$C$7*(1+$G835-0.05*(1-$H835))^2+Assumptions!$C$6*Assumptions!$C$8*(1+Assumptions!$C$11)^2+Assumptions!$C$16*$H835+Assumptions!$C$6*Assumptions!$C$9*(1+Assumptions!$C$12)^2</f>
        <v>676.9976591</v>
      </c>
      <c r="N835" s="139">
        <f>Assumptions!$C$6*Assumptions!$C$7*(1+$G835-0.05*(1-$I835))^3+Assumptions!$C$6*Assumptions!$C$8*(1+Assumptions!$C$11)^3+Assumptions!$C$16*$I835+Assumptions!$C$6*Assumptions!$C$9*(1+Assumptions!$C$12)^3</f>
        <v>799.3714327</v>
      </c>
      <c r="O835" s="139">
        <f>Assumptions!$C$6*Assumptions!$C$7*(1+$G835-0.05*(1-$J835))^4+Assumptions!$C$6*Assumptions!$C$8*(1+Assumptions!$C$11)^4+Assumptions!$C$16*$J835+Assumptions!$C$6*Assumptions!$C$9*(1+Assumptions!$C$12)^4</f>
        <v>828.3515944</v>
      </c>
      <c r="P835" s="139">
        <f>Assumptions!$C$6*Assumptions!$C$7*(1+$G835-0.05*(1-$K835))^5+Assumptions!$C$6*Assumptions!$C$8*(1+Assumptions!$C$11)^5+Assumptions!$C$16*$K835+Assumptions!$C$6*Assumptions!$C$9*(1+Assumptions!$C$12)^5</f>
        <v>858.703658</v>
      </c>
      <c r="Q835" s="139">
        <f>($L835*(1-(Assumptions!$C$25+0.06*(1-1))-Assumptions!$C$27)-Assumptions!$C$28)-MAX(0,($L835*(1-(Assumptions!$C$25+0.06*(1-1))-Assumptions!$C$27)-Assumptions!$C$28)*Assumptions!$C$31)+Assumptions!$C$28-Assumptions!$C$29-$L835*Assumptions!$C$30</f>
        <v>92.73056471</v>
      </c>
      <c r="R835" s="139">
        <f>($M835*(1-(Assumptions!$C$25+0.06*(1-$H835))-Assumptions!$C$27)-Assumptions!$C$28)-MAX(0,($M835*(1-(Assumptions!$C$25+0.06*(1-$H835))-Assumptions!$C$27)-Assumptions!$C$28)*Assumptions!$C$31)+Assumptions!$C$28-Assumptions!$C$29-$M835*Assumptions!$C$30</f>
        <v>35.7094616</v>
      </c>
      <c r="S835" s="139">
        <f>($N835*(1-(Assumptions!$C$25+0.06*(1-$I835))-Assumptions!$C$27)-Assumptions!$C$28)-MAX(0,($N835*(1-(Assumptions!$C$25+0.06*(1-$I835))-Assumptions!$C$27)-Assumptions!$C$28)*Assumptions!$C$31)+Assumptions!$C$28-Assumptions!$C$29-$N835*Assumptions!$C$30</f>
        <v>104.364858</v>
      </c>
      <c r="T835" s="139">
        <f>($O835*(1-(Assumptions!$C$25+0.06*(1-$J835))-Assumptions!$C$27)-Assumptions!$C$28)-MAX(0,($O835*(1-(Assumptions!$C$25+0.06*(1-$J835))-Assumptions!$C$27)-Assumptions!$C$28)*Assumptions!$C$31)+Assumptions!$C$28-Assumptions!$C$29-$O835*Assumptions!$C$30</f>
        <v>110.5955928</v>
      </c>
      <c r="U835" s="139">
        <f>($P835*(1-(Assumptions!$C$25+0.06*(1-$K835))-Assumptions!$C$27)-Assumptions!$C$28)-MAX(0,($P835*(1-(Assumptions!$C$25+0.06*(1-$K835))-Assumptions!$C$27)-Assumptions!$C$28)*Assumptions!$C$31)+Assumptions!$C$28-Assumptions!$C$29-$P835*Assumptions!$C$30</f>
        <v>117.1212865</v>
      </c>
      <c r="V835" s="143">
        <f>(($Q835/(1+$D835)^1+$R835/(1+$D835)^2+$S835/(1+$D835)^3+$T835/(1+$D835)^4+$U835/(1+$D835)^5+$U835*(1+$E835)/($D835-$E835)/(1+$D835)^5)-Assumptions!$C$37)/Assumptions!$C$40/Assumptions!$C$38</f>
        <v>3.516764256</v>
      </c>
    </row>
    <row r="836" ht="12.0" customHeight="1">
      <c r="B836" s="139">
        <v>784.0</v>
      </c>
      <c r="C836" s="140">
        <f t="shared" si="6"/>
        <v>0.5660448699</v>
      </c>
      <c r="D836" s="141">
        <f t="shared" si="7"/>
        <v>0.09939715321</v>
      </c>
      <c r="E836" s="141">
        <f t="shared" si="8"/>
        <v>0.02178631449</v>
      </c>
      <c r="F836" s="140">
        <f t="shared" si="9"/>
        <v>0.3286914807</v>
      </c>
      <c r="G836" s="141">
        <f t="shared" si="10"/>
        <v>0.05432374694</v>
      </c>
      <c r="H836" s="142">
        <f t="shared" si="11"/>
        <v>1</v>
      </c>
      <c r="I836" s="142">
        <f t="shared" si="12"/>
        <v>1</v>
      </c>
      <c r="J836" s="142">
        <f t="shared" si="13"/>
        <v>0</v>
      </c>
      <c r="K836" s="142">
        <f t="shared" si="14"/>
        <v>0</v>
      </c>
      <c r="L836" s="139">
        <f>Assumptions!$C$6*Assumptions!$C$7*(1+$G836-0.05*(1-1))^1+Assumptions!$C$6*Assumptions!$C$8*(1+Assumptions!$C$11)^1+Assumptions!$C$16*1+Assumptions!$C$6*Assumptions!$C$9*(1+Assumptions!$C$12)^1</f>
        <v>744.7533732</v>
      </c>
      <c r="M836" s="139">
        <f>Assumptions!$C$6*Assumptions!$C$7*(1+$G836-0.05*(1-$H836))^2+Assumptions!$C$6*Assumptions!$C$8*(1+Assumptions!$C$11)^2+Assumptions!$C$16*$H836+Assumptions!$C$6*Assumptions!$C$9*(1+Assumptions!$C$12)^2</f>
        <v>770.6294364</v>
      </c>
      <c r="N836" s="139">
        <f>Assumptions!$C$6*Assumptions!$C$7*(1+$G836-0.05*(1-$I836))^3+Assumptions!$C$6*Assumptions!$C$8*(1+Assumptions!$C$11)^3+Assumptions!$C$16*$I836+Assumptions!$C$6*Assumptions!$C$9*(1+Assumptions!$C$12)^3</f>
        <v>797.6847382</v>
      </c>
      <c r="O836" s="139">
        <f>Assumptions!$C$6*Assumptions!$C$7*(1+$G836-0.05*(1-$J836))^4+Assumptions!$C$6*Assumptions!$C$8*(1+Assumptions!$C$11)^4+Assumptions!$C$16*$J836+Assumptions!$C$6*Assumptions!$C$9*(1+Assumptions!$C$12)^4</f>
        <v>692.5179184</v>
      </c>
      <c r="P836" s="139">
        <f>Assumptions!$C$6*Assumptions!$C$7*(1+$G836-0.05*(1-$K836))^5+Assumptions!$C$6*Assumptions!$C$8*(1+Assumptions!$C$11)^5+Assumptions!$C$16*$K836+Assumptions!$C$6*Assumptions!$C$9*(1+Assumptions!$C$12)^5</f>
        <v>700.9997972</v>
      </c>
      <c r="Q836" s="139">
        <f>($L836*(1-(Assumptions!$C$25+0.06*(1-1))-Assumptions!$C$27)-Assumptions!$C$28)-MAX(0,($L836*(1-(Assumptions!$C$25+0.06*(1-1))-Assumptions!$C$27)-Assumptions!$C$28)*Assumptions!$C$31)+Assumptions!$C$28-Assumptions!$C$29-$L836*Assumptions!$C$30</f>
        <v>92.62197524</v>
      </c>
      <c r="R836" s="139">
        <f>($M836*(1-(Assumptions!$C$25+0.06*(1-$H836))-Assumptions!$C$27)-Assumptions!$C$28)-MAX(0,($M836*(1-(Assumptions!$C$25+0.06*(1-$H836))-Assumptions!$C$27)-Assumptions!$C$28)*Assumptions!$C$31)+Assumptions!$C$28-Assumptions!$C$29-$M836*Assumptions!$C$30</f>
        <v>98.18532883</v>
      </c>
      <c r="S836" s="139">
        <f>($N836*(1-(Assumptions!$C$25+0.06*(1-$I836))-Assumptions!$C$27)-Assumptions!$C$28)-MAX(0,($N836*(1-(Assumptions!$C$25+0.06*(1-$I836))-Assumptions!$C$27)-Assumptions!$C$28)*Assumptions!$C$31)+Assumptions!$C$28-Assumptions!$C$29-$N836*Assumptions!$C$30</f>
        <v>104.0022187</v>
      </c>
      <c r="T836" s="139">
        <f>($O836*(1-(Assumptions!$C$25+0.06*(1-$J836))-Assumptions!$C$27)-Assumptions!$C$28)-MAX(0,($O836*(1-(Assumptions!$C$25+0.06*(1-$J836))-Assumptions!$C$27)-Assumptions!$C$28)*Assumptions!$C$31)+Assumptions!$C$28-Assumptions!$C$29-$O836*Assumptions!$C$30</f>
        <v>39.27912122</v>
      </c>
      <c r="U836" s="139">
        <f>($P836*(1-(Assumptions!$C$25+0.06*(1-$K836))-Assumptions!$C$27)-Assumptions!$C$28)-MAX(0,($P836*(1-(Assumptions!$C$25+0.06*(1-$K836))-Assumptions!$C$27)-Assumptions!$C$28)*Assumptions!$C$31)+Assumptions!$C$28-Assumptions!$C$29-$P836*Assumptions!$C$30</f>
        <v>41.22995335</v>
      </c>
      <c r="V836" s="143">
        <f>(($Q836/(1+$D836)^1+$R836/(1+$D836)^2+$S836/(1+$D836)^3+$T836/(1+$D836)^4+$U836/(1+$D836)^5+$U836*(1+$E836)/($D836-$E836)/(1+$D836)^5)-Assumptions!$C$37)/Assumptions!$C$40/Assumptions!$C$38</f>
        <v>-0.4481326509</v>
      </c>
    </row>
    <row r="837" ht="12.0" customHeight="1">
      <c r="B837" s="139">
        <v>785.0</v>
      </c>
      <c r="C837" s="140">
        <f t="shared" si="6"/>
        <v>0.2434709621</v>
      </c>
      <c r="D837" s="141">
        <f t="shared" si="7"/>
        <v>0.09408496869</v>
      </c>
      <c r="E837" s="141">
        <f t="shared" si="8"/>
        <v>0.02759710009</v>
      </c>
      <c r="F837" s="140">
        <f t="shared" si="9"/>
        <v>0.8463101808</v>
      </c>
      <c r="G837" s="141">
        <f t="shared" si="10"/>
        <v>0.07336745135</v>
      </c>
      <c r="H837" s="142">
        <f t="shared" si="11"/>
        <v>0</v>
      </c>
      <c r="I837" s="142">
        <f t="shared" si="12"/>
        <v>0</v>
      </c>
      <c r="J837" s="142">
        <f t="shared" si="13"/>
        <v>1</v>
      </c>
      <c r="K837" s="142">
        <f t="shared" si="14"/>
        <v>0</v>
      </c>
      <c r="L837" s="139">
        <f>Assumptions!$C$6*Assumptions!$C$7*(1+$G837-0.05*(1-1))^1+Assumptions!$C$6*Assumptions!$C$8*(1+Assumptions!$C$11)^1+Assumptions!$C$16*1+Assumptions!$C$6*Assumptions!$C$9*(1+Assumptions!$C$12)^1</f>
        <v>751.1634841</v>
      </c>
      <c r="M837" s="139">
        <f>Assumptions!$C$6*Assumptions!$C$7*(1+$G837-0.05*(1-$H837))^2+Assumptions!$C$6*Assumptions!$C$8*(1+Assumptions!$C$11)^2+Assumptions!$C$16*$H837+Assumptions!$C$6*Assumptions!$C$9*(1+Assumptions!$C$12)^2</f>
        <v>688.9801246</v>
      </c>
      <c r="N837" s="139">
        <f>Assumptions!$C$6*Assumptions!$C$7*(1+$G837-0.05*(1-$I837))^3+Assumptions!$C$6*Assumptions!$C$8*(1+Assumptions!$C$11)^3+Assumptions!$C$16*$I837+Assumptions!$C$6*Assumptions!$C$9*(1+Assumptions!$C$12)^3</f>
        <v>703.9468034</v>
      </c>
      <c r="O837" s="139">
        <f>Assumptions!$C$6*Assumptions!$C$7*(1+$G837-0.05*(1-$J837))^4+Assumptions!$C$6*Assumptions!$C$8*(1+Assumptions!$C$11)^4+Assumptions!$C$16*$J837+Assumptions!$C$6*Assumptions!$C$9*(1+Assumptions!$C$12)^4</f>
        <v>856.8530399</v>
      </c>
      <c r="P837" s="139">
        <f>Assumptions!$C$6*Assumptions!$C$7*(1+$G837-0.05*(1-$K837))^5+Assumptions!$C$6*Assumptions!$C$8*(1+Assumptions!$C$11)^5+Assumptions!$C$16*$K837+Assumptions!$C$6*Assumptions!$C$9*(1+Assumptions!$C$12)^5</f>
        <v>734.8685682</v>
      </c>
      <c r="Q837" s="139">
        <f>($L837*(1-(Assumptions!$C$25+0.06*(1-1))-Assumptions!$C$27)-Assumptions!$C$28)-MAX(0,($L837*(1-(Assumptions!$C$25+0.06*(1-1))-Assumptions!$C$27)-Assumptions!$C$28)*Assumptions!$C$31)+Assumptions!$C$28-Assumptions!$C$29-$L837*Assumptions!$C$30</f>
        <v>94.00014909</v>
      </c>
      <c r="R837" s="139">
        <f>($M837*(1-(Assumptions!$C$25+0.06*(1-$H837))-Assumptions!$C$27)-Assumptions!$C$28)-MAX(0,($M837*(1-(Assumptions!$C$25+0.06*(1-$H837))-Assumptions!$C$27)-Assumptions!$C$28)*Assumptions!$C$31)+Assumptions!$C$28-Assumptions!$C$29-$M837*Assumptions!$C$30</f>
        <v>38.46542865</v>
      </c>
      <c r="S837" s="139">
        <f>($N837*(1-(Assumptions!$C$25+0.06*(1-$I837))-Assumptions!$C$27)-Assumptions!$C$28)-MAX(0,($N837*(1-(Assumptions!$C$25+0.06*(1-$I837))-Assumptions!$C$27)-Assumptions!$C$28)*Assumptions!$C$31)+Assumptions!$C$28-Assumptions!$C$29-$N837*Assumptions!$C$30</f>
        <v>41.90776478</v>
      </c>
      <c r="T837" s="139">
        <f>($O837*(1-(Assumptions!$C$25+0.06*(1-$J837))-Assumptions!$C$27)-Assumptions!$C$28)-MAX(0,($O837*(1-(Assumptions!$C$25+0.06*(1-$J837))-Assumptions!$C$27)-Assumptions!$C$28)*Assumptions!$C$31)+Assumptions!$C$28-Assumptions!$C$29-$O837*Assumptions!$C$30</f>
        <v>116.7234036</v>
      </c>
      <c r="U837" s="139">
        <f>($P837*(1-(Assumptions!$C$25+0.06*(1-$K837))-Assumptions!$C$27)-Assumptions!$C$28)-MAX(0,($P837*(1-(Assumptions!$C$25+0.06*(1-$K837))-Assumptions!$C$27)-Assumptions!$C$28)*Assumptions!$C$31)+Assumptions!$C$28-Assumptions!$C$29-$P837*Assumptions!$C$30</f>
        <v>49.01977069</v>
      </c>
      <c r="V837" s="143">
        <f>(($Q837/(1+$D837)^1+$R837/(1+$D837)^2+$S837/(1+$D837)^3+$T837/(1+$D837)^4+$U837/(1+$D837)^5+$U837*(1+$E837)/($D837-$E837)/(1+$D837)^5)-Assumptions!$C$37)/Assumptions!$C$40/Assumptions!$C$38</f>
        <v>0.4242126049</v>
      </c>
    </row>
    <row r="838" ht="12.0" customHeight="1">
      <c r="B838" s="139">
        <v>786.0</v>
      </c>
      <c r="C838" s="140">
        <f t="shared" si="6"/>
        <v>0.8747300621</v>
      </c>
      <c r="D838" s="141">
        <f t="shared" si="7"/>
        <v>0.1066168959</v>
      </c>
      <c r="E838" s="141">
        <f t="shared" si="8"/>
        <v>0.01701263446</v>
      </c>
      <c r="F838" s="140">
        <f t="shared" si="9"/>
        <v>0.7441495526</v>
      </c>
      <c r="G838" s="141">
        <f t="shared" si="10"/>
        <v>0.06854001851</v>
      </c>
      <c r="H838" s="142">
        <f t="shared" si="11"/>
        <v>1</v>
      </c>
      <c r="I838" s="142">
        <f t="shared" si="12"/>
        <v>1</v>
      </c>
      <c r="J838" s="142">
        <f t="shared" si="13"/>
        <v>1</v>
      </c>
      <c r="K838" s="142">
        <f t="shared" si="14"/>
        <v>0</v>
      </c>
      <c r="L838" s="139">
        <f>Assumptions!$C$6*Assumptions!$C$7*(1+$G838-0.05*(1-1))^1+Assumptions!$C$6*Assumptions!$C$8*(1+Assumptions!$C$11)^1+Assumptions!$C$16*1+Assumptions!$C$6*Assumptions!$C$9*(1+Assumptions!$C$12)^1</f>
        <v>749.5385702</v>
      </c>
      <c r="M838" s="139">
        <f>Assumptions!$C$6*Assumptions!$C$7*(1+$G838-0.05*(1-$H838))^2+Assumptions!$C$6*Assumptions!$C$8*(1+Assumptions!$C$11)^2+Assumptions!$C$16*$H838+Assumptions!$C$6*Assumptions!$C$9*(1+Assumptions!$C$12)^2</f>
        <v>780.7877578</v>
      </c>
      <c r="N838" s="139">
        <f>Assumptions!$C$6*Assumptions!$C$7*(1+$G838-0.05*(1-$I838))^3+Assumptions!$C$6*Assumptions!$C$8*(1+Assumptions!$C$11)^3+Assumptions!$C$16*$I838+Assumptions!$C$6*Assumptions!$C$9*(1+Assumptions!$C$12)^3</f>
        <v>813.8585292</v>
      </c>
      <c r="O838" s="139">
        <f>Assumptions!$C$6*Assumptions!$C$7*(1+$G838-0.05*(1-$J838))^4+Assumptions!$C$6*Assumptions!$C$8*(1+Assumptions!$C$11)^4+Assumptions!$C$16*$J838+Assumptions!$C$6*Assumptions!$C$9*(1+Assumptions!$C$12)^4</f>
        <v>848.8693313</v>
      </c>
      <c r="P838" s="139">
        <f>Assumptions!$C$6*Assumptions!$C$7*(1+$G838-0.05*(1-$K838))^5+Assumptions!$C$6*Assumptions!$C$8*(1+Assumptions!$C$11)^5+Assumptions!$C$16*$K838+Assumptions!$C$6*Assumptions!$C$9*(1+Assumptions!$C$12)^5</f>
        <v>726.0412362</v>
      </c>
      <c r="Q838" s="139">
        <f>($L838*(1-(Assumptions!$C$25+0.06*(1-1))-Assumptions!$C$27)-Assumptions!$C$28)-MAX(0,($L838*(1-(Assumptions!$C$25+0.06*(1-1))-Assumptions!$C$27)-Assumptions!$C$28)*Assumptions!$C$31)+Assumptions!$C$28-Assumptions!$C$29-$L838*Assumptions!$C$30</f>
        <v>93.6507926</v>
      </c>
      <c r="R838" s="139">
        <f>($M838*(1-(Assumptions!$C$25+0.06*(1-$H838))-Assumptions!$C$27)-Assumptions!$C$28)-MAX(0,($M838*(1-(Assumptions!$C$25+0.06*(1-$H838))-Assumptions!$C$27)-Assumptions!$C$28)*Assumptions!$C$31)+Assumptions!$C$28-Assumptions!$C$29-$M838*Assumptions!$C$30</f>
        <v>100.3693679</v>
      </c>
      <c r="S838" s="139">
        <f>($N838*(1-(Assumptions!$C$25+0.06*(1-$I838))-Assumptions!$C$27)-Assumptions!$C$28)-MAX(0,($N838*(1-(Assumptions!$C$25+0.06*(1-$I838))-Assumptions!$C$27)-Assumptions!$C$28)*Assumptions!$C$31)+Assumptions!$C$28-Assumptions!$C$29-$N838*Assumptions!$C$30</f>
        <v>107.4795838</v>
      </c>
      <c r="T838" s="139">
        <f>($O838*(1-(Assumptions!$C$25+0.06*(1-$J838))-Assumptions!$C$27)-Assumptions!$C$28)-MAX(0,($O838*(1-(Assumptions!$C$25+0.06*(1-$J838))-Assumptions!$C$27)-Assumptions!$C$28)*Assumptions!$C$31)+Assumptions!$C$28-Assumptions!$C$29-$O838*Assumptions!$C$30</f>
        <v>115.0069062</v>
      </c>
      <c r="U838" s="139">
        <f>($P838*(1-(Assumptions!$C$25+0.06*(1-$K838))-Assumptions!$C$27)-Assumptions!$C$28)-MAX(0,($P838*(1-(Assumptions!$C$25+0.06*(1-$K838))-Assumptions!$C$27)-Assumptions!$C$28)*Assumptions!$C$31)+Assumptions!$C$28-Assumptions!$C$29-$P838*Assumptions!$C$30</f>
        <v>46.98948433</v>
      </c>
      <c r="V838" s="143">
        <f>(($Q838/(1+$D838)^1+$R838/(1+$D838)^2+$S838/(1+$D838)^3+$T838/(1+$D838)^4+$U838/(1+$D838)^5+$U838*(1+$E838)/($D838-$E838)/(1+$D838)^5)-Assumptions!$C$37)/Assumptions!$C$40/Assumptions!$C$38</f>
        <v>-0.1515608223</v>
      </c>
    </row>
    <row r="839" ht="12.0" customHeight="1">
      <c r="B839" s="139">
        <v>787.0</v>
      </c>
      <c r="C839" s="140">
        <f t="shared" si="6"/>
        <v>0.965759391</v>
      </c>
      <c r="D839" s="141">
        <f t="shared" si="7"/>
        <v>0.1106171948</v>
      </c>
      <c r="E839" s="141">
        <f t="shared" si="8"/>
        <v>0.01229474601</v>
      </c>
      <c r="F839" s="140">
        <f t="shared" si="9"/>
        <v>0.6821954037</v>
      </c>
      <c r="G839" s="141">
        <f t="shared" si="10"/>
        <v>0.06608246933</v>
      </c>
      <c r="H839" s="142">
        <f t="shared" si="11"/>
        <v>0</v>
      </c>
      <c r="I839" s="142">
        <f t="shared" si="12"/>
        <v>1</v>
      </c>
      <c r="J839" s="142">
        <f t="shared" si="13"/>
        <v>0</v>
      </c>
      <c r="K839" s="142">
        <f t="shared" si="14"/>
        <v>1</v>
      </c>
      <c r="L839" s="139">
        <f>Assumptions!$C$6*Assumptions!$C$7*(1+$G839-0.05*(1-1))^1+Assumptions!$C$6*Assumptions!$C$8*(1+Assumptions!$C$11)^1+Assumptions!$C$16*1+Assumptions!$C$6*Assumptions!$C$9*(1+Assumptions!$C$12)^1</f>
        <v>748.7113592</v>
      </c>
      <c r="M839" s="139">
        <f>Assumptions!$C$6*Assumptions!$C$7*(1+$G839-0.05*(1-$H839))^2+Assumptions!$C$6*Assumptions!$C$8*(1+Assumptions!$C$11)^2+Assumptions!$C$16*$H839+Assumptions!$C$6*Assumptions!$C$9*(1+Assumptions!$C$12)^2</f>
        <v>683.9791385</v>
      </c>
      <c r="N839" s="139">
        <f>Assumptions!$C$6*Assumptions!$C$7*(1+$G839-0.05*(1-$I839))^3+Assumptions!$C$6*Assumptions!$C$8*(1+Assumptions!$C$11)^3+Assumptions!$C$16*$I839+Assumptions!$C$6*Assumptions!$C$9*(1+Assumptions!$C$12)^3</f>
        <v>811.0315674</v>
      </c>
      <c r="O839" s="139">
        <f>Assumptions!$C$6*Assumptions!$C$7*(1+$G839-0.05*(1-$J839))^4+Assumptions!$C$6*Assumptions!$C$8*(1+Assumptions!$C$11)^4+Assumptions!$C$16*$J839+Assumptions!$C$6*Assumptions!$C$9*(1+Assumptions!$C$12)^4</f>
        <v>708.8399814</v>
      </c>
      <c r="P839" s="139">
        <f>Assumptions!$C$6*Assumptions!$C$7*(1+$G839-0.05*(1-$K839))^5+Assumptions!$C$6*Assumptions!$C$8*(1+Assumptions!$C$11)^5+Assumptions!$C$16*$K839+Assumptions!$C$6*Assumptions!$C$9*(1+Assumptions!$C$12)^5</f>
        <v>880.5793508</v>
      </c>
      <c r="Q839" s="139">
        <f>($L839*(1-(Assumptions!$C$25+0.06*(1-1))-Assumptions!$C$27)-Assumptions!$C$28)-MAX(0,($L839*(1-(Assumptions!$C$25+0.06*(1-1))-Assumptions!$C$27)-Assumptions!$C$28)*Assumptions!$C$31)+Assumptions!$C$28-Assumptions!$C$29-$L839*Assumptions!$C$30</f>
        <v>93.47294222</v>
      </c>
      <c r="R839" s="139">
        <f>($M839*(1-(Assumptions!$C$25+0.06*(1-$H839))-Assumptions!$C$27)-Assumptions!$C$28)-MAX(0,($M839*(1-(Assumptions!$C$25+0.06*(1-$H839))-Assumptions!$C$27)-Assumptions!$C$28)*Assumptions!$C$31)+Assumptions!$C$28-Assumptions!$C$29-$M839*Assumptions!$C$30</f>
        <v>37.31520186</v>
      </c>
      <c r="S839" s="139">
        <f>($N839*(1-(Assumptions!$C$25+0.06*(1-$I839))-Assumptions!$C$27)-Assumptions!$C$28)-MAX(0,($N839*(1-(Assumptions!$C$25+0.06*(1-$I839))-Assumptions!$C$27)-Assumptions!$C$28)*Assumptions!$C$31)+Assumptions!$C$28-Assumptions!$C$29-$N839*Assumptions!$C$30</f>
        <v>106.871787</v>
      </c>
      <c r="T839" s="139">
        <f>($O839*(1-(Assumptions!$C$25+0.06*(1-$J839))-Assumptions!$C$27)-Assumptions!$C$28)-MAX(0,($O839*(1-(Assumptions!$C$25+0.06*(1-$J839))-Assumptions!$C$27)-Assumptions!$C$28)*Assumptions!$C$31)+Assumptions!$C$28-Assumptions!$C$29-$O839*Assumptions!$C$30</f>
        <v>43.03319573</v>
      </c>
      <c r="U839" s="139">
        <f>($P839*(1-(Assumptions!$C$25+0.06*(1-$K839))-Assumptions!$C$27)-Assumptions!$C$28)-MAX(0,($P839*(1-(Assumptions!$C$25+0.06*(1-$K839))-Assumptions!$C$27)-Assumptions!$C$28)*Assumptions!$C$31)+Assumptions!$C$28-Assumptions!$C$29-$P839*Assumptions!$C$30</f>
        <v>121.8245604</v>
      </c>
      <c r="V839" s="143">
        <f>(($Q839/(1+$D839)^1+$R839/(1+$D839)^2+$S839/(1+$D839)^3+$T839/(1+$D839)^4+$U839/(1+$D839)^5+$U839*(1+$E839)/($D839-$E839)/(1+$D839)^5)-Assumptions!$C$37)/Assumptions!$C$40/Assumptions!$C$38</f>
        <v>2.679791078</v>
      </c>
    </row>
    <row r="840" ht="12.0" customHeight="1">
      <c r="B840" s="139">
        <v>788.0</v>
      </c>
      <c r="C840" s="140">
        <f t="shared" si="6"/>
        <v>0.152500971</v>
      </c>
      <c r="D840" s="141">
        <f t="shared" si="7"/>
        <v>0.09219012025</v>
      </c>
      <c r="E840" s="141">
        <f t="shared" si="8"/>
        <v>0.02598244819</v>
      </c>
      <c r="F840" s="140">
        <f t="shared" si="9"/>
        <v>0.3068696241</v>
      </c>
      <c r="G840" s="141">
        <f t="shared" si="10"/>
        <v>0.05350245356</v>
      </c>
      <c r="H840" s="142">
        <f t="shared" si="11"/>
        <v>1</v>
      </c>
      <c r="I840" s="142">
        <f t="shared" si="12"/>
        <v>1</v>
      </c>
      <c r="J840" s="142">
        <f t="shared" si="13"/>
        <v>0</v>
      </c>
      <c r="K840" s="142">
        <f t="shared" si="14"/>
        <v>1</v>
      </c>
      <c r="L840" s="139">
        <f>Assumptions!$C$6*Assumptions!$C$7*(1+$G840-0.05*(1-1))^1+Assumptions!$C$6*Assumptions!$C$8*(1+Assumptions!$C$11)^1+Assumptions!$C$16*1+Assumptions!$C$6*Assumptions!$C$9*(1+Assumptions!$C$12)^1</f>
        <v>744.4769259</v>
      </c>
      <c r="M840" s="139">
        <f>Assumptions!$C$6*Assumptions!$C$7*(1+$G840-0.05*(1-$H840))^2+Assumptions!$C$6*Assumptions!$C$8*(1+Assumptions!$C$11)^2+Assumptions!$C$16*$H840+Assumptions!$C$6*Assumptions!$C$9*(1+Assumptions!$C$12)^2</f>
        <v>770.0467335</v>
      </c>
      <c r="N840" s="139">
        <f>Assumptions!$C$6*Assumptions!$C$7*(1+$G840-0.05*(1-$I840))^3+Assumptions!$C$6*Assumptions!$C$8*(1+Assumptions!$C$11)^3+Assumptions!$C$16*$I840+Assumptions!$C$6*Assumptions!$C$9*(1+Assumptions!$C$12)^3</f>
        <v>796.7635607</v>
      </c>
      <c r="O840" s="139">
        <f>Assumptions!$C$6*Assumptions!$C$7*(1+$G840-0.05*(1-$J840))^4+Assumptions!$C$6*Assumptions!$C$8*(1+Assumptions!$C$11)^4+Assumptions!$C$16*$J840+Assumptions!$C$6*Assumptions!$C$9*(1+Assumptions!$C$12)^4</f>
        <v>691.3990967</v>
      </c>
      <c r="P840" s="139">
        <f>Assumptions!$C$6*Assumptions!$C$7*(1+$G840-0.05*(1-$K840))^5+Assumptions!$C$6*Assumptions!$C$8*(1+Assumptions!$C$11)^5+Assumptions!$C$16*$K840+Assumptions!$C$6*Assumptions!$C$9*(1+Assumptions!$C$12)^5</f>
        <v>853.8690241</v>
      </c>
      <c r="Q840" s="139">
        <f>($L840*(1-(Assumptions!$C$25+0.06*(1-1))-Assumptions!$C$27)-Assumptions!$C$28)-MAX(0,($L840*(1-(Assumptions!$C$25+0.06*(1-1))-Assumptions!$C$27)-Assumptions!$C$28)*Assumptions!$C$31)+Assumptions!$C$28-Assumptions!$C$29-$L840*Assumptions!$C$30</f>
        <v>92.56253906</v>
      </c>
      <c r="R840" s="139">
        <f>($M840*(1-(Assumptions!$C$25+0.06*(1-$H840))-Assumptions!$C$27)-Assumptions!$C$28)-MAX(0,($M840*(1-(Assumptions!$C$25+0.06*(1-$H840))-Assumptions!$C$27)-Assumptions!$C$28)*Assumptions!$C$31)+Assumptions!$C$28-Assumptions!$C$29-$M840*Assumptions!$C$30</f>
        <v>98.06004769</v>
      </c>
      <c r="S840" s="139">
        <f>($N840*(1-(Assumptions!$C$25+0.06*(1-$I840))-Assumptions!$C$27)-Assumptions!$C$28)-MAX(0,($N840*(1-(Assumptions!$C$25+0.06*(1-$I840))-Assumptions!$C$27)-Assumptions!$C$28)*Assumptions!$C$31)+Assumptions!$C$28-Assumptions!$C$29-$N840*Assumptions!$C$30</f>
        <v>103.8041656</v>
      </c>
      <c r="T840" s="139">
        <f>($O840*(1-(Assumptions!$C$25+0.06*(1-$J840))-Assumptions!$C$27)-Assumptions!$C$28)-MAX(0,($O840*(1-(Assumptions!$C$25+0.06*(1-$J840))-Assumptions!$C$27)-Assumptions!$C$28)*Assumptions!$C$31)+Assumptions!$C$28-Assumptions!$C$29-$O840*Assumptions!$C$30</f>
        <v>39.02179224</v>
      </c>
      <c r="U840" s="139">
        <f>($P840*(1-(Assumptions!$C$25+0.06*(1-$K840))-Assumptions!$C$27)-Assumptions!$C$28)-MAX(0,($P840*(1-(Assumptions!$C$25+0.06*(1-$K840))-Assumptions!$C$27)-Assumptions!$C$28)*Assumptions!$C$31)+Assumptions!$C$28-Assumptions!$C$29-$P840*Assumptions!$C$30</f>
        <v>116.0818402</v>
      </c>
      <c r="V840" s="143">
        <f>(($Q840/(1+$D840)^1+$R840/(1+$D840)^2+$S840/(1+$D840)^3+$T840/(1+$D840)^4+$U840/(1+$D840)^5+$U840*(1+$E840)/($D840-$E840)/(1+$D840)^5)-Assumptions!$C$37)/Assumptions!$C$40/Assumptions!$C$38</f>
        <v>6.356328146</v>
      </c>
    </row>
    <row r="841" ht="12.0" customHeight="1">
      <c r="B841" s="139">
        <v>789.0</v>
      </c>
      <c r="C841" s="140">
        <f t="shared" si="6"/>
        <v>0.1246200637</v>
      </c>
      <c r="D841" s="141">
        <f t="shared" si="7"/>
        <v>0.09149970781</v>
      </c>
      <c r="E841" s="141">
        <f t="shared" si="8"/>
        <v>0.01448011942</v>
      </c>
      <c r="F841" s="140">
        <f t="shared" si="9"/>
        <v>0.6365726704</v>
      </c>
      <c r="G841" s="141">
        <f t="shared" si="10"/>
        <v>0.06442326852</v>
      </c>
      <c r="H841" s="142">
        <f t="shared" si="11"/>
        <v>0</v>
      </c>
      <c r="I841" s="142">
        <f t="shared" si="12"/>
        <v>1</v>
      </c>
      <c r="J841" s="142">
        <f t="shared" si="13"/>
        <v>1</v>
      </c>
      <c r="K841" s="142">
        <f t="shared" si="14"/>
        <v>1</v>
      </c>
      <c r="L841" s="139">
        <f>Assumptions!$C$6*Assumptions!$C$7*(1+$G841-0.05*(1-1))^1+Assumptions!$C$6*Assumptions!$C$8*(1+Assumptions!$C$11)^1+Assumptions!$C$16*1+Assumptions!$C$6*Assumptions!$C$9*(1+Assumptions!$C$12)^1</f>
        <v>748.1528722</v>
      </c>
      <c r="M841" s="139">
        <f>Assumptions!$C$6*Assumptions!$C$7*(1+$G841-0.05*(1-$H841))^2+Assumptions!$C$6*Assumptions!$C$8*(1+Assumptions!$C$11)^2+Assumptions!$C$16*$H841+Assumptions!$C$6*Assumptions!$C$9*(1+Assumptions!$C$12)^2</f>
        <v>682.8451275</v>
      </c>
      <c r="N841" s="139">
        <f>Assumptions!$C$6*Assumptions!$C$7*(1+$G841-0.05*(1-$I841))^3+Assumptions!$C$6*Assumptions!$C$8*(1+Assumptions!$C$11)^3+Assumptions!$C$16*$I841+Assumptions!$C$6*Assumptions!$C$9*(1+Assumptions!$C$12)^3</f>
        <v>809.1303148</v>
      </c>
      <c r="O841" s="139">
        <f>Assumptions!$C$6*Assumptions!$C$7*(1+$G841-0.05*(1-$J841))^4+Assumptions!$C$6*Assumptions!$C$8*(1+Assumptions!$C$11)^4+Assumptions!$C$16*$J841+Assumptions!$C$6*Assumptions!$C$9*(1+Assumptions!$C$12)^4</f>
        <v>842.1459093</v>
      </c>
      <c r="P841" s="139">
        <f>Assumptions!$C$6*Assumptions!$C$7*(1+$G841-0.05*(1-$K841))^5+Assumptions!$C$6*Assumptions!$C$8*(1+Assumptions!$C$11)^5+Assumptions!$C$16*$K841+Assumptions!$C$6*Assumptions!$C$9*(1+Assumptions!$C$12)^5</f>
        <v>876.9835598</v>
      </c>
      <c r="Q841" s="139">
        <f>($L841*(1-(Assumptions!$C$25+0.06*(1-1))-Assumptions!$C$27)-Assumptions!$C$28)-MAX(0,($L841*(1-(Assumptions!$C$25+0.06*(1-1))-Assumptions!$C$27)-Assumptions!$C$28)*Assumptions!$C$31)+Assumptions!$C$28-Assumptions!$C$29-$L841*Assumptions!$C$30</f>
        <v>93.35286752</v>
      </c>
      <c r="R841" s="139">
        <f>($M841*(1-(Assumptions!$C$25+0.06*(1-$H841))-Assumptions!$C$27)-Assumptions!$C$28)-MAX(0,($M841*(1-(Assumptions!$C$25+0.06*(1-$H841))-Assumptions!$C$27)-Assumptions!$C$28)*Assumptions!$C$31)+Assumptions!$C$28-Assumptions!$C$29-$M841*Assumptions!$C$30</f>
        <v>37.05437932</v>
      </c>
      <c r="S841" s="139">
        <f>($N841*(1-(Assumptions!$C$25+0.06*(1-$I841))-Assumptions!$C$27)-Assumptions!$C$28)-MAX(0,($N841*(1-(Assumptions!$C$25+0.06*(1-$I841))-Assumptions!$C$27)-Assumptions!$C$28)*Assumptions!$C$31)+Assumptions!$C$28-Assumptions!$C$29-$N841*Assumptions!$C$30</f>
        <v>106.4630177</v>
      </c>
      <c r="T841" s="139">
        <f>($O841*(1-(Assumptions!$C$25+0.06*(1-$J841))-Assumptions!$C$27)-Assumptions!$C$28)-MAX(0,($O841*(1-(Assumptions!$C$25+0.06*(1-$J841))-Assumptions!$C$27)-Assumptions!$C$28)*Assumptions!$C$31)+Assumptions!$C$28-Assumptions!$C$29-$O841*Assumptions!$C$30</f>
        <v>113.5613705</v>
      </c>
      <c r="U841" s="139">
        <f>($P841*(1-(Assumptions!$C$25+0.06*(1-$K841))-Assumptions!$C$27)-Assumptions!$C$28)-MAX(0,($P841*(1-(Assumptions!$C$25+0.06*(1-$K841))-Assumptions!$C$27)-Assumptions!$C$28)*Assumptions!$C$31)+Assumptions!$C$28-Assumptions!$C$29-$P841*Assumptions!$C$30</f>
        <v>121.0514654</v>
      </c>
      <c r="V841" s="143">
        <f>(($Q841/(1+$D841)^1+$R841/(1+$D841)^2+$S841/(1+$D841)^3+$T841/(1+$D841)^4+$U841/(1+$D841)^5+$U841*(1+$E841)/($D841-$E841)/(1+$D841)^5)-Assumptions!$C$37)/Assumptions!$C$40/Assumptions!$C$38</f>
        <v>5.416978587</v>
      </c>
    </row>
    <row r="842" ht="12.0" customHeight="1">
      <c r="B842" s="139">
        <v>790.0</v>
      </c>
      <c r="C842" s="140">
        <f t="shared" si="6"/>
        <v>0.5040830869</v>
      </c>
      <c r="D842" s="141">
        <f t="shared" si="7"/>
        <v>0.09832039005</v>
      </c>
      <c r="E842" s="141">
        <f t="shared" si="8"/>
        <v>0.01729218912</v>
      </c>
      <c r="F842" s="140">
        <f t="shared" si="9"/>
        <v>0.7869302076</v>
      </c>
      <c r="G842" s="141">
        <f t="shared" si="10"/>
        <v>0.07041618969</v>
      </c>
      <c r="H842" s="142">
        <f t="shared" si="11"/>
        <v>1</v>
      </c>
      <c r="I842" s="142">
        <f t="shared" si="12"/>
        <v>1</v>
      </c>
      <c r="J842" s="142">
        <f t="shared" si="13"/>
        <v>1</v>
      </c>
      <c r="K842" s="142">
        <f t="shared" si="14"/>
        <v>1</v>
      </c>
      <c r="L842" s="139">
        <f>Assumptions!$C$6*Assumptions!$C$7*(1+$G842-0.05*(1-1))^1+Assumptions!$C$6*Assumptions!$C$8*(1+Assumptions!$C$11)^1+Assumptions!$C$16*1+Assumptions!$C$6*Assumptions!$C$9*(1+Assumptions!$C$12)^1</f>
        <v>750.1700894</v>
      </c>
      <c r="M842" s="139">
        <f>Assumptions!$C$6*Assumptions!$C$7*(1+$G842-0.05*(1-$H842))^2+Assumptions!$C$6*Assumptions!$C$8*(1+Assumptions!$C$11)^2+Assumptions!$C$16*$H842+Assumptions!$C$6*Assumptions!$C$9*(1+Assumptions!$C$12)^2</f>
        <v>782.1385497</v>
      </c>
      <c r="N842" s="139">
        <f>Assumptions!$C$6*Assumptions!$C$7*(1+$G842-0.05*(1-$I842))^3+Assumptions!$C$6*Assumptions!$C$8*(1+Assumptions!$C$11)^3+Assumptions!$C$16*$I842+Assumptions!$C$6*Assumptions!$C$9*(1+Assumptions!$C$12)^3</f>
        <v>816.0254934</v>
      </c>
      <c r="O842" s="139">
        <f>Assumptions!$C$6*Assumptions!$C$7*(1+$G842-0.05*(1-$J842))^4+Assumptions!$C$6*Assumptions!$C$8*(1+Assumptions!$C$11)^4+Assumptions!$C$16*$J842+Assumptions!$C$6*Assumptions!$C$9*(1+Assumptions!$C$12)^4</f>
        <v>851.9593605</v>
      </c>
      <c r="P842" s="139">
        <f>Assumptions!$C$6*Assumptions!$C$7*(1+$G842-0.05*(1-$K842))^5+Assumptions!$C$6*Assumptions!$C$8*(1+Assumptions!$C$11)^5+Assumptions!$C$16*$K842+Assumptions!$C$6*Assumptions!$C$9*(1+Assumptions!$C$12)^5</f>
        <v>890.0775023</v>
      </c>
      <c r="Q842" s="139">
        <f>($L842*(1-(Assumptions!$C$25+0.06*(1-1))-Assumptions!$C$27)-Assumptions!$C$28)-MAX(0,($L842*(1-(Assumptions!$C$25+0.06*(1-1))-Assumptions!$C$27)-Assumptions!$C$28)*Assumptions!$C$31)+Assumptions!$C$28-Assumptions!$C$29-$L842*Assumptions!$C$30</f>
        <v>93.78656923</v>
      </c>
      <c r="R842" s="139">
        <f>($M842*(1-(Assumptions!$C$25+0.06*(1-$H842))-Assumptions!$C$27)-Assumptions!$C$28)-MAX(0,($M842*(1-(Assumptions!$C$25+0.06*(1-$H842))-Assumptions!$C$27)-Assumptions!$C$28)*Assumptions!$C$31)+Assumptions!$C$28-Assumptions!$C$29-$M842*Assumptions!$C$30</f>
        <v>100.6597882</v>
      </c>
      <c r="S842" s="139">
        <f>($N842*(1-(Assumptions!$C$25+0.06*(1-$I842))-Assumptions!$C$27)-Assumptions!$C$28)-MAX(0,($N842*(1-(Assumptions!$C$25+0.06*(1-$I842))-Assumptions!$C$27)-Assumptions!$C$28)*Assumptions!$C$31)+Assumptions!$C$28-Assumptions!$C$29-$N842*Assumptions!$C$30</f>
        <v>107.9454811</v>
      </c>
      <c r="T842" s="139">
        <f>($O842*(1-(Assumptions!$C$25+0.06*(1-$J842))-Assumptions!$C$27)-Assumptions!$C$28)-MAX(0,($O842*(1-(Assumptions!$C$25+0.06*(1-$J842))-Assumptions!$C$27)-Assumptions!$C$28)*Assumptions!$C$31)+Assumptions!$C$28-Assumptions!$C$29-$O842*Assumptions!$C$30</f>
        <v>115.6712625</v>
      </c>
      <c r="U842" s="139">
        <f>($P842*(1-(Assumptions!$C$25+0.06*(1-$K842))-Assumptions!$C$27)-Assumptions!$C$28)-MAX(0,($P842*(1-(Assumptions!$C$25+0.06*(1-$K842))-Assumptions!$C$27)-Assumptions!$C$28)*Assumptions!$C$31)+Assumptions!$C$28-Assumptions!$C$29-$P842*Assumptions!$C$30</f>
        <v>123.866663</v>
      </c>
      <c r="V842" s="143">
        <f>(($Q842/(1+$D842)^1+$R842/(1+$D842)^2+$S842/(1+$D842)^3+$T842/(1+$D842)^4+$U842/(1+$D842)^5+$U842*(1+$E842)/($D842-$E842)/(1+$D842)^5)-Assumptions!$C$37)/Assumptions!$C$40/Assumptions!$C$38</f>
        <v>5.373911706</v>
      </c>
    </row>
    <row r="843" ht="12.0" customHeight="1">
      <c r="B843" s="139">
        <v>791.0</v>
      </c>
      <c r="C843" s="140">
        <f t="shared" si="6"/>
        <v>0.3316678702</v>
      </c>
      <c r="D843" s="141">
        <f t="shared" si="7"/>
        <v>0.09560355638</v>
      </c>
      <c r="E843" s="141">
        <f t="shared" si="8"/>
        <v>0.01173383921</v>
      </c>
      <c r="F843" s="140">
        <f t="shared" si="9"/>
        <v>0.8532080456</v>
      </c>
      <c r="G843" s="141">
        <f t="shared" si="10"/>
        <v>0.07374498484</v>
      </c>
      <c r="H843" s="142">
        <f t="shared" si="11"/>
        <v>0</v>
      </c>
      <c r="I843" s="142">
        <f t="shared" si="12"/>
        <v>1</v>
      </c>
      <c r="J843" s="142">
        <f t="shared" si="13"/>
        <v>0</v>
      </c>
      <c r="K843" s="142">
        <f t="shared" si="14"/>
        <v>1</v>
      </c>
      <c r="L843" s="139">
        <f>Assumptions!$C$6*Assumptions!$C$7*(1+$G843-0.05*(1-1))^1+Assumptions!$C$6*Assumptions!$C$8*(1+Assumptions!$C$11)^1+Assumptions!$C$16*1+Assumptions!$C$6*Assumptions!$C$9*(1+Assumptions!$C$12)^1</f>
        <v>751.2905619</v>
      </c>
      <c r="M843" s="139">
        <f>Assumptions!$C$6*Assumptions!$C$7*(1+$G843-0.05*(1-$H843))^2+Assumptions!$C$6*Assumptions!$C$8*(1+Assumptions!$C$11)^2+Assumptions!$C$16*$H843+Assumptions!$C$6*Assumptions!$C$9*(1+Assumptions!$C$12)^2</f>
        <v>689.2402671</v>
      </c>
      <c r="N843" s="139">
        <f>Assumptions!$C$6*Assumptions!$C$7*(1+$G843-0.05*(1-$I843))^3+Assumptions!$C$6*Assumptions!$C$8*(1+Assumptions!$C$11)^3+Assumptions!$C$16*$I843+Assumptions!$C$6*Assumptions!$C$9*(1+Assumptions!$C$12)^3</f>
        <v>819.8889643</v>
      </c>
      <c r="O843" s="139">
        <f>Assumptions!$C$6*Assumptions!$C$7*(1+$G843-0.05*(1-$J843))^4+Assumptions!$C$6*Assumptions!$C$8*(1+Assumptions!$C$11)^4+Assumptions!$C$16*$J843+Assumptions!$C$6*Assumptions!$C$9*(1+Assumptions!$C$12)^4</f>
        <v>719.7856403</v>
      </c>
      <c r="P843" s="139">
        <f>Assumptions!$C$6*Assumptions!$C$7*(1+$G843-0.05*(1-$K843))^5+Assumptions!$C$6*Assumptions!$C$8*(1+Assumptions!$C$11)^5+Assumptions!$C$16*$K843+Assumptions!$C$6*Assumptions!$C$9*(1+Assumptions!$C$12)^5</f>
        <v>897.4783762</v>
      </c>
      <c r="Q843" s="139">
        <f>($L843*(1-(Assumptions!$C$25+0.06*(1-1))-Assumptions!$C$27)-Assumptions!$C$28)-MAX(0,($L843*(1-(Assumptions!$C$25+0.06*(1-1))-Assumptions!$C$27)-Assumptions!$C$28)*Assumptions!$C$31)+Assumptions!$C$28-Assumptions!$C$29-$L843*Assumptions!$C$30</f>
        <v>94.02747081</v>
      </c>
      <c r="R843" s="139">
        <f>($M843*(1-(Assumptions!$C$25+0.06*(1-$H843))-Assumptions!$C$27)-Assumptions!$C$28)-MAX(0,($M843*(1-(Assumptions!$C$25+0.06*(1-$H843))-Assumptions!$C$27)-Assumptions!$C$28)*Assumptions!$C$31)+Assumptions!$C$28-Assumptions!$C$29-$M843*Assumptions!$C$30</f>
        <v>38.52526142</v>
      </c>
      <c r="S843" s="139">
        <f>($N843*(1-(Assumptions!$C$25+0.06*(1-$I843))-Assumptions!$C$27)-Assumptions!$C$28)-MAX(0,($N843*(1-(Assumptions!$C$25+0.06*(1-$I843))-Assumptions!$C$27)-Assumptions!$C$28)*Assumptions!$C$31)+Assumptions!$C$28-Assumptions!$C$29-$N843*Assumptions!$C$30</f>
        <v>108.7761273</v>
      </c>
      <c r="T843" s="139">
        <f>($O843*(1-(Assumptions!$C$25+0.06*(1-$J843))-Assumptions!$C$27)-Assumptions!$C$28)-MAX(0,($O843*(1-(Assumptions!$C$25+0.06*(1-$J843))-Assumptions!$C$27)-Assumptions!$C$28)*Assumptions!$C$31)+Assumptions!$C$28-Assumptions!$C$29-$O843*Assumptions!$C$30</f>
        <v>45.55069727</v>
      </c>
      <c r="U843" s="139">
        <f>($P843*(1-(Assumptions!$C$25+0.06*(1-$K843))-Assumptions!$C$27)-Assumptions!$C$28)-MAX(0,($P843*(1-(Assumptions!$C$25+0.06*(1-$K843))-Assumptions!$C$27)-Assumptions!$C$28)*Assumptions!$C$31)+Assumptions!$C$28-Assumptions!$C$29-$P843*Assumptions!$C$30</f>
        <v>125.4578509</v>
      </c>
      <c r="V843" s="143">
        <f>(($Q843/(1+$D843)^1+$R843/(1+$D843)^2+$S843/(1+$D843)^3+$T843/(1+$D843)^4+$U843/(1+$D843)^5+$U843*(1+$E843)/($D843-$E843)/(1+$D843)^5)-Assumptions!$C$37)/Assumptions!$C$40/Assumptions!$C$38</f>
        <v>4.516463804</v>
      </c>
    </row>
    <row r="844" ht="12.0" customHeight="1">
      <c r="B844" s="139">
        <v>792.0</v>
      </c>
      <c r="C844" s="140">
        <f t="shared" si="6"/>
        <v>0.7537117088</v>
      </c>
      <c r="D844" s="141">
        <f t="shared" si="7"/>
        <v>0.1032455229</v>
      </c>
      <c r="E844" s="141">
        <f t="shared" si="8"/>
        <v>0.01678581078</v>
      </c>
      <c r="F844" s="140">
        <f t="shared" si="9"/>
        <v>0.1436887863</v>
      </c>
      <c r="G844" s="141">
        <f t="shared" si="10"/>
        <v>0.04608228265</v>
      </c>
      <c r="H844" s="142">
        <f t="shared" si="11"/>
        <v>1</v>
      </c>
      <c r="I844" s="142">
        <f t="shared" si="12"/>
        <v>1</v>
      </c>
      <c r="J844" s="142">
        <f t="shared" si="13"/>
        <v>0</v>
      </c>
      <c r="K844" s="142">
        <f t="shared" si="14"/>
        <v>1</v>
      </c>
      <c r="L844" s="139">
        <f>Assumptions!$C$6*Assumptions!$C$7*(1+$G844-0.05*(1-1))^1+Assumptions!$C$6*Assumptions!$C$8*(1+Assumptions!$C$11)^1+Assumptions!$C$16*1+Assumptions!$C$6*Assumptions!$C$9*(1+Assumptions!$C$12)^1</f>
        <v>741.9792963</v>
      </c>
      <c r="M844" s="139">
        <f>Assumptions!$C$6*Assumptions!$C$7*(1+$G844-0.05*(1-$H844))^2+Assumptions!$C$6*Assumptions!$C$8*(1+Assumptions!$C$11)^2+Assumptions!$C$16*$H844+Assumptions!$C$6*Assumptions!$C$9*(1+Assumptions!$C$12)^2</f>
        <v>764.8027486</v>
      </c>
      <c r="N844" s="139">
        <f>Assumptions!$C$6*Assumptions!$C$7*(1+$G844-0.05*(1-$I844))^3+Assumptions!$C$6*Assumptions!$C$8*(1+Assumptions!$C$11)^3+Assumptions!$C$16*$I844+Assumptions!$C$6*Assumptions!$C$9*(1+Assumptions!$C$12)^3</f>
        <v>788.5058835</v>
      </c>
      <c r="O844" s="139">
        <f>Assumptions!$C$6*Assumptions!$C$7*(1+$G844-0.05*(1-$J844))^4+Assumptions!$C$6*Assumptions!$C$8*(1+Assumptions!$C$11)^4+Assumptions!$C$16*$J844+Assumptions!$C$6*Assumptions!$C$9*(1+Assumptions!$C$12)^4</f>
        <v>681.4146629</v>
      </c>
      <c r="P844" s="139">
        <f>Assumptions!$C$6*Assumptions!$C$7*(1+$G844-0.05*(1-$K844))^5+Assumptions!$C$6*Assumptions!$C$8*(1+Assumptions!$C$11)^5+Assumptions!$C$16*$K844+Assumptions!$C$6*Assumptions!$C$9*(1+Assumptions!$C$12)^5</f>
        <v>838.7012267</v>
      </c>
      <c r="Q844" s="139">
        <f>($L844*(1-(Assumptions!$C$25+0.06*(1-1))-Assumptions!$C$27)-Assumptions!$C$28)-MAX(0,($L844*(1-(Assumptions!$C$25+0.06*(1-1))-Assumptions!$C$27)-Assumptions!$C$28)*Assumptions!$C$31)+Assumptions!$C$28-Assumptions!$C$29-$L844*Assumptions!$C$30</f>
        <v>92.02554871</v>
      </c>
      <c r="R844" s="139">
        <f>($M844*(1-(Assumptions!$C$25+0.06*(1-$H844))-Assumptions!$C$27)-Assumptions!$C$28)-MAX(0,($M844*(1-(Assumptions!$C$25+0.06*(1-$H844))-Assumptions!$C$27)-Assumptions!$C$28)*Assumptions!$C$31)+Assumptions!$C$28-Assumptions!$C$29-$M844*Assumptions!$C$30</f>
        <v>96.93259095</v>
      </c>
      <c r="S844" s="139">
        <f>($N844*(1-(Assumptions!$C$25+0.06*(1-$I844))-Assumptions!$C$27)-Assumptions!$C$28)-MAX(0,($N844*(1-(Assumptions!$C$25+0.06*(1-$I844))-Assumptions!$C$27)-Assumptions!$C$28)*Assumptions!$C$31)+Assumptions!$C$28-Assumptions!$C$29-$N844*Assumptions!$C$30</f>
        <v>102.0287649</v>
      </c>
      <c r="T844" s="139">
        <f>($O844*(1-(Assumptions!$C$25+0.06*(1-$J844))-Assumptions!$C$27)-Assumptions!$C$28)-MAX(0,($O844*(1-(Assumptions!$C$25+0.06*(1-$J844))-Assumptions!$C$27)-Assumptions!$C$28)*Assumptions!$C$31)+Assumptions!$C$28-Assumptions!$C$29-$O844*Assumptions!$C$30</f>
        <v>36.72537246</v>
      </c>
      <c r="U844" s="139">
        <f>($P844*(1-(Assumptions!$C$25+0.06*(1-$K844))-Assumptions!$C$27)-Assumptions!$C$28)-MAX(0,($P844*(1-(Assumptions!$C$25+0.06*(1-$K844))-Assumptions!$C$27)-Assumptions!$C$28)*Assumptions!$C$31)+Assumptions!$C$28-Assumptions!$C$29-$P844*Assumptions!$C$30</f>
        <v>112.8207637</v>
      </c>
      <c r="V844" s="143">
        <f>(($Q844/(1+$D844)^1+$R844/(1+$D844)^2+$S844/(1+$D844)^3+$T844/(1+$D844)^4+$U844/(1+$D844)^5+$U844*(1+$E844)/($D844-$E844)/(1+$D844)^5)-Assumptions!$C$37)/Assumptions!$C$40/Assumptions!$C$38</f>
        <v>3.534746599</v>
      </c>
    </row>
    <row r="845" ht="12.0" customHeight="1">
      <c r="B845" s="139">
        <v>793.0</v>
      </c>
      <c r="C845" s="140">
        <f t="shared" si="6"/>
        <v>0.3984500964</v>
      </c>
      <c r="D845" s="141">
        <f t="shared" si="7"/>
        <v>0.09662965716</v>
      </c>
      <c r="E845" s="141">
        <f t="shared" si="8"/>
        <v>0.02650283365</v>
      </c>
      <c r="F845" s="140">
        <f t="shared" si="9"/>
        <v>0.7198208981</v>
      </c>
      <c r="G845" s="141">
        <f t="shared" si="10"/>
        <v>0.06754287678</v>
      </c>
      <c r="H845" s="142">
        <f t="shared" si="11"/>
        <v>1</v>
      </c>
      <c r="I845" s="142">
        <f t="shared" si="12"/>
        <v>0</v>
      </c>
      <c r="J845" s="142">
        <f t="shared" si="13"/>
        <v>0</v>
      </c>
      <c r="K845" s="142">
        <f t="shared" si="14"/>
        <v>1</v>
      </c>
      <c r="L845" s="139">
        <f>Assumptions!$C$6*Assumptions!$C$7*(1+$G845-0.05*(1-1))^1+Assumptions!$C$6*Assumptions!$C$8*(1+Assumptions!$C$11)^1+Assumptions!$C$16*1+Assumptions!$C$6*Assumptions!$C$9*(1+Assumptions!$C$12)^1</f>
        <v>749.2029323</v>
      </c>
      <c r="M845" s="139">
        <f>Assumptions!$C$6*Assumptions!$C$7*(1+$G845-0.05*(1-$H845))^2+Assumptions!$C$6*Assumptions!$C$8*(1+Assumptions!$C$11)^2+Assumptions!$C$16*$H845+Assumptions!$C$6*Assumptions!$C$9*(1+Assumptions!$C$12)^2</f>
        <v>780.0708074</v>
      </c>
      <c r="N845" s="139">
        <f>Assumptions!$C$6*Assumptions!$C$7*(1+$G845-0.05*(1-$I845))^3+Assumptions!$C$6*Assumptions!$C$8*(1+Assumptions!$C$11)^3+Assumptions!$C$16*$I845+Assumptions!$C$6*Assumptions!$C$9*(1+Assumptions!$C$12)^3</f>
        <v>697.8220499</v>
      </c>
      <c r="O845" s="139">
        <f>Assumptions!$C$6*Assumptions!$C$7*(1+$G845-0.05*(1-$J845))^4+Assumptions!$C$6*Assumptions!$C$8*(1+Assumptions!$C$11)^4+Assumptions!$C$16*$J845+Assumptions!$C$6*Assumptions!$C$9*(1+Assumptions!$C$12)^4</f>
        <v>710.9071277</v>
      </c>
      <c r="P845" s="139">
        <f>Assumptions!$C$6*Assumptions!$C$7*(1+$G845-0.05*(1-$K845))^5+Assumptions!$C$6*Assumptions!$C$8*(1+Assumptions!$C$11)^5+Assumptions!$C$16*$K845+Assumptions!$C$6*Assumptions!$C$9*(1+Assumptions!$C$12)^5</f>
        <v>883.7628976</v>
      </c>
      <c r="Q845" s="139">
        <f>($L845*(1-(Assumptions!$C$25+0.06*(1-1))-Assumptions!$C$27)-Assumptions!$C$28)-MAX(0,($L845*(1-(Assumptions!$C$25+0.06*(1-1))-Assumptions!$C$27)-Assumptions!$C$28)*Assumptions!$C$31)+Assumptions!$C$28-Assumptions!$C$29-$L845*Assumptions!$C$30</f>
        <v>93.57863045</v>
      </c>
      <c r="R845" s="139">
        <f>($M845*(1-(Assumptions!$C$25+0.06*(1-$H845))-Assumptions!$C$27)-Assumptions!$C$28)-MAX(0,($M845*(1-(Assumptions!$C$25+0.06*(1-$H845))-Assumptions!$C$27)-Assumptions!$C$28)*Assumptions!$C$31)+Assumptions!$C$28-Assumptions!$C$29-$M845*Assumptions!$C$30</f>
        <v>100.2152236</v>
      </c>
      <c r="S845" s="139">
        <f>($N845*(1-(Assumptions!$C$25+0.06*(1-$I845))-Assumptions!$C$27)-Assumptions!$C$28)-MAX(0,($N845*(1-(Assumptions!$C$25+0.06*(1-$I845))-Assumptions!$C$27)-Assumptions!$C$28)*Assumptions!$C$31)+Assumptions!$C$28-Assumptions!$C$29-$N845*Assumptions!$C$30</f>
        <v>40.49907148</v>
      </c>
      <c r="T845" s="139">
        <f>($O845*(1-(Assumptions!$C$25+0.06*(1-$J845))-Assumptions!$C$27)-Assumptions!$C$28)-MAX(0,($O845*(1-(Assumptions!$C$25+0.06*(1-$J845))-Assumptions!$C$27)-Assumptions!$C$28)*Assumptions!$C$31)+Assumptions!$C$28-Assumptions!$C$29-$O845*Assumptions!$C$30</f>
        <v>43.50863938</v>
      </c>
      <c r="U845" s="139">
        <f>($P845*(1-(Assumptions!$C$25+0.06*(1-$K845))-Assumptions!$C$27)-Assumptions!$C$28)-MAX(0,($P845*(1-(Assumptions!$C$25+0.06*(1-$K845))-Assumptions!$C$27)-Assumptions!$C$28)*Assumptions!$C$31)+Assumptions!$C$28-Assumptions!$C$29-$P845*Assumptions!$C$30</f>
        <v>122.509023</v>
      </c>
      <c r="V845" s="143">
        <f>(($Q845/(1+$D845)^1+$R845/(1+$D845)^2+$S845/(1+$D845)^3+$T845/(1+$D845)^4+$U845/(1+$D845)^5+$U845*(1+$E845)/($D845-$E845)/(1+$D845)^5)-Assumptions!$C$37)/Assumptions!$C$40/Assumptions!$C$38</f>
        <v>5.819372315</v>
      </c>
    </row>
    <row r="846" ht="12.0" customHeight="1">
      <c r="B846" s="139">
        <v>794.0</v>
      </c>
      <c r="C846" s="140">
        <f t="shared" si="6"/>
        <v>0.1573639683</v>
      </c>
      <c r="D846" s="141">
        <f t="shared" si="7"/>
        <v>0.09230386098</v>
      </c>
      <c r="E846" s="141">
        <f t="shared" si="8"/>
        <v>0.01110404583</v>
      </c>
      <c r="F846" s="140">
        <f t="shared" si="9"/>
        <v>0.5680762805</v>
      </c>
      <c r="G846" s="141">
        <f t="shared" si="10"/>
        <v>0.06211698196</v>
      </c>
      <c r="H846" s="142">
        <f t="shared" si="11"/>
        <v>1</v>
      </c>
      <c r="I846" s="142">
        <f t="shared" si="12"/>
        <v>1</v>
      </c>
      <c r="J846" s="142">
        <f t="shared" si="13"/>
        <v>0</v>
      </c>
      <c r="K846" s="142">
        <f t="shared" si="14"/>
        <v>0</v>
      </c>
      <c r="L846" s="139">
        <f>Assumptions!$C$6*Assumptions!$C$7*(1+$G846-0.05*(1-1))^1+Assumptions!$C$6*Assumptions!$C$8*(1+Assumptions!$C$11)^1+Assumptions!$C$16*1+Assumptions!$C$6*Assumptions!$C$9*(1+Assumptions!$C$12)^1</f>
        <v>747.3765761</v>
      </c>
      <c r="M846" s="139">
        <f>Assumptions!$C$6*Assumptions!$C$7*(1+$G846-0.05*(1-$H846))^2+Assumptions!$C$6*Assumptions!$C$8*(1+Assumptions!$C$11)^2+Assumptions!$C$16*$H846+Assumptions!$C$6*Assumptions!$C$9*(1+Assumptions!$C$12)^2</f>
        <v>776.1812899</v>
      </c>
      <c r="N846" s="139">
        <f>Assumptions!$C$6*Assumptions!$C$7*(1+$G846-0.05*(1-$I846))^3+Assumptions!$C$6*Assumptions!$C$8*(1+Assumptions!$C$11)^3+Assumptions!$C$16*$I846+Assumptions!$C$6*Assumptions!$C$9*(1+Assumptions!$C$12)^3</f>
        <v>806.4974047</v>
      </c>
      <c r="O846" s="139">
        <f>Assumptions!$C$6*Assumptions!$C$7*(1+$G846-0.05*(1-$J846))^4+Assumptions!$C$6*Assumptions!$C$8*(1+Assumptions!$C$11)^4+Assumptions!$C$16*$J846+Assumptions!$C$6*Assumptions!$C$9*(1+Assumptions!$C$12)^4</f>
        <v>703.2717878</v>
      </c>
      <c r="P846" s="139">
        <f>Assumptions!$C$6*Assumptions!$C$7*(1+$G846-0.05*(1-$K846))^5+Assumptions!$C$6*Assumptions!$C$8*(1+Assumptions!$C$11)^5+Assumptions!$C$16*$K846+Assumptions!$C$6*Assumptions!$C$9*(1+Assumptions!$C$12)^5</f>
        <v>714.5528373</v>
      </c>
      <c r="Q846" s="139">
        <f>($L846*(1-(Assumptions!$C$25+0.06*(1-1))-Assumptions!$C$27)-Assumptions!$C$28)-MAX(0,($L846*(1-(Assumptions!$C$25+0.06*(1-1))-Assumptions!$C$27)-Assumptions!$C$28)*Assumptions!$C$31)+Assumptions!$C$28-Assumptions!$C$29-$L846*Assumptions!$C$30</f>
        <v>93.18596387</v>
      </c>
      <c r="R846" s="139">
        <f>($M846*(1-(Assumptions!$C$25+0.06*(1-$H846))-Assumptions!$C$27)-Assumptions!$C$28)-MAX(0,($M846*(1-(Assumptions!$C$25+0.06*(1-$H846))-Assumptions!$C$27)-Assumptions!$C$28)*Assumptions!$C$31)+Assumptions!$C$28-Assumptions!$C$29-$M846*Assumptions!$C$30</f>
        <v>99.37897733</v>
      </c>
      <c r="S846" s="139">
        <f>($N846*(1-(Assumptions!$C$25+0.06*(1-$I846))-Assumptions!$C$27)-Assumptions!$C$28)-MAX(0,($N846*(1-(Assumptions!$C$25+0.06*(1-$I846))-Assumptions!$C$27)-Assumptions!$C$28)*Assumptions!$C$31)+Assumptions!$C$28-Assumptions!$C$29-$N846*Assumptions!$C$30</f>
        <v>105.896942</v>
      </c>
      <c r="T846" s="139">
        <f>($O846*(1-(Assumptions!$C$25+0.06*(1-$J846))-Assumptions!$C$27)-Assumptions!$C$28)-MAX(0,($O846*(1-(Assumptions!$C$25+0.06*(1-$J846))-Assumptions!$C$27)-Assumptions!$C$28)*Assumptions!$C$31)+Assumptions!$C$28-Assumptions!$C$29-$O846*Assumptions!$C$30</f>
        <v>41.75251119</v>
      </c>
      <c r="U846" s="139">
        <f>($P846*(1-(Assumptions!$C$25+0.06*(1-$K846))-Assumptions!$C$27)-Assumptions!$C$28)-MAX(0,($P846*(1-(Assumptions!$C$25+0.06*(1-$K846))-Assumptions!$C$27)-Assumptions!$C$28)*Assumptions!$C$31)+Assumptions!$C$28-Assumptions!$C$29-$P846*Assumptions!$C$30</f>
        <v>44.34715258</v>
      </c>
      <c r="V846" s="143">
        <f>(($Q846/(1+$D846)^1+$R846/(1+$D846)^2+$S846/(1+$D846)^3+$T846/(1+$D846)^4+$U846/(1+$D846)^5+$U846*(1+$E846)/($D846-$E846)/(1+$D846)^5)-Assumptions!$C$37)/Assumptions!$C$40/Assumptions!$C$38</f>
        <v>-0.2252148423</v>
      </c>
    </row>
    <row r="847" ht="12.0" customHeight="1">
      <c r="B847" s="139">
        <v>795.0</v>
      </c>
      <c r="C847" s="140">
        <f t="shared" si="6"/>
        <v>0.8940738807</v>
      </c>
      <c r="D847" s="141">
        <f t="shared" si="7"/>
        <v>0.1072912677</v>
      </c>
      <c r="E847" s="141">
        <f t="shared" si="8"/>
        <v>0.0115525544</v>
      </c>
      <c r="F847" s="140">
        <f t="shared" si="9"/>
        <v>0.7922965041</v>
      </c>
      <c r="G847" s="141">
        <f t="shared" si="10"/>
        <v>0.07066437763</v>
      </c>
      <c r="H847" s="142">
        <f t="shared" si="11"/>
        <v>1</v>
      </c>
      <c r="I847" s="142">
        <f t="shared" si="12"/>
        <v>0</v>
      </c>
      <c r="J847" s="142">
        <f t="shared" si="13"/>
        <v>0</v>
      </c>
      <c r="K847" s="142">
        <f t="shared" si="14"/>
        <v>0</v>
      </c>
      <c r="L847" s="139">
        <f>Assumptions!$C$6*Assumptions!$C$7*(1+$G847-0.05*(1-1))^1+Assumptions!$C$6*Assumptions!$C$8*(1+Assumptions!$C$11)^1+Assumptions!$C$16*1+Assumptions!$C$6*Assumptions!$C$9*(1+Assumptions!$C$12)^1</f>
        <v>750.2536295</v>
      </c>
      <c r="M847" s="139">
        <f>Assumptions!$C$6*Assumptions!$C$7*(1+$G847-0.05*(1-$H847))^2+Assumptions!$C$6*Assumptions!$C$8*(1+Assumptions!$C$11)^2+Assumptions!$C$16*$H847+Assumptions!$C$6*Assumptions!$C$9*(1+Assumptions!$C$12)^2</f>
        <v>782.3174157</v>
      </c>
      <c r="N847" s="139">
        <f>Assumptions!$C$6*Assumptions!$C$7*(1+$G847-0.05*(1-$I847))^3+Assumptions!$C$6*Assumptions!$C$8*(1+Assumptions!$C$11)^3+Assumptions!$C$16*$I847+Assumptions!$C$6*Assumptions!$C$9*(1+Assumptions!$C$12)^3</f>
        <v>701.0957272</v>
      </c>
      <c r="O847" s="139">
        <f>Assumptions!$C$6*Assumptions!$C$7*(1+$G847-0.05*(1-$J847))^4+Assumptions!$C$6*Assumptions!$C$8*(1+Assumptions!$C$11)^4+Assumptions!$C$16*$J847+Assumptions!$C$6*Assumptions!$C$9*(1+Assumptions!$C$12)^4</f>
        <v>715.3554232</v>
      </c>
      <c r="P847" s="139">
        <f>Assumptions!$C$6*Assumptions!$C$7*(1+$G847-0.05*(1-$K847))^5+Assumptions!$C$6*Assumptions!$C$8*(1+Assumptions!$C$11)^5+Assumptions!$C$16*$K847+Assumptions!$C$6*Assumptions!$C$9*(1+Assumptions!$C$12)^5</f>
        <v>729.9052267</v>
      </c>
      <c r="Q847" s="139">
        <f>($L847*(1-(Assumptions!$C$25+0.06*(1-1))-Assumptions!$C$27)-Assumptions!$C$28)-MAX(0,($L847*(1-(Assumptions!$C$25+0.06*(1-1))-Assumptions!$C$27)-Assumptions!$C$28)*Assumptions!$C$31)+Assumptions!$C$28-Assumptions!$C$29-$L847*Assumptions!$C$30</f>
        <v>93.80453034</v>
      </c>
      <c r="R847" s="139">
        <f>($M847*(1-(Assumptions!$C$25+0.06*(1-$H847))-Assumptions!$C$27)-Assumptions!$C$28)-MAX(0,($M847*(1-(Assumptions!$C$25+0.06*(1-$H847))-Assumptions!$C$27)-Assumptions!$C$28)*Assumptions!$C$31)+Assumptions!$C$28-Assumptions!$C$29-$M847*Assumptions!$C$30</f>
        <v>100.6982444</v>
      </c>
      <c r="S847" s="139">
        <f>($N847*(1-(Assumptions!$C$25+0.06*(1-$I847))-Assumptions!$C$27)-Assumptions!$C$28)-MAX(0,($N847*(1-(Assumptions!$C$25+0.06*(1-$I847))-Assumptions!$C$27)-Assumptions!$C$28)*Assumptions!$C$31)+Assumptions!$C$28-Assumptions!$C$29-$N847*Assumptions!$C$30</f>
        <v>41.25201725</v>
      </c>
      <c r="T847" s="139">
        <f>($O847*(1-(Assumptions!$C$25+0.06*(1-$J847))-Assumptions!$C$27)-Assumptions!$C$28)-MAX(0,($O847*(1-(Assumptions!$C$25+0.06*(1-$J847))-Assumptions!$C$27)-Assumptions!$C$28)*Assumptions!$C$31)+Assumptions!$C$28-Assumptions!$C$29-$O847*Assumptions!$C$30</f>
        <v>44.53174733</v>
      </c>
      <c r="U847" s="139">
        <f>($P847*(1-(Assumptions!$C$25+0.06*(1-$K847))-Assumptions!$C$27)-Assumptions!$C$28)-MAX(0,($P847*(1-(Assumptions!$C$25+0.06*(1-$K847))-Assumptions!$C$27)-Assumptions!$C$28)*Assumptions!$C$31)+Assumptions!$C$28-Assumptions!$C$29-$P847*Assumptions!$C$30</f>
        <v>47.87820214</v>
      </c>
      <c r="V847" s="143">
        <f>(($Q847/(1+$D847)^1+$R847/(1+$D847)^2+$S847/(1+$D847)^3+$T847/(1+$D847)^4+$U847/(1+$D847)^5+$U847*(1+$E847)/($D847-$E847)/(1+$D847)^5)-Assumptions!$C$37)/Assumptions!$C$40/Assumptions!$C$38</f>
        <v>-1.031576103</v>
      </c>
    </row>
    <row r="848" ht="12.0" customHeight="1">
      <c r="B848" s="139">
        <v>796.0</v>
      </c>
      <c r="C848" s="140">
        <f t="shared" si="6"/>
        <v>0.6727705234</v>
      </c>
      <c r="D848" s="141">
        <f t="shared" si="7"/>
        <v>0.1014509876</v>
      </c>
      <c r="E848" s="141">
        <f t="shared" si="8"/>
        <v>0.01919370143</v>
      </c>
      <c r="F848" s="140">
        <f t="shared" si="9"/>
        <v>0.4526300905</v>
      </c>
      <c r="G848" s="141">
        <f t="shared" si="10"/>
        <v>0.05854354853</v>
      </c>
      <c r="H848" s="142">
        <f t="shared" si="11"/>
        <v>0</v>
      </c>
      <c r="I848" s="142">
        <f t="shared" si="12"/>
        <v>1</v>
      </c>
      <c r="J848" s="142">
        <f t="shared" si="13"/>
        <v>0</v>
      </c>
      <c r="K848" s="142">
        <f t="shared" si="14"/>
        <v>0</v>
      </c>
      <c r="L848" s="139">
        <f>Assumptions!$C$6*Assumptions!$C$7*(1+$G848-0.05*(1-1))^1+Assumptions!$C$6*Assumptions!$C$8*(1+Assumptions!$C$11)^1+Assumptions!$C$16*1+Assumptions!$C$6*Assumptions!$C$9*(1+Assumptions!$C$12)^1</f>
        <v>746.1737584</v>
      </c>
      <c r="M848" s="139">
        <f>Assumptions!$C$6*Assumptions!$C$7*(1+$G848-0.05*(1-$H848))^2+Assumptions!$C$6*Assumptions!$C$8*(1+Assumptions!$C$11)^2+Assumptions!$C$16*$H848+Assumptions!$C$6*Assumptions!$C$9*(1+Assumptions!$C$12)^2</f>
        <v>678.8414461</v>
      </c>
      <c r="N848" s="139">
        <f>Assumptions!$C$6*Assumptions!$C$7*(1+$G848-0.05*(1-$I848))^3+Assumptions!$C$6*Assumptions!$C$8*(1+Assumptions!$C$11)^3+Assumptions!$C$16*$I848+Assumptions!$C$6*Assumptions!$C$9*(1+Assumptions!$C$12)^3</f>
        <v>802.4404161</v>
      </c>
      <c r="O848" s="139">
        <f>Assumptions!$C$6*Assumptions!$C$7*(1+$G848-0.05*(1-$J848))^4+Assumptions!$C$6*Assumptions!$C$8*(1+Assumptions!$C$11)^4+Assumptions!$C$16*$J848+Assumptions!$C$6*Assumptions!$C$9*(1+Assumptions!$C$12)^4</f>
        <v>698.3098508</v>
      </c>
      <c r="P848" s="139">
        <f>Assumptions!$C$6*Assumptions!$C$7*(1+$G848-0.05*(1-$K848))^5+Assumptions!$C$6*Assumptions!$C$8*(1+Assumptions!$C$11)^5+Assumptions!$C$16*$K848+Assumptions!$C$6*Assumptions!$C$9*(1+Assumptions!$C$12)^5</f>
        <v>708.2863238</v>
      </c>
      <c r="Q848" s="139">
        <f>($L848*(1-(Assumptions!$C$25+0.06*(1-1))-Assumptions!$C$27)-Assumptions!$C$28)-MAX(0,($L848*(1-(Assumptions!$C$25+0.06*(1-1))-Assumptions!$C$27)-Assumptions!$C$28)*Assumptions!$C$31)+Assumptions!$C$28-Assumptions!$C$29-$L848*Assumptions!$C$30</f>
        <v>92.92735806</v>
      </c>
      <c r="R848" s="139">
        <f>($M848*(1-(Assumptions!$C$25+0.06*(1-$H848))-Assumptions!$C$27)-Assumptions!$C$28)-MAX(0,($M848*(1-(Assumptions!$C$25+0.06*(1-$H848))-Assumptions!$C$27)-Assumptions!$C$28)*Assumptions!$C$31)+Assumptions!$C$28-Assumptions!$C$29-$M848*Assumptions!$C$30</f>
        <v>36.13353259</v>
      </c>
      <c r="S848" s="139">
        <f>($N848*(1-(Assumptions!$C$25+0.06*(1-$I848))-Assumptions!$C$27)-Assumptions!$C$28)-MAX(0,($N848*(1-(Assumptions!$C$25+0.06*(1-$I848))-Assumptions!$C$27)-Assumptions!$C$28)*Assumptions!$C$31)+Assumptions!$C$28-Assumptions!$C$29-$N848*Assumptions!$C$30</f>
        <v>105.0246895</v>
      </c>
      <c r="T848" s="139">
        <f>($O848*(1-(Assumptions!$C$25+0.06*(1-$J848))-Assumptions!$C$27)-Assumptions!$C$28)-MAX(0,($O848*(1-(Assumptions!$C$25+0.06*(1-$J848))-Assumptions!$C$27)-Assumptions!$C$28)*Assumptions!$C$31)+Assumptions!$C$28-Assumptions!$C$29-$O848*Assumptions!$C$30</f>
        <v>40.61126569</v>
      </c>
      <c r="U848" s="139">
        <f>($P848*(1-(Assumptions!$C$25+0.06*(1-$K848))-Assumptions!$C$27)-Assumptions!$C$28)-MAX(0,($P848*(1-(Assumptions!$C$25+0.06*(1-$K848))-Assumptions!$C$27)-Assumptions!$C$28)*Assumptions!$C$31)+Assumptions!$C$28-Assumptions!$C$29-$P848*Assumptions!$C$30</f>
        <v>42.90585448</v>
      </c>
      <c r="V848" s="143">
        <f>(($Q848/(1+$D848)^1+$R848/(1+$D848)^2+$S848/(1+$D848)^3+$T848/(1+$D848)^4+$U848/(1+$D848)^5+$U848*(1+$E848)/($D848-$E848)/(1+$D848)^5)-Assumptions!$C$37)/Assumptions!$C$40/Assumptions!$C$38</f>
        <v>-0.9128353614</v>
      </c>
    </row>
    <row r="849" ht="12.0" customHeight="1">
      <c r="B849" s="139">
        <v>797.0</v>
      </c>
      <c r="C849" s="140">
        <f t="shared" si="6"/>
        <v>0.02880748976</v>
      </c>
      <c r="D849" s="141">
        <f t="shared" si="7"/>
        <v>0.08812501824</v>
      </c>
      <c r="E849" s="141">
        <f t="shared" si="8"/>
        <v>0.02579039</v>
      </c>
      <c r="F849" s="140">
        <f t="shared" si="9"/>
        <v>0.9852816417</v>
      </c>
      <c r="G849" s="141">
        <f t="shared" si="10"/>
        <v>0.0848528605</v>
      </c>
      <c r="H849" s="142">
        <f t="shared" si="11"/>
        <v>0</v>
      </c>
      <c r="I849" s="142">
        <f t="shared" si="12"/>
        <v>1</v>
      </c>
      <c r="J849" s="142">
        <f t="shared" si="13"/>
        <v>0</v>
      </c>
      <c r="K849" s="142">
        <f t="shared" si="14"/>
        <v>1</v>
      </c>
      <c r="L849" s="139">
        <f>Assumptions!$C$6*Assumptions!$C$7*(1+$G849-0.05*(1-1))^1+Assumptions!$C$6*Assumptions!$C$8*(1+Assumptions!$C$11)^1+Assumptions!$C$16*1+Assumptions!$C$6*Assumptions!$C$9*(1+Assumptions!$C$12)^1</f>
        <v>755.0294728</v>
      </c>
      <c r="M849" s="139">
        <f>Assumptions!$C$6*Assumptions!$C$7*(1+$G849-0.05*(1-$H849))^2+Assumptions!$C$6*Assumptions!$C$8*(1+Assumptions!$C$11)^2+Assumptions!$C$16*$H849+Assumptions!$C$6*Assumptions!$C$9*(1+Assumptions!$C$12)^2</f>
        <v>696.9371811</v>
      </c>
      <c r="N849" s="139">
        <f>Assumptions!$C$6*Assumptions!$C$7*(1+$G849-0.05*(1-$I849))^3+Assumptions!$C$6*Assumptions!$C$8*(1+Assumptions!$C$11)^3+Assumptions!$C$16*$I849+Assumptions!$C$6*Assumptions!$C$9*(1+Assumptions!$C$12)^3</f>
        <v>832.9552966</v>
      </c>
      <c r="O849" s="139">
        <f>Assumptions!$C$6*Assumptions!$C$7*(1+$G849-0.05*(1-$J849))^4+Assumptions!$C$6*Assumptions!$C$8*(1+Assumptions!$C$11)^4+Assumptions!$C$16*$J849+Assumptions!$C$6*Assumptions!$C$9*(1+Assumptions!$C$12)^4</f>
        <v>736.0952028</v>
      </c>
      <c r="P849" s="139">
        <f>Assumptions!$C$6*Assumptions!$C$7*(1+$G849-0.05*(1-$K849))^5+Assumptions!$C$6*Assumptions!$C$8*(1+Assumptions!$C$11)^5+Assumptions!$C$16*$K849+Assumptions!$C$6*Assumptions!$C$9*(1+Assumptions!$C$12)^5</f>
        <v>922.8474785</v>
      </c>
      <c r="Q849" s="139">
        <f>($L849*(1-(Assumptions!$C$25+0.06*(1-1))-Assumptions!$C$27)-Assumptions!$C$28)-MAX(0,($L849*(1-(Assumptions!$C$25+0.06*(1-1))-Assumptions!$C$27)-Assumptions!$C$28)*Assumptions!$C$31)+Assumptions!$C$28-Assumptions!$C$29-$L849*Assumptions!$C$30</f>
        <v>94.83133666</v>
      </c>
      <c r="R849" s="139">
        <f>($M849*(1-(Assumptions!$C$25+0.06*(1-$H849))-Assumptions!$C$27)-Assumptions!$C$28)-MAX(0,($M849*(1-(Assumptions!$C$25+0.06*(1-$H849))-Assumptions!$C$27)-Assumptions!$C$28)*Assumptions!$C$31)+Assumptions!$C$28-Assumptions!$C$29-$M849*Assumptions!$C$30</f>
        <v>40.29555165</v>
      </c>
      <c r="S849" s="139">
        <f>($N849*(1-(Assumptions!$C$25+0.06*(1-$I849))-Assumptions!$C$27)-Assumptions!$C$28)-MAX(0,($N849*(1-(Assumptions!$C$25+0.06*(1-$I849))-Assumptions!$C$27)-Assumptions!$C$28)*Assumptions!$C$31)+Assumptions!$C$28-Assumptions!$C$29-$N849*Assumptions!$C$30</f>
        <v>111.5853888</v>
      </c>
      <c r="T849" s="139">
        <f>($O849*(1-(Assumptions!$C$25+0.06*(1-$J849))-Assumptions!$C$27)-Assumptions!$C$28)-MAX(0,($O849*(1-(Assumptions!$C$25+0.06*(1-$J849))-Assumptions!$C$27)-Assumptions!$C$28)*Assumptions!$C$31)+Assumptions!$C$28-Assumptions!$C$29-$O849*Assumptions!$C$30</f>
        <v>49.30189665</v>
      </c>
      <c r="U849" s="139">
        <f>($P849*(1-(Assumptions!$C$25+0.06*(1-$K849))-Assumptions!$C$27)-Assumptions!$C$28)-MAX(0,($P849*(1-(Assumptions!$C$25+0.06*(1-$K849))-Assumptions!$C$27)-Assumptions!$C$28)*Assumptions!$C$31)+Assumptions!$C$28-Assumptions!$C$29-$P849*Assumptions!$C$30</f>
        <v>130.9122079</v>
      </c>
      <c r="V849" s="143">
        <f>(($Q849/(1+$D849)^1+$R849/(1+$D849)^2+$S849/(1+$D849)^3+$T849/(1+$D849)^4+$U849/(1+$D849)^5+$U849*(1+$E849)/($D849-$E849)/(1+$D849)^5)-Assumptions!$C$37)/Assumptions!$C$40/Assumptions!$C$38</f>
        <v>8.189049035</v>
      </c>
    </row>
    <row r="850" ht="12.0" customHeight="1">
      <c r="B850" s="139">
        <v>798.0</v>
      </c>
      <c r="C850" s="140">
        <f t="shared" si="6"/>
        <v>0.5445290654</v>
      </c>
      <c r="D850" s="141">
        <f t="shared" si="7"/>
        <v>0.09901503224</v>
      </c>
      <c r="E850" s="141">
        <f t="shared" si="8"/>
        <v>0.01494986607</v>
      </c>
      <c r="F850" s="140">
        <f t="shared" si="9"/>
        <v>0.8658323553</v>
      </c>
      <c r="G850" s="141">
        <f t="shared" si="10"/>
        <v>0.07445967309</v>
      </c>
      <c r="H850" s="142">
        <f t="shared" si="11"/>
        <v>1</v>
      </c>
      <c r="I850" s="142">
        <f t="shared" si="12"/>
        <v>1</v>
      </c>
      <c r="J850" s="142">
        <f t="shared" si="13"/>
        <v>1</v>
      </c>
      <c r="K850" s="142">
        <f t="shared" si="14"/>
        <v>0</v>
      </c>
      <c r="L850" s="139">
        <f>Assumptions!$C$6*Assumptions!$C$7*(1+$G850-0.05*(1-1))^1+Assumptions!$C$6*Assumptions!$C$8*(1+Assumptions!$C$11)^1+Assumptions!$C$16*1+Assumptions!$C$6*Assumptions!$C$9*(1+Assumptions!$C$12)^1</f>
        <v>751.531126</v>
      </c>
      <c r="M850" s="139">
        <f>Assumptions!$C$6*Assumptions!$C$7*(1+$G850-0.05*(1-$H850))^2+Assumptions!$C$6*Assumptions!$C$8*(1+Assumptions!$C$11)^2+Assumptions!$C$16*$H850+Assumptions!$C$6*Assumptions!$C$9*(1+Assumptions!$C$12)^2</f>
        <v>785.0578041</v>
      </c>
      <c r="N850" s="139">
        <f>Assumptions!$C$6*Assumptions!$C$7*(1+$G850-0.05*(1-$I850))^3+Assumptions!$C$6*Assumptions!$C$8*(1+Assumptions!$C$11)^3+Assumptions!$C$16*$I850+Assumptions!$C$6*Assumptions!$C$9*(1+Assumptions!$C$12)^3</f>
        <v>820.7215776</v>
      </c>
      <c r="O850" s="139">
        <f>Assumptions!$C$6*Assumptions!$C$7*(1+$G850-0.05*(1-$J850))^4+Assumptions!$C$6*Assumptions!$C$8*(1+Assumptions!$C$11)^4+Assumptions!$C$16*$J850+Assumptions!$C$6*Assumptions!$C$9*(1+Assumptions!$C$12)^4</f>
        <v>858.6743882</v>
      </c>
      <c r="P850" s="139">
        <f>Assumptions!$C$6*Assumptions!$C$7*(1+$G850-0.05*(1-$K850))^5+Assumptions!$C$6*Assumptions!$C$8*(1+Assumptions!$C$11)^5+Assumptions!$C$16*$K850+Assumptions!$C$6*Assumptions!$C$9*(1+Assumptions!$C$12)^5</f>
        <v>736.8890194</v>
      </c>
      <c r="Q850" s="139">
        <f>($L850*(1-(Assumptions!$C$25+0.06*(1-1))-Assumptions!$C$27)-Assumptions!$C$28)-MAX(0,($L850*(1-(Assumptions!$C$25+0.06*(1-1))-Assumptions!$C$27)-Assumptions!$C$28)*Assumptions!$C$31)+Assumptions!$C$28-Assumptions!$C$29-$L850*Assumptions!$C$30</f>
        <v>94.07919208</v>
      </c>
      <c r="R850" s="139">
        <f>($M850*(1-(Assumptions!$C$25+0.06*(1-$H850))-Assumptions!$C$27)-Assumptions!$C$28)-MAX(0,($M850*(1-(Assumptions!$C$25+0.06*(1-$H850))-Assumptions!$C$27)-Assumptions!$C$28)*Assumptions!$C$31)+Assumptions!$C$28-Assumptions!$C$29-$M850*Assumptions!$C$30</f>
        <v>101.2874279</v>
      </c>
      <c r="S850" s="139">
        <f>($N850*(1-(Assumptions!$C$25+0.06*(1-$I850))-Assumptions!$C$27)-Assumptions!$C$28)-MAX(0,($N850*(1-(Assumptions!$C$25+0.06*(1-$I850))-Assumptions!$C$27)-Assumptions!$C$28)*Assumptions!$C$31)+Assumptions!$C$28-Assumptions!$C$29-$N850*Assumptions!$C$30</f>
        <v>108.9551392</v>
      </c>
      <c r="T850" s="139">
        <f>($O850*(1-(Assumptions!$C$25+0.06*(1-$J850))-Assumptions!$C$27)-Assumptions!$C$28)-MAX(0,($O850*(1-(Assumptions!$C$25+0.06*(1-$J850))-Assumptions!$C$27)-Assumptions!$C$28)*Assumptions!$C$31)+Assumptions!$C$28-Assumptions!$C$29-$O850*Assumptions!$C$30</f>
        <v>117.1149935</v>
      </c>
      <c r="U850" s="139">
        <f>($P850*(1-(Assumptions!$C$25+0.06*(1-$K850))-Assumptions!$C$27)-Assumptions!$C$28)-MAX(0,($P850*(1-(Assumptions!$C$25+0.06*(1-$K850))-Assumptions!$C$27)-Assumptions!$C$28)*Assumptions!$C$31)+Assumptions!$C$28-Assumptions!$C$29-$P850*Assumptions!$C$30</f>
        <v>49.48447446</v>
      </c>
      <c r="V850" s="143">
        <f>(($Q850/(1+$D850)^1+$R850/(1+$D850)^2+$S850/(1+$D850)^3+$T850/(1+$D850)^4+$U850/(1+$D850)^5+$U850*(1+$E850)/($D850-$E850)/(1+$D850)^5)-Assumptions!$C$37)/Assumptions!$C$40/Assumptions!$C$38</f>
        <v>0.3403719895</v>
      </c>
    </row>
    <row r="851" ht="12.0" customHeight="1">
      <c r="B851" s="139">
        <v>799.0</v>
      </c>
      <c r="C851" s="140">
        <f t="shared" si="6"/>
        <v>0.6282515089</v>
      </c>
      <c r="D851" s="141">
        <f t="shared" si="7"/>
        <v>0.1005587084</v>
      </c>
      <c r="E851" s="141">
        <f t="shared" si="8"/>
        <v>0.02618340184</v>
      </c>
      <c r="F851" s="140">
        <f t="shared" si="9"/>
        <v>0.08004378914</v>
      </c>
      <c r="G851" s="141">
        <f t="shared" si="10"/>
        <v>0.04200328374</v>
      </c>
      <c r="H851" s="142">
        <f t="shared" si="11"/>
        <v>1</v>
      </c>
      <c r="I851" s="142">
        <f t="shared" si="12"/>
        <v>0</v>
      </c>
      <c r="J851" s="142">
        <f t="shared" si="13"/>
        <v>1</v>
      </c>
      <c r="K851" s="142">
        <f t="shared" si="14"/>
        <v>1</v>
      </c>
      <c r="L851" s="139">
        <f>Assumptions!$C$6*Assumptions!$C$7*(1+$G851-0.05*(1-1))^1+Assumptions!$C$6*Assumptions!$C$8*(1+Assumptions!$C$11)^1+Assumptions!$C$16*1+Assumptions!$C$6*Assumptions!$C$9*(1+Assumptions!$C$12)^1</f>
        <v>740.6063053</v>
      </c>
      <c r="M851" s="139">
        <f>Assumptions!$C$6*Assumptions!$C$7*(1+$G851-0.05*(1-$H851))^2+Assumptions!$C$6*Assumptions!$C$8*(1+Assumptions!$C$11)^2+Assumptions!$C$16*$H851+Assumptions!$C$6*Assumptions!$C$9*(1+Assumptions!$C$12)^2</f>
        <v>761.9358259</v>
      </c>
      <c r="N851" s="139">
        <f>Assumptions!$C$6*Assumptions!$C$7*(1+$G851-0.05*(1-$I851))^3+Assumptions!$C$6*Assumptions!$C$8*(1+Assumptions!$C$11)^3+Assumptions!$C$16*$I851+Assumptions!$C$6*Assumptions!$C$9*(1+Assumptions!$C$12)^3</f>
        <v>671.7839851</v>
      </c>
      <c r="O851" s="139">
        <f>Assumptions!$C$6*Assumptions!$C$7*(1+$G851-0.05*(1-$J851))^4+Assumptions!$C$6*Assumptions!$C$8*(1+Assumptions!$C$11)^4+Assumptions!$C$16*$J851+Assumptions!$C$6*Assumptions!$C$9*(1+Assumptions!$C$12)^4</f>
        <v>806.8757365</v>
      </c>
      <c r="P851" s="139">
        <f>Assumptions!$C$6*Assumptions!$C$7*(1+$G851-0.05*(1-$K851))^5+Assumptions!$C$6*Assumptions!$C$8*(1+Assumptions!$C$11)^5+Assumptions!$C$16*$K851+Assumptions!$C$6*Assumptions!$C$9*(1+Assumptions!$C$12)^5</f>
        <v>830.5445321</v>
      </c>
      <c r="Q851" s="139">
        <f>($L851*(1-(Assumptions!$C$25+0.06*(1-1))-Assumptions!$C$27)-Assumptions!$C$28)-MAX(0,($L851*(1-(Assumptions!$C$25+0.06*(1-1))-Assumptions!$C$27)-Assumptions!$C$28)*Assumptions!$C$31)+Assumptions!$C$28-Assumptions!$C$29-$L851*Assumptions!$C$30</f>
        <v>91.73035564</v>
      </c>
      <c r="R851" s="139">
        <f>($M851*(1-(Assumptions!$C$25+0.06*(1-$H851))-Assumptions!$C$27)-Assumptions!$C$28)-MAX(0,($M851*(1-(Assumptions!$C$25+0.06*(1-$H851))-Assumptions!$C$27)-Assumptions!$C$28)*Assumptions!$C$31)+Assumptions!$C$28-Assumptions!$C$29-$M851*Assumptions!$C$30</f>
        <v>96.31620256</v>
      </c>
      <c r="S851" s="139">
        <f>($N851*(1-(Assumptions!$C$25+0.06*(1-$I851))-Assumptions!$C$27)-Assumptions!$C$28)-MAX(0,($N851*(1-(Assumptions!$C$25+0.06*(1-$I851))-Assumptions!$C$27)-Assumptions!$C$28)*Assumptions!$C$31)+Assumptions!$C$28-Assumptions!$C$29-$N851*Assumptions!$C$30</f>
        <v>34.51031658</v>
      </c>
      <c r="T851" s="139">
        <f>($O851*(1-(Assumptions!$C$25+0.06*(1-$J851))-Assumptions!$C$27)-Assumptions!$C$28)-MAX(0,($O851*(1-(Assumptions!$C$25+0.06*(1-$J851))-Assumptions!$C$27)-Assumptions!$C$28)*Assumptions!$C$31)+Assumptions!$C$28-Assumptions!$C$29-$O851*Assumptions!$C$30</f>
        <v>105.9782833</v>
      </c>
      <c r="U851" s="139">
        <f>($P851*(1-(Assumptions!$C$25+0.06*(1-$K851))-Assumptions!$C$27)-Assumptions!$C$28)-MAX(0,($P851*(1-(Assumptions!$C$25+0.06*(1-$K851))-Assumptions!$C$27)-Assumptions!$C$28)*Assumptions!$C$31)+Assumptions!$C$28-Assumptions!$C$29-$P851*Assumptions!$C$30</f>
        <v>111.0670744</v>
      </c>
      <c r="V851" s="143">
        <f>(($Q851/(1+$D851)^1+$R851/(1+$D851)^2+$S851/(1+$D851)^3+$T851/(1+$D851)^4+$U851/(1+$D851)^5+$U851*(1+$E851)/($D851-$E851)/(1+$D851)^5)-Assumptions!$C$37)/Assumptions!$C$40/Assumptions!$C$38</f>
        <v>4.582420215</v>
      </c>
    </row>
    <row r="852" ht="12.0" customHeight="1">
      <c r="B852" s="139">
        <v>800.0</v>
      </c>
      <c r="C852" s="140">
        <f t="shared" si="6"/>
        <v>0.3507148907</v>
      </c>
      <c r="D852" s="141">
        <f t="shared" si="7"/>
        <v>0.09590377678</v>
      </c>
      <c r="E852" s="141">
        <f t="shared" si="8"/>
        <v>0.02310259121</v>
      </c>
      <c r="F852" s="140">
        <f t="shared" si="9"/>
        <v>0.6277403402</v>
      </c>
      <c r="G852" s="141">
        <f t="shared" si="10"/>
        <v>0.06411434012</v>
      </c>
      <c r="H852" s="142">
        <f t="shared" si="11"/>
        <v>1</v>
      </c>
      <c r="I852" s="142">
        <f t="shared" si="12"/>
        <v>1</v>
      </c>
      <c r="J852" s="142">
        <f t="shared" si="13"/>
        <v>0</v>
      </c>
      <c r="K852" s="142">
        <f t="shared" si="14"/>
        <v>1</v>
      </c>
      <c r="L852" s="139">
        <f>Assumptions!$C$6*Assumptions!$C$7*(1+$G852-0.05*(1-1))^1+Assumptions!$C$6*Assumptions!$C$8*(1+Assumptions!$C$11)^1+Assumptions!$C$16*1+Assumptions!$C$6*Assumptions!$C$9*(1+Assumptions!$C$12)^1</f>
        <v>748.0488869</v>
      </c>
      <c r="M852" s="139">
        <f>Assumptions!$C$6*Assumptions!$C$7*(1+$G852-0.05*(1-$H852))^2+Assumptions!$C$6*Assumptions!$C$8*(1+Assumptions!$C$11)^2+Assumptions!$C$16*$H852+Assumptions!$C$6*Assumptions!$C$9*(1+Assumptions!$C$12)^2</f>
        <v>777.6107781</v>
      </c>
      <c r="N852" s="139">
        <f>Assumptions!$C$6*Assumptions!$C$7*(1+$G852-0.05*(1-$I852))^3+Assumptions!$C$6*Assumptions!$C$8*(1+Assumptions!$C$11)^3+Assumptions!$C$16*$I852+Assumptions!$C$6*Assumptions!$C$9*(1+Assumptions!$C$12)^3</f>
        <v>808.7769723</v>
      </c>
      <c r="O852" s="139">
        <f>Assumptions!$C$6*Assumptions!$C$7*(1+$G852-0.05*(1-$J852))^4+Assumptions!$C$6*Assumptions!$C$8*(1+Assumptions!$C$11)^4+Assumptions!$C$16*$J852+Assumptions!$C$6*Assumptions!$C$9*(1+Assumptions!$C$12)^4</f>
        <v>706.068241</v>
      </c>
      <c r="P852" s="139">
        <f>Assumptions!$C$6*Assumptions!$C$7*(1+$G852-0.05*(1-$K852))^5+Assumptions!$C$6*Assumptions!$C$8*(1+Assumptions!$C$11)^5+Assumptions!$C$16*$K852+Assumptions!$C$6*Assumptions!$C$9*(1+Assumptions!$C$12)^5</f>
        <v>876.3165269</v>
      </c>
      <c r="Q852" s="139">
        <f>($L852*(1-(Assumptions!$C$25+0.06*(1-1))-Assumptions!$C$27)-Assumptions!$C$28)-MAX(0,($L852*(1-(Assumptions!$C$25+0.06*(1-1))-Assumptions!$C$27)-Assumptions!$C$28)*Assumptions!$C$31)+Assumptions!$C$28-Assumptions!$C$29-$L852*Assumptions!$C$30</f>
        <v>93.33051068</v>
      </c>
      <c r="R852" s="139">
        <f>($M852*(1-(Assumptions!$C$25+0.06*(1-$H852))-Assumptions!$C$27)-Assumptions!$C$28)-MAX(0,($M852*(1-(Assumptions!$C$25+0.06*(1-$H852))-Assumptions!$C$27)-Assumptions!$C$28)*Assumptions!$C$31)+Assumptions!$C$28-Assumptions!$C$29-$M852*Assumptions!$C$30</f>
        <v>99.68631729</v>
      </c>
      <c r="S852" s="139">
        <f>($N852*(1-(Assumptions!$C$25+0.06*(1-$I852))-Assumptions!$C$27)-Assumptions!$C$28)-MAX(0,($N852*(1-(Assumptions!$C$25+0.06*(1-$I852))-Assumptions!$C$27)-Assumptions!$C$28)*Assumptions!$C$31)+Assumptions!$C$28-Assumptions!$C$29-$N852*Assumptions!$C$30</f>
        <v>106.387049</v>
      </c>
      <c r="T852" s="139">
        <f>($O852*(1-(Assumptions!$C$25+0.06*(1-$J852))-Assumptions!$C$27)-Assumptions!$C$28)-MAX(0,($O852*(1-(Assumptions!$C$25+0.06*(1-$J852))-Assumptions!$C$27)-Assumptions!$C$28)*Assumptions!$C$31)+Assumptions!$C$28-Assumptions!$C$29-$O852*Assumptions!$C$30</f>
        <v>42.39569543</v>
      </c>
      <c r="U852" s="139">
        <f>($P852*(1-(Assumptions!$C$25+0.06*(1-$K852))-Assumptions!$C$27)-Assumptions!$C$28)-MAX(0,($P852*(1-(Assumptions!$C$25+0.06*(1-$K852))-Assumptions!$C$27)-Assumptions!$C$28)*Assumptions!$C$31)+Assumptions!$C$28-Assumptions!$C$29-$P852*Assumptions!$C$30</f>
        <v>120.9080533</v>
      </c>
      <c r="V852" s="143">
        <f>(($Q852/(1+$D852)^1+$R852/(1+$D852)^2+$S852/(1+$D852)^3+$T852/(1+$D852)^4+$U852/(1+$D852)^5+$U852*(1+$E852)/($D852-$E852)/(1+$D852)^5)-Assumptions!$C$37)/Assumptions!$C$40/Assumptions!$C$38</f>
        <v>5.760025999</v>
      </c>
    </row>
    <row r="853" ht="12.0" customHeight="1">
      <c r="B853" s="139">
        <v>801.0</v>
      </c>
      <c r="C853" s="140">
        <f t="shared" si="6"/>
        <v>0.8406690904</v>
      </c>
      <c r="D853" s="141">
        <f t="shared" si="7"/>
        <v>0.105545655</v>
      </c>
      <c r="E853" s="141">
        <f t="shared" si="8"/>
        <v>0.01306218398</v>
      </c>
      <c r="F853" s="140">
        <f t="shared" si="9"/>
        <v>0.5199730623</v>
      </c>
      <c r="G853" s="141">
        <f t="shared" si="10"/>
        <v>0.0606052983</v>
      </c>
      <c r="H853" s="142">
        <f t="shared" si="11"/>
        <v>0</v>
      </c>
      <c r="I853" s="142">
        <f t="shared" si="12"/>
        <v>0</v>
      </c>
      <c r="J853" s="142">
        <f t="shared" si="13"/>
        <v>1</v>
      </c>
      <c r="K853" s="142">
        <f t="shared" si="14"/>
        <v>0</v>
      </c>
      <c r="L853" s="139">
        <f>Assumptions!$C$6*Assumptions!$C$7*(1+$G853-0.05*(1-1))^1+Assumptions!$C$6*Assumptions!$C$8*(1+Assumptions!$C$11)^1+Assumptions!$C$16*1+Assumptions!$C$6*Assumptions!$C$9*(1+Assumptions!$C$12)^1</f>
        <v>746.8677434</v>
      </c>
      <c r="M853" s="139">
        <f>Assumptions!$C$6*Assumptions!$C$7*(1+$G853-0.05*(1-$H853))^2+Assumptions!$C$6*Assumptions!$C$8*(1+Assumptions!$C$11)^2+Assumptions!$C$16*$H853+Assumptions!$C$6*Assumptions!$C$9*(1+Assumptions!$C$12)^2</f>
        <v>680.242705</v>
      </c>
      <c r="N853" s="139">
        <f>Assumptions!$C$6*Assumptions!$C$7*(1+$G853-0.05*(1-$I853))^3+Assumptions!$C$6*Assumptions!$C$8*(1+Assumptions!$C$11)^3+Assumptions!$C$16*$I853+Assumptions!$C$6*Assumptions!$C$9*(1+Assumptions!$C$12)^3</f>
        <v>690.6178735</v>
      </c>
      <c r="O853" s="139">
        <f>Assumptions!$C$6*Assumptions!$C$7*(1+$G853-0.05*(1-$J853))^4+Assumptions!$C$6*Assumptions!$C$8*(1+Assumptions!$C$11)^4+Assumptions!$C$16*$J853+Assumptions!$C$6*Assumptions!$C$9*(1+Assumptions!$C$12)^4</f>
        <v>835.9797836</v>
      </c>
      <c r="P853" s="139">
        <f>Assumptions!$C$6*Assumptions!$C$7*(1+$G853-0.05*(1-$K853))^5+Assumptions!$C$6*Assumptions!$C$8*(1+Assumptions!$C$11)^5+Assumptions!$C$16*$K853+Assumptions!$C$6*Assumptions!$C$9*(1+Assumptions!$C$12)^5</f>
        <v>711.891067</v>
      </c>
      <c r="Q853" s="139">
        <f>($L853*(1-(Assumptions!$C$25+0.06*(1-1))-Assumptions!$C$27)-Assumptions!$C$28)-MAX(0,($L853*(1-(Assumptions!$C$25+0.06*(1-1))-Assumptions!$C$27)-Assumptions!$C$28)*Assumptions!$C$31)+Assumptions!$C$28-Assumptions!$C$29-$L853*Assumptions!$C$30</f>
        <v>93.07656483</v>
      </c>
      <c r="R853" s="139">
        <f>($M853*(1-(Assumptions!$C$25+0.06*(1-$H853))-Assumptions!$C$27)-Assumptions!$C$28)-MAX(0,($M853*(1-(Assumptions!$C$25+0.06*(1-$H853))-Assumptions!$C$27)-Assumptions!$C$28)*Assumptions!$C$31)+Assumptions!$C$28-Assumptions!$C$29-$M853*Assumptions!$C$30</f>
        <v>36.45582215</v>
      </c>
      <c r="S853" s="139">
        <f>($N853*(1-(Assumptions!$C$25+0.06*(1-$I853))-Assumptions!$C$27)-Assumptions!$C$28)-MAX(0,($N853*(1-(Assumptions!$C$25+0.06*(1-$I853))-Assumptions!$C$27)-Assumptions!$C$28)*Assumptions!$C$31)+Assumptions!$C$28-Assumptions!$C$29-$N853*Assumptions!$C$30</f>
        <v>38.84211091</v>
      </c>
      <c r="T853" s="139">
        <f>($O853*(1-(Assumptions!$C$25+0.06*(1-$J853))-Assumptions!$C$27)-Assumptions!$C$28)-MAX(0,($O853*(1-(Assumptions!$C$25+0.06*(1-$J853))-Assumptions!$C$27)-Assumptions!$C$28)*Assumptions!$C$31)+Assumptions!$C$28-Assumptions!$C$29-$O853*Assumptions!$C$30</f>
        <v>112.2356535</v>
      </c>
      <c r="U853" s="139">
        <f>($P853*(1-(Assumptions!$C$25+0.06*(1-$K853))-Assumptions!$C$27)-Assumptions!$C$28)-MAX(0,($P853*(1-(Assumptions!$C$25+0.06*(1-$K853))-Assumptions!$C$27)-Assumptions!$C$28)*Assumptions!$C$31)+Assumptions!$C$28-Assumptions!$C$29-$P853*Assumptions!$C$30</f>
        <v>43.73494542</v>
      </c>
      <c r="V853" s="143">
        <f>(($Q853/(1+$D853)^1+$R853/(1+$D853)^2+$S853/(1+$D853)^3+$T853/(1+$D853)^4+$U853/(1+$D853)^5+$U853*(1+$E853)/($D853-$E853)/(1+$D853)^5)-Assumptions!$C$37)/Assumptions!$C$40/Assumptions!$C$38</f>
        <v>-1.227121335</v>
      </c>
    </row>
    <row r="854" ht="12.0" customHeight="1">
      <c r="B854" s="139">
        <v>802.0</v>
      </c>
      <c r="C854" s="140">
        <f t="shared" si="6"/>
        <v>0.5128254104</v>
      </c>
      <c r="D854" s="141">
        <f t="shared" si="7"/>
        <v>0.09846806289</v>
      </c>
      <c r="E854" s="141">
        <f t="shared" si="8"/>
        <v>0.02099128395</v>
      </c>
      <c r="F854" s="140">
        <f t="shared" si="9"/>
        <v>0.5472485349</v>
      </c>
      <c r="G854" s="141">
        <f t="shared" si="10"/>
        <v>0.06145262469</v>
      </c>
      <c r="H854" s="142">
        <f t="shared" si="11"/>
        <v>0</v>
      </c>
      <c r="I854" s="142">
        <f t="shared" si="12"/>
        <v>0</v>
      </c>
      <c r="J854" s="142">
        <f t="shared" si="13"/>
        <v>0</v>
      </c>
      <c r="K854" s="142">
        <f t="shared" si="14"/>
        <v>1</v>
      </c>
      <c r="L854" s="139">
        <f>Assumptions!$C$6*Assumptions!$C$7*(1+$G854-0.05*(1-1))^1+Assumptions!$C$6*Assumptions!$C$8*(1+Assumptions!$C$11)^1+Assumptions!$C$16*1+Assumptions!$C$6*Assumptions!$C$9*(1+Assumptions!$C$12)^1</f>
        <v>747.1529535</v>
      </c>
      <c r="M854" s="139">
        <f>Assumptions!$C$6*Assumptions!$C$7*(1+$G854-0.05*(1-$H854))^2+Assumptions!$C$6*Assumptions!$C$8*(1+Assumptions!$C$11)^2+Assumptions!$C$16*$H854+Assumptions!$C$6*Assumptions!$C$9*(1+Assumptions!$C$12)^2</f>
        <v>680.8194163</v>
      </c>
      <c r="N854" s="139">
        <f>Assumptions!$C$6*Assumptions!$C$7*(1+$G854-0.05*(1-$I854))^3+Assumptions!$C$6*Assumptions!$C$8*(1+Assumptions!$C$11)^3+Assumptions!$C$16*$I854+Assumptions!$C$6*Assumptions!$C$9*(1+Assumptions!$C$12)^3</f>
        <v>691.4924812</v>
      </c>
      <c r="O854" s="139">
        <f>Assumptions!$C$6*Assumptions!$C$7*(1+$G854-0.05*(1-$J854))^4+Assumptions!$C$6*Assumptions!$C$8*(1+Assumptions!$C$11)^4+Assumptions!$C$16*$J854+Assumptions!$C$6*Assumptions!$C$9*(1+Assumptions!$C$12)^4</f>
        <v>702.3452987</v>
      </c>
      <c r="P854" s="139">
        <f>Assumptions!$C$6*Assumptions!$C$7*(1+$G854-0.05*(1-$K854))^5+Assumptions!$C$6*Assumptions!$C$8*(1+Assumptions!$C$11)^5+Assumptions!$C$16*$K854+Assumptions!$C$6*Assumptions!$C$9*(1+Assumptions!$C$12)^5</f>
        <v>870.6013946</v>
      </c>
      <c r="Q854" s="139">
        <f>($L854*(1-(Assumptions!$C$25+0.06*(1-1))-Assumptions!$C$27)-Assumptions!$C$28)-MAX(0,($L854*(1-(Assumptions!$C$25+0.06*(1-1))-Assumptions!$C$27)-Assumptions!$C$28)*Assumptions!$C$31)+Assumptions!$C$28-Assumptions!$C$29-$L854*Assumptions!$C$30</f>
        <v>93.137885</v>
      </c>
      <c r="R854" s="139">
        <f>($M854*(1-(Assumptions!$C$25+0.06*(1-$H854))-Assumptions!$C$27)-Assumptions!$C$28)-MAX(0,($M854*(1-(Assumptions!$C$25+0.06*(1-$H854))-Assumptions!$C$27)-Assumptions!$C$28)*Assumptions!$C$31)+Assumptions!$C$28-Assumptions!$C$29-$M854*Assumptions!$C$30</f>
        <v>36.58846574</v>
      </c>
      <c r="S854" s="139">
        <f>($N854*(1-(Assumptions!$C$25+0.06*(1-$I854))-Assumptions!$C$27)-Assumptions!$C$28)-MAX(0,($N854*(1-(Assumptions!$C$25+0.06*(1-$I854))-Assumptions!$C$27)-Assumptions!$C$28)*Assumptions!$C$31)+Assumptions!$C$28-Assumptions!$C$29-$N854*Assumptions!$C$30</f>
        <v>39.04327069</v>
      </c>
      <c r="T854" s="139">
        <f>($O854*(1-(Assumptions!$C$25+0.06*(1-$J854))-Assumptions!$C$27)-Assumptions!$C$28)-MAX(0,($O854*(1-(Assumptions!$C$25+0.06*(1-$J854))-Assumptions!$C$27)-Assumptions!$C$28)*Assumptions!$C$31)+Assumptions!$C$28-Assumptions!$C$29-$O854*Assumptions!$C$30</f>
        <v>41.53941871</v>
      </c>
      <c r="U854" s="139">
        <f>($P854*(1-(Assumptions!$C$25+0.06*(1-$K854))-Assumptions!$C$27)-Assumptions!$C$28)-MAX(0,($P854*(1-(Assumptions!$C$25+0.06*(1-$K854))-Assumptions!$C$27)-Assumptions!$C$28)*Assumptions!$C$31)+Assumptions!$C$28-Assumptions!$C$29-$P854*Assumptions!$C$30</f>
        <v>119.6792998</v>
      </c>
      <c r="V854" s="143">
        <f>(($Q854/(1+$D854)^1+$R854/(1+$D854)^2+$S854/(1+$D854)^3+$T854/(1+$D854)^4+$U854/(1+$D854)^5+$U854*(1+$E854)/($D854-$E854)/(1+$D854)^5)-Assumptions!$C$37)/Assumptions!$C$40/Assumptions!$C$38</f>
        <v>4.232525887</v>
      </c>
    </row>
    <row r="855" ht="12.0" customHeight="1">
      <c r="B855" s="139">
        <v>803.0</v>
      </c>
      <c r="C855" s="140">
        <f t="shared" si="6"/>
        <v>0.973121003</v>
      </c>
      <c r="D855" s="141">
        <f t="shared" si="7"/>
        <v>0.1111168161</v>
      </c>
      <c r="E855" s="141">
        <f t="shared" si="8"/>
        <v>0.01306316567</v>
      </c>
      <c r="F855" s="140">
        <f t="shared" si="9"/>
        <v>0.297728011</v>
      </c>
      <c r="G855" s="141">
        <f t="shared" si="10"/>
        <v>0.05314973909</v>
      </c>
      <c r="H855" s="142">
        <f t="shared" si="11"/>
        <v>1</v>
      </c>
      <c r="I855" s="142">
        <f t="shared" si="12"/>
        <v>1</v>
      </c>
      <c r="J855" s="142">
        <f t="shared" si="13"/>
        <v>1</v>
      </c>
      <c r="K855" s="142">
        <f t="shared" si="14"/>
        <v>1</v>
      </c>
      <c r="L855" s="139">
        <f>Assumptions!$C$6*Assumptions!$C$7*(1+$G855-0.05*(1-1))^1+Assumptions!$C$6*Assumptions!$C$8*(1+Assumptions!$C$11)^1+Assumptions!$C$16*1+Assumptions!$C$6*Assumptions!$C$9*(1+Assumptions!$C$12)^1</f>
        <v>744.3582022</v>
      </c>
      <c r="M855" s="139">
        <f>Assumptions!$C$6*Assumptions!$C$7*(1+$G855-0.05*(1-$H855))^2+Assumptions!$C$6*Assumptions!$C$8*(1+Assumptions!$C$11)^2+Assumptions!$C$16*$H855+Assumptions!$C$6*Assumptions!$C$9*(1+Assumptions!$C$12)^2</f>
        <v>769.7966239</v>
      </c>
      <c r="N855" s="139">
        <f>Assumptions!$C$6*Assumptions!$C$7*(1+$G855-0.05*(1-$I855))^3+Assumptions!$C$6*Assumptions!$C$8*(1+Assumptions!$C$11)^3+Assumptions!$C$16*$I855+Assumptions!$C$6*Assumptions!$C$9*(1+Assumptions!$C$12)^3</f>
        <v>796.3683904</v>
      </c>
      <c r="O855" s="139">
        <f>Assumptions!$C$6*Assumptions!$C$7*(1+$G855-0.05*(1-$J855))^4+Assumptions!$C$6*Assumptions!$C$8*(1+Assumptions!$C$11)^4+Assumptions!$C$16*$J855+Assumptions!$C$6*Assumptions!$C$9*(1+Assumptions!$C$12)^4</f>
        <v>824.1293646</v>
      </c>
      <c r="P855" s="139">
        <f>Assumptions!$C$6*Assumptions!$C$7*(1+$G855-0.05*(1-$K855))^5+Assumptions!$C$6*Assumptions!$C$8*(1+Assumptions!$C$11)^5+Assumptions!$C$16*$K855+Assumptions!$C$6*Assumptions!$C$9*(1+Assumptions!$C$12)^5</f>
        <v>853.138291</v>
      </c>
      <c r="Q855" s="139">
        <f>($L855*(1-(Assumptions!$C$25+0.06*(1-1))-Assumptions!$C$27)-Assumptions!$C$28)-MAX(0,($L855*(1-(Assumptions!$C$25+0.06*(1-1))-Assumptions!$C$27)-Assumptions!$C$28)*Assumptions!$C$31)+Assumptions!$C$28-Assumptions!$C$29-$L855*Assumptions!$C$30</f>
        <v>92.53701347</v>
      </c>
      <c r="R855" s="139">
        <f>($M855*(1-(Assumptions!$C$25+0.06*(1-$H855))-Assumptions!$C$27)-Assumptions!$C$28)-MAX(0,($M855*(1-(Assumptions!$C$25+0.06*(1-$H855))-Assumptions!$C$27)-Assumptions!$C$28)*Assumptions!$C$31)+Assumptions!$C$28-Assumptions!$C$29-$M855*Assumptions!$C$30</f>
        <v>98.00627415</v>
      </c>
      <c r="S855" s="139">
        <f>($N855*(1-(Assumptions!$C$25+0.06*(1-$I855))-Assumptions!$C$27)-Assumptions!$C$28)-MAX(0,($N855*(1-(Assumptions!$C$25+0.06*(1-$I855))-Assumptions!$C$27)-Assumptions!$C$28)*Assumptions!$C$31)+Assumptions!$C$28-Assumptions!$C$29-$N855*Assumptions!$C$30</f>
        <v>103.7192039</v>
      </c>
      <c r="T855" s="139">
        <f>($O855*(1-(Assumptions!$C$25+0.06*(1-$J855))-Assumptions!$C$27)-Assumptions!$C$28)-MAX(0,($O855*(1-(Assumptions!$C$25+0.06*(1-$J855))-Assumptions!$C$27)-Assumptions!$C$28)*Assumptions!$C$31)+Assumptions!$C$28-Assumptions!$C$29-$O855*Assumptions!$C$30</f>
        <v>109.6878134</v>
      </c>
      <c r="U855" s="139">
        <f>($P855*(1-(Assumptions!$C$25+0.06*(1-$K855))-Assumptions!$C$27)-Assumptions!$C$28)-MAX(0,($P855*(1-(Assumptions!$C$25+0.06*(1-$K855))-Assumptions!$C$27)-Assumptions!$C$28)*Assumptions!$C$31)+Assumptions!$C$28-Assumptions!$C$29-$P855*Assumptions!$C$30</f>
        <v>115.9247326</v>
      </c>
      <c r="V855" s="143">
        <f>(($Q855/(1+$D855)^1+$R855/(1+$D855)^2+$S855/(1+$D855)^3+$T855/(1+$D855)^4+$U855/(1+$D855)^5+$U855*(1+$E855)/($D855-$E855)/(1+$D855)^5)-Assumptions!$C$37)/Assumptions!$C$40/Assumptions!$C$38</f>
        <v>3.076366936</v>
      </c>
    </row>
    <row r="856" ht="12.0" customHeight="1">
      <c r="B856" s="139">
        <v>804.0</v>
      </c>
      <c r="C856" s="140">
        <f t="shared" si="6"/>
        <v>0.1639964211</v>
      </c>
      <c r="D856" s="141">
        <f t="shared" si="7"/>
        <v>0.09245619117</v>
      </c>
      <c r="E856" s="141">
        <f t="shared" si="8"/>
        <v>0.02867055642</v>
      </c>
      <c r="F856" s="140">
        <f t="shared" si="9"/>
        <v>0.9838946294</v>
      </c>
      <c r="G856" s="141">
        <f t="shared" si="10"/>
        <v>0.08461579467</v>
      </c>
      <c r="H856" s="142">
        <f t="shared" si="11"/>
        <v>1</v>
      </c>
      <c r="I856" s="142">
        <f t="shared" si="12"/>
        <v>1</v>
      </c>
      <c r="J856" s="142">
        <f t="shared" si="13"/>
        <v>0</v>
      </c>
      <c r="K856" s="142">
        <f t="shared" si="14"/>
        <v>1</v>
      </c>
      <c r="L856" s="139">
        <f>Assumptions!$C$6*Assumptions!$C$7*(1+$G856-0.05*(1-1))^1+Assumptions!$C$6*Assumptions!$C$8*(1+Assumptions!$C$11)^1+Assumptions!$C$16*1+Assumptions!$C$6*Assumptions!$C$9*(1+Assumptions!$C$12)^1</f>
        <v>754.9496765</v>
      </c>
      <c r="M856" s="139">
        <f>Assumptions!$C$6*Assumptions!$C$7*(1+$G856-0.05*(1-$H856))^2+Assumptions!$C$6*Assumptions!$C$8*(1+Assumptions!$C$11)^2+Assumptions!$C$16*$H856+Assumptions!$C$6*Assumptions!$C$9*(1+Assumptions!$C$12)^2</f>
        <v>792.4387127</v>
      </c>
      <c r="N856" s="139">
        <f>Assumptions!$C$6*Assumptions!$C$7*(1+$G856-0.05*(1-$I856))^3+Assumptions!$C$6*Assumptions!$C$8*(1+Assumptions!$C$11)^3+Assumptions!$C$16*$I856+Assumptions!$C$6*Assumptions!$C$9*(1+Assumptions!$C$12)^3</f>
        <v>832.6736198</v>
      </c>
      <c r="O856" s="139">
        <f>Assumptions!$C$6*Assumptions!$C$7*(1+$G856-0.05*(1-$J856))^4+Assumptions!$C$6*Assumptions!$C$8*(1+Assumptions!$C$11)^4+Assumptions!$C$16*$J856+Assumptions!$C$6*Assumptions!$C$9*(1+Assumptions!$C$12)^4</f>
        <v>735.7415887</v>
      </c>
      <c r="P856" s="139">
        <f>Assumptions!$C$6*Assumptions!$C$7*(1+$G856-0.05*(1-$K856))^5+Assumptions!$C$6*Assumptions!$C$8*(1+Assumptions!$C$11)^5+Assumptions!$C$16*$K856+Assumptions!$C$6*Assumptions!$C$9*(1+Assumptions!$C$12)^5</f>
        <v>922.2950875</v>
      </c>
      <c r="Q856" s="139">
        <f>($L856*(1-(Assumptions!$C$25+0.06*(1-1))-Assumptions!$C$27)-Assumptions!$C$28)-MAX(0,($L856*(1-(Assumptions!$C$25+0.06*(1-1))-Assumptions!$C$27)-Assumptions!$C$28)*Assumptions!$C$31)+Assumptions!$C$28-Assumptions!$C$29-$L856*Assumptions!$C$30</f>
        <v>94.81418044</v>
      </c>
      <c r="R856" s="139">
        <f>($M856*(1-(Assumptions!$C$25+0.06*(1-$H856))-Assumptions!$C$27)-Assumptions!$C$28)-MAX(0,($M856*(1-(Assumptions!$C$25+0.06*(1-$H856))-Assumptions!$C$27)-Assumptions!$C$28)*Assumptions!$C$31)+Assumptions!$C$28-Assumptions!$C$29-$M856*Assumptions!$C$30</f>
        <v>102.8743232</v>
      </c>
      <c r="S856" s="139">
        <f>($N856*(1-(Assumptions!$C$25+0.06*(1-$I856))-Assumptions!$C$27)-Assumptions!$C$28)-MAX(0,($N856*(1-(Assumptions!$C$25+0.06*(1-$I856))-Assumptions!$C$27)-Assumptions!$C$28)*Assumptions!$C$31)+Assumptions!$C$28-Assumptions!$C$29-$N856*Assumptions!$C$30</f>
        <v>111.5248282</v>
      </c>
      <c r="T856" s="139">
        <f>($O856*(1-(Assumptions!$C$25+0.06*(1-$J856))-Assumptions!$C$27)-Assumptions!$C$28)-MAX(0,($O856*(1-(Assumptions!$C$25+0.06*(1-$J856))-Assumptions!$C$27)-Assumptions!$C$28)*Assumptions!$C$31)+Assumptions!$C$28-Assumptions!$C$29-$O856*Assumptions!$C$30</f>
        <v>49.22056539</v>
      </c>
      <c r="U856" s="139">
        <f>($P856*(1-(Assumptions!$C$25+0.06*(1-$K856))-Assumptions!$C$27)-Assumptions!$C$28)-MAX(0,($P856*(1-(Assumptions!$C$25+0.06*(1-$K856))-Assumptions!$C$27)-Assumptions!$C$28)*Assumptions!$C$31)+Assumptions!$C$28-Assumptions!$C$29-$P856*Assumptions!$C$30</f>
        <v>130.7934438</v>
      </c>
      <c r="V856" s="143">
        <f>(($Q856/(1+$D856)^1+$R856/(1+$D856)^2+$S856/(1+$D856)^3+$T856/(1+$D856)^4+$U856/(1+$D856)^5+$U856*(1+$E856)/($D856-$E856)/(1+$D856)^5)-Assumptions!$C$37)/Assumptions!$C$40/Assumptions!$C$38</f>
        <v>8.123926279</v>
      </c>
    </row>
    <row r="857" ht="12.0" customHeight="1">
      <c r="B857" s="139">
        <v>805.0</v>
      </c>
      <c r="C857" s="140">
        <f t="shared" si="6"/>
        <v>0.9655189264</v>
      </c>
      <c r="D857" s="141">
        <f t="shared" si="7"/>
        <v>0.1106018319</v>
      </c>
      <c r="E857" s="141">
        <f t="shared" si="8"/>
        <v>0.02227108726</v>
      </c>
      <c r="F857" s="140">
        <f t="shared" si="9"/>
        <v>0.5961232701</v>
      </c>
      <c r="G857" s="141">
        <f t="shared" si="10"/>
        <v>0.06303746833</v>
      </c>
      <c r="H857" s="142">
        <f t="shared" si="11"/>
        <v>1</v>
      </c>
      <c r="I857" s="142">
        <f t="shared" si="12"/>
        <v>1</v>
      </c>
      <c r="J857" s="142">
        <f t="shared" si="13"/>
        <v>0</v>
      </c>
      <c r="K857" s="142">
        <f t="shared" si="14"/>
        <v>1</v>
      </c>
      <c r="L857" s="139">
        <f>Assumptions!$C$6*Assumptions!$C$7*(1+$G857-0.05*(1-1))^1+Assumptions!$C$6*Assumptions!$C$8*(1+Assumptions!$C$11)^1+Assumptions!$C$16*1+Assumptions!$C$6*Assumptions!$C$9*(1+Assumptions!$C$12)^1</f>
        <v>747.6864118</v>
      </c>
      <c r="M857" s="139">
        <f>Assumptions!$C$6*Assumptions!$C$7*(1+$G857-0.05*(1-$H857))^2+Assumptions!$C$6*Assumptions!$C$8*(1+Assumptions!$C$11)^2+Assumptions!$C$16*$H857+Assumptions!$C$6*Assumptions!$C$9*(1+Assumptions!$C$12)^2</f>
        <v>776.8397386</v>
      </c>
      <c r="N857" s="139">
        <f>Assumptions!$C$6*Assumptions!$C$7*(1+$G857-0.05*(1-$I857))^3+Assumptions!$C$6*Assumptions!$C$8*(1+Assumptions!$C$11)^3+Assumptions!$C$16*$I857+Assumptions!$C$6*Assumptions!$C$9*(1+Assumptions!$C$12)^3</f>
        <v>807.5468837</v>
      </c>
      <c r="O857" s="139">
        <f>Assumptions!$C$6*Assumptions!$C$7*(1+$G857-0.05*(1-$J857))^4+Assumptions!$C$6*Assumptions!$C$8*(1+Assumptions!$C$11)^4+Assumptions!$C$16*$J857+Assumptions!$C$6*Assumptions!$C$9*(1+Assumptions!$C$12)^4</f>
        <v>704.558484</v>
      </c>
      <c r="P857" s="139">
        <f>Assumptions!$C$6*Assumptions!$C$7*(1+$G857-0.05*(1-$K857))^5+Assumptions!$C$6*Assumptions!$C$8*(1+Assumptions!$C$11)^5+Assumptions!$C$16*$K857+Assumptions!$C$6*Assumptions!$C$9*(1+Assumptions!$C$12)^5</f>
        <v>873.9974118</v>
      </c>
      <c r="Q857" s="139">
        <f>($L857*(1-(Assumptions!$C$25+0.06*(1-1))-Assumptions!$C$27)-Assumptions!$C$28)-MAX(0,($L857*(1-(Assumptions!$C$25+0.06*(1-1))-Assumptions!$C$27)-Assumptions!$C$28)*Assumptions!$C$31)+Assumptions!$C$28-Assumptions!$C$29-$L857*Assumptions!$C$30</f>
        <v>93.25257855</v>
      </c>
      <c r="R857" s="139">
        <f>($M857*(1-(Assumptions!$C$25+0.06*(1-$H857))-Assumptions!$C$27)-Assumptions!$C$28)-MAX(0,($M857*(1-(Assumptions!$C$25+0.06*(1-$H857))-Assumptions!$C$27)-Assumptions!$C$28)*Assumptions!$C$31)+Assumptions!$C$28-Assumptions!$C$29-$M857*Assumptions!$C$30</f>
        <v>99.52054381</v>
      </c>
      <c r="S857" s="139">
        <f>($N857*(1-(Assumptions!$C$25+0.06*(1-$I857))-Assumptions!$C$27)-Assumptions!$C$28)-MAX(0,($N857*(1-(Assumptions!$C$25+0.06*(1-$I857))-Assumptions!$C$27)-Assumptions!$C$28)*Assumptions!$C$31)+Assumptions!$C$28-Assumptions!$C$29-$N857*Assumptions!$C$30</f>
        <v>106.12258</v>
      </c>
      <c r="T857" s="139">
        <f>($O857*(1-(Assumptions!$C$25+0.06*(1-$J857))-Assumptions!$C$27)-Assumptions!$C$28)-MAX(0,($O857*(1-(Assumptions!$C$25+0.06*(1-$J857))-Assumptions!$C$27)-Assumptions!$C$28)*Assumptions!$C$31)+Assumptions!$C$28-Assumptions!$C$29-$O857*Assumptions!$C$30</f>
        <v>42.04845132</v>
      </c>
      <c r="U857" s="139">
        <f>($P857*(1-(Assumptions!$C$25+0.06*(1-$K857))-Assumptions!$C$27)-Assumptions!$C$28)-MAX(0,($P857*(1-(Assumptions!$C$25+0.06*(1-$K857))-Assumptions!$C$27)-Assumptions!$C$28)*Assumptions!$C$31)+Assumptions!$C$28-Assumptions!$C$29-$P857*Assumptions!$C$30</f>
        <v>120.4094435</v>
      </c>
      <c r="V857" s="143">
        <f>(($Q857/(1+$D857)^1+$R857/(1+$D857)^2+$S857/(1+$D857)^3+$T857/(1+$D857)^4+$U857/(1+$D857)^5+$U857*(1+$E857)/($D857-$E857)/(1+$D857)^5)-Assumptions!$C$37)/Assumptions!$C$40/Assumptions!$C$38</f>
        <v>3.699660676</v>
      </c>
    </row>
    <row r="858" ht="12.0" customHeight="1">
      <c r="B858" s="139">
        <v>806.0</v>
      </c>
      <c r="C858" s="140">
        <f t="shared" si="6"/>
        <v>0.6631013256</v>
      </c>
      <c r="D858" s="141">
        <f t="shared" si="7"/>
        <v>0.1012522672</v>
      </c>
      <c r="E858" s="141">
        <f t="shared" si="8"/>
        <v>0.02434884093</v>
      </c>
      <c r="F858" s="140">
        <f t="shared" si="9"/>
        <v>0.7258309336</v>
      </c>
      <c r="G858" s="141">
        <f t="shared" si="10"/>
        <v>0.06778504289</v>
      </c>
      <c r="H858" s="142">
        <f t="shared" si="11"/>
        <v>1</v>
      </c>
      <c r="I858" s="142">
        <f t="shared" si="12"/>
        <v>1</v>
      </c>
      <c r="J858" s="142">
        <f t="shared" si="13"/>
        <v>1</v>
      </c>
      <c r="K858" s="142">
        <f t="shared" si="14"/>
        <v>0</v>
      </c>
      <c r="L858" s="139">
        <f>Assumptions!$C$6*Assumptions!$C$7*(1+$G858-0.05*(1-1))^1+Assumptions!$C$6*Assumptions!$C$8*(1+Assumptions!$C$11)^1+Assumptions!$C$16*1+Assumptions!$C$6*Assumptions!$C$9*(1+Assumptions!$C$12)^1</f>
        <v>749.2844454</v>
      </c>
      <c r="M858" s="139">
        <f>Assumptions!$C$6*Assumptions!$C$7*(1+$G858-0.05*(1-$H858))^2+Assumptions!$C$6*Assumptions!$C$8*(1+Assumptions!$C$11)^2+Assumptions!$C$16*$H858+Assumptions!$C$6*Assumptions!$C$9*(1+Assumptions!$C$12)^2</f>
        <v>780.2448646</v>
      </c>
      <c r="N858" s="139">
        <f>Assumptions!$C$6*Assumptions!$C$7*(1+$G858-0.05*(1-$I858))^3+Assumptions!$C$6*Assumptions!$C$8*(1+Assumptions!$C$11)^3+Assumptions!$C$16*$I858+Assumptions!$C$6*Assumptions!$C$9*(1+Assumptions!$C$12)^3</f>
        <v>812.988682</v>
      </c>
      <c r="O858" s="139">
        <f>Assumptions!$C$6*Assumptions!$C$7*(1+$G858-0.05*(1-$J858))^4+Assumptions!$C$6*Assumptions!$C$8*(1+Assumptions!$C$11)^4+Assumptions!$C$16*$J858+Assumptions!$C$6*Assumptions!$C$9*(1+Assumptions!$C$12)^4</f>
        <v>847.6304802</v>
      </c>
      <c r="P858" s="139">
        <f>Assumptions!$C$6*Assumptions!$C$7*(1+$G858-0.05*(1-$K858))^5+Assumptions!$C$6*Assumptions!$C$8*(1+Assumptions!$C$11)^5+Assumptions!$C$16*$K858+Assumptions!$C$6*Assumptions!$C$9*(1+Assumptions!$C$12)^5</f>
        <v>724.6757554</v>
      </c>
      <c r="Q858" s="139">
        <f>($L858*(1-(Assumptions!$C$25+0.06*(1-1))-Assumptions!$C$27)-Assumptions!$C$28)-MAX(0,($L858*(1-(Assumptions!$C$25+0.06*(1-1))-Assumptions!$C$27)-Assumptions!$C$28)*Assumptions!$C$31)+Assumptions!$C$28-Assumptions!$C$29-$L858*Assumptions!$C$30</f>
        <v>93.59615577</v>
      </c>
      <c r="R858" s="139">
        <f>($M858*(1-(Assumptions!$C$25+0.06*(1-$H858))-Assumptions!$C$27)-Assumptions!$C$28)-MAX(0,($M858*(1-(Assumptions!$C$25+0.06*(1-$H858))-Assumptions!$C$27)-Assumptions!$C$28)*Assumptions!$C$31)+Assumptions!$C$28-Assumptions!$C$29-$M858*Assumptions!$C$30</f>
        <v>100.2526459</v>
      </c>
      <c r="S858" s="139">
        <f>($N858*(1-(Assumptions!$C$25+0.06*(1-$I858))-Assumptions!$C$27)-Assumptions!$C$28)-MAX(0,($N858*(1-(Assumptions!$C$25+0.06*(1-$I858))-Assumptions!$C$27)-Assumptions!$C$28)*Assumptions!$C$31)+Assumptions!$C$28-Assumptions!$C$29-$N858*Assumptions!$C$30</f>
        <v>107.2925666</v>
      </c>
      <c r="T858" s="139">
        <f>($O858*(1-(Assumptions!$C$25+0.06*(1-$J858))-Assumptions!$C$27)-Assumptions!$C$28)-MAX(0,($O858*(1-(Assumptions!$C$25+0.06*(1-$J858))-Assumptions!$C$27)-Assumptions!$C$28)*Assumptions!$C$31)+Assumptions!$C$28-Assumptions!$C$29-$O858*Assumptions!$C$30</f>
        <v>114.7405532</v>
      </c>
      <c r="U858" s="139">
        <f>($P858*(1-(Assumptions!$C$25+0.06*(1-$K858))-Assumptions!$C$27)-Assumptions!$C$28)-MAX(0,($P858*(1-(Assumptions!$C$25+0.06*(1-$K858))-Assumptions!$C$27)-Assumptions!$C$28)*Assumptions!$C$31)+Assumptions!$C$28-Assumptions!$C$29-$P858*Assumptions!$C$30</f>
        <v>46.67542374</v>
      </c>
      <c r="V858" s="143">
        <f>(($Q858/(1+$D858)^1+$R858/(1+$D858)^2+$S858/(1+$D858)^3+$T858/(1+$D858)^4+$U858/(1+$D858)^5+$U858*(1+$E858)/($D858-$E858)/(1+$D858)^5)-Assumptions!$C$37)/Assumptions!$C$40/Assumptions!$C$38</f>
        <v>0.3665354778</v>
      </c>
    </row>
    <row r="859" ht="12.0" customHeight="1">
      <c r="B859" s="139">
        <v>807.0</v>
      </c>
      <c r="C859" s="140">
        <f t="shared" si="6"/>
        <v>0.4865677981</v>
      </c>
      <c r="D859" s="141">
        <f t="shared" si="7"/>
        <v>0.09802839238</v>
      </c>
      <c r="E859" s="141">
        <f t="shared" si="8"/>
        <v>0.02805118381</v>
      </c>
      <c r="F859" s="140">
        <f t="shared" si="9"/>
        <v>0.3534063406</v>
      </c>
      <c r="G859" s="141">
        <f t="shared" si="10"/>
        <v>0.05522164572</v>
      </c>
      <c r="H859" s="142">
        <f t="shared" si="11"/>
        <v>1</v>
      </c>
      <c r="I859" s="142">
        <f t="shared" si="12"/>
        <v>1</v>
      </c>
      <c r="J859" s="142">
        <f t="shared" si="13"/>
        <v>0</v>
      </c>
      <c r="K859" s="142">
        <f t="shared" si="14"/>
        <v>0</v>
      </c>
      <c r="L859" s="139">
        <f>Assumptions!$C$6*Assumptions!$C$7*(1+$G859-0.05*(1-1))^1+Assumptions!$C$6*Assumptions!$C$8*(1+Assumptions!$C$11)^1+Assumptions!$C$16*1+Assumptions!$C$6*Assumptions!$C$9*(1+Assumptions!$C$12)^1</f>
        <v>745.055606</v>
      </c>
      <c r="M859" s="139">
        <f>Assumptions!$C$6*Assumptions!$C$7*(1+$G859-0.05*(1-$H859))^2+Assumptions!$C$6*Assumptions!$C$8*(1+Assumptions!$C$11)^2+Assumptions!$C$16*$H859+Assumptions!$C$6*Assumptions!$C$9*(1+Assumptions!$C$12)^2</f>
        <v>771.2670101</v>
      </c>
      <c r="N859" s="139">
        <f>Assumptions!$C$6*Assumptions!$C$7*(1+$G859-0.05*(1-$I859))^3+Assumptions!$C$6*Assumptions!$C$8*(1+Assumptions!$C$11)^3+Assumptions!$C$16*$I859+Assumptions!$C$6*Assumptions!$C$9*(1+Assumptions!$C$12)^3</f>
        <v>798.6934812</v>
      </c>
      <c r="O859" s="139">
        <f>Assumptions!$C$6*Assumptions!$C$7*(1+$G859-0.05*(1-$J859))^4+Assumptions!$C$6*Assumptions!$C$8*(1+Assumptions!$C$11)^4+Assumptions!$C$16*$J859+Assumptions!$C$6*Assumptions!$C$9*(1+Assumptions!$C$12)^4</f>
        <v>693.7442419</v>
      </c>
      <c r="P859" s="139">
        <f>Assumptions!$C$6*Assumptions!$C$7*(1+$G859-0.05*(1-$K859))^5+Assumptions!$C$6*Assumptions!$C$8*(1+Assumptions!$C$11)^5+Assumptions!$C$16*$K859+Assumptions!$C$6*Assumptions!$C$9*(1+Assumptions!$C$12)^5</f>
        <v>702.5400179</v>
      </c>
      <c r="Q859" s="139">
        <f>($L859*(1-(Assumptions!$C$25+0.06*(1-1))-Assumptions!$C$27)-Assumptions!$C$28)-MAX(0,($L859*(1-(Assumptions!$C$25+0.06*(1-1))-Assumptions!$C$27)-Assumptions!$C$28)*Assumptions!$C$31)+Assumptions!$C$28-Assumptions!$C$29-$L859*Assumptions!$C$30</f>
        <v>92.68695528</v>
      </c>
      <c r="R859" s="139">
        <f>($M859*(1-(Assumptions!$C$25+0.06*(1-$H859))-Assumptions!$C$27)-Assumptions!$C$28)-MAX(0,($M859*(1-(Assumptions!$C$25+0.06*(1-$H859))-Assumptions!$C$27)-Assumptions!$C$28)*Assumptions!$C$31)+Assumptions!$C$28-Assumptions!$C$29-$M859*Assumptions!$C$30</f>
        <v>98.32240717</v>
      </c>
      <c r="S859" s="139">
        <f>($N859*(1-(Assumptions!$C$25+0.06*(1-$I859))-Assumptions!$C$27)-Assumptions!$C$28)-MAX(0,($N859*(1-(Assumptions!$C$25+0.06*(1-$I859))-Assumptions!$C$27)-Assumptions!$C$28)*Assumptions!$C$31)+Assumptions!$C$28-Assumptions!$C$29-$N859*Assumptions!$C$30</f>
        <v>104.2190985</v>
      </c>
      <c r="T859" s="139">
        <f>($O859*(1-(Assumptions!$C$25+0.06*(1-$J859))-Assumptions!$C$27)-Assumptions!$C$28)-MAX(0,($O859*(1-(Assumptions!$C$25+0.06*(1-$J859))-Assumptions!$C$27)-Assumptions!$C$28)*Assumptions!$C$31)+Assumptions!$C$28-Assumptions!$C$29-$O859*Assumptions!$C$30</f>
        <v>39.56117563</v>
      </c>
      <c r="U859" s="139">
        <f>($P859*(1-(Assumptions!$C$25+0.06*(1-$K859))-Assumptions!$C$27)-Assumptions!$C$28)-MAX(0,($P859*(1-(Assumptions!$C$25+0.06*(1-$K859))-Assumptions!$C$27)-Assumptions!$C$28)*Assumptions!$C$31)+Assumptions!$C$28-Assumptions!$C$29-$P859*Assumptions!$C$30</f>
        <v>41.58420413</v>
      </c>
      <c r="V859" s="143">
        <f>(($Q859/(1+$D859)^1+$R859/(1+$D859)^2+$S859/(1+$D859)^3+$T859/(1+$D859)^4+$U859/(1+$D859)^5+$U859*(1+$E859)/($D859-$E859)/(1+$D859)^5)-Assumptions!$C$37)/Assumptions!$C$40/Assumptions!$C$38</f>
        <v>-0.08578145196</v>
      </c>
    </row>
    <row r="860" ht="12.0" customHeight="1">
      <c r="B860" s="139">
        <v>808.0</v>
      </c>
      <c r="C860" s="140">
        <f t="shared" si="6"/>
        <v>0.5371299166</v>
      </c>
      <c r="D860" s="141">
        <f t="shared" si="7"/>
        <v>0.09888571699</v>
      </c>
      <c r="E860" s="141">
        <f t="shared" si="8"/>
        <v>0.02977650458</v>
      </c>
      <c r="F860" s="140">
        <f t="shared" si="9"/>
        <v>0.4579654081</v>
      </c>
      <c r="G860" s="141">
        <f t="shared" si="10"/>
        <v>0.05871128236</v>
      </c>
      <c r="H860" s="142">
        <f t="shared" si="11"/>
        <v>1</v>
      </c>
      <c r="I860" s="142">
        <f t="shared" si="12"/>
        <v>1</v>
      </c>
      <c r="J860" s="142">
        <f t="shared" si="13"/>
        <v>1</v>
      </c>
      <c r="K860" s="142">
        <f t="shared" si="14"/>
        <v>0</v>
      </c>
      <c r="L860" s="139">
        <f>Assumptions!$C$6*Assumptions!$C$7*(1+$G860-0.05*(1-1))^1+Assumptions!$C$6*Assumptions!$C$8*(1+Assumptions!$C$11)^1+Assumptions!$C$16*1+Assumptions!$C$6*Assumptions!$C$9*(1+Assumptions!$C$12)^1</f>
        <v>746.2302176</v>
      </c>
      <c r="M860" s="139">
        <f>Assumptions!$C$6*Assumptions!$C$7*(1+$G860-0.05*(1-$H860))^2+Assumptions!$C$6*Assumptions!$C$8*(1+Assumptions!$C$11)^2+Assumptions!$C$16*$H860+Assumptions!$C$6*Assumptions!$C$9*(1+Assumptions!$C$12)^2</f>
        <v>773.7500604</v>
      </c>
      <c r="N860" s="139">
        <f>Assumptions!$C$6*Assumptions!$C$7*(1+$G860-0.05*(1-$I860))^3+Assumptions!$C$6*Assumptions!$C$8*(1+Assumptions!$C$11)^3+Assumptions!$C$16*$I860+Assumptions!$C$6*Assumptions!$C$9*(1+Assumptions!$C$12)^3</f>
        <v>802.6302362</v>
      </c>
      <c r="O860" s="139">
        <f>Assumptions!$C$6*Assumptions!$C$7*(1+$G860-0.05*(1-$J860))^4+Assumptions!$C$6*Assumptions!$C$8*(1+Assumptions!$C$11)^4+Assumptions!$C$16*$J860+Assumptions!$C$6*Assumptions!$C$9*(1+Assumptions!$C$12)^4</f>
        <v>832.945504</v>
      </c>
      <c r="P860" s="139">
        <f>Assumptions!$C$6*Assumptions!$C$7*(1+$G860-0.05*(1-$K860))^5+Assumptions!$C$6*Assumptions!$C$8*(1+Assumptions!$C$11)^5+Assumptions!$C$16*$K860+Assumptions!$C$6*Assumptions!$C$9*(1+Assumptions!$C$12)^5</f>
        <v>708.5784886</v>
      </c>
      <c r="Q860" s="139">
        <f>($L860*(1-(Assumptions!$C$25+0.06*(1-1))-Assumptions!$C$27)-Assumptions!$C$28)-MAX(0,($L860*(1-(Assumptions!$C$25+0.06*(1-1))-Assumptions!$C$27)-Assumptions!$C$28)*Assumptions!$C$31)+Assumptions!$C$28-Assumptions!$C$29-$L860*Assumptions!$C$30</f>
        <v>92.93949679</v>
      </c>
      <c r="R860" s="139">
        <f>($M860*(1-(Assumptions!$C$25+0.06*(1-$H860))-Assumptions!$C$27)-Assumptions!$C$28)-MAX(0,($M860*(1-(Assumptions!$C$25+0.06*(1-$H860))-Assumptions!$C$27)-Assumptions!$C$28)*Assumptions!$C$31)+Assumptions!$C$28-Assumptions!$C$29-$M860*Assumptions!$C$30</f>
        <v>98.85626299</v>
      </c>
      <c r="S860" s="139">
        <f>($N860*(1-(Assumptions!$C$25+0.06*(1-$I860))-Assumptions!$C$27)-Assumptions!$C$28)-MAX(0,($N860*(1-(Assumptions!$C$25+0.06*(1-$I860))-Assumptions!$C$27)-Assumptions!$C$28)*Assumptions!$C$31)+Assumptions!$C$28-Assumptions!$C$29-$N860*Assumptions!$C$30</f>
        <v>105.0655008</v>
      </c>
      <c r="T860" s="139">
        <f>($O860*(1-(Assumptions!$C$25+0.06*(1-$J860))-Assumptions!$C$27)-Assumptions!$C$28)-MAX(0,($O860*(1-(Assumptions!$C$25+0.06*(1-$J860))-Assumptions!$C$27)-Assumptions!$C$28)*Assumptions!$C$31)+Assumptions!$C$28-Assumptions!$C$29-$O860*Assumptions!$C$30</f>
        <v>111.5832834</v>
      </c>
      <c r="U860" s="139">
        <f>($P860*(1-(Assumptions!$C$25+0.06*(1-$K860))-Assumptions!$C$27)-Assumptions!$C$28)-MAX(0,($P860*(1-(Assumptions!$C$25+0.06*(1-$K860))-Assumptions!$C$27)-Assumptions!$C$28)*Assumptions!$C$31)+Assumptions!$C$28-Assumptions!$C$29-$P860*Assumptions!$C$30</f>
        <v>42.97305237</v>
      </c>
      <c r="V860" s="143">
        <f>(($Q860/(1+$D860)^1+$R860/(1+$D860)^2+$S860/(1+$D860)^3+$T860/(1+$D860)^4+$U860/(1+$D860)^5+$U860*(1+$E860)/($D860-$E860)/(1+$D860)^5)-Assumptions!$C$37)/Assumptions!$C$40/Assumptions!$C$38</f>
        <v>0.4438407749</v>
      </c>
    </row>
    <row r="861" ht="12.0" customHeight="1">
      <c r="B861" s="139">
        <v>809.0</v>
      </c>
      <c r="C861" s="140">
        <f t="shared" si="6"/>
        <v>0.2384163923</v>
      </c>
      <c r="D861" s="141">
        <f t="shared" si="7"/>
        <v>0.09399017002</v>
      </c>
      <c r="E861" s="141">
        <f t="shared" si="8"/>
        <v>0.02318886562</v>
      </c>
      <c r="F861" s="140">
        <f t="shared" si="9"/>
        <v>0.4741718982</v>
      </c>
      <c r="G861" s="141">
        <f t="shared" si="10"/>
        <v>0.05921488348</v>
      </c>
      <c r="H861" s="142">
        <f t="shared" si="11"/>
        <v>1</v>
      </c>
      <c r="I861" s="142">
        <f t="shared" si="12"/>
        <v>1</v>
      </c>
      <c r="J861" s="142">
        <f t="shared" si="13"/>
        <v>1</v>
      </c>
      <c r="K861" s="142">
        <f t="shared" si="14"/>
        <v>1</v>
      </c>
      <c r="L861" s="139">
        <f>Assumptions!$C$6*Assumptions!$C$7*(1+$G861-0.05*(1-1))^1+Assumptions!$C$6*Assumptions!$C$8*(1+Assumptions!$C$11)^1+Assumptions!$C$16*1+Assumptions!$C$6*Assumptions!$C$9*(1+Assumptions!$C$12)^1</f>
        <v>746.3997298</v>
      </c>
      <c r="M861" s="139">
        <f>Assumptions!$C$6*Assumptions!$C$7*(1+$G861-0.05*(1-$H861))^2+Assumptions!$C$6*Assumptions!$C$8*(1+Assumptions!$C$11)^2+Assumptions!$C$16*$H861+Assumptions!$C$6*Assumptions!$C$9*(1+Assumptions!$C$12)^2</f>
        <v>774.1090746</v>
      </c>
      <c r="N861" s="139">
        <f>Assumptions!$C$6*Assumptions!$C$7*(1+$G861-0.05*(1-$I861))^3+Assumptions!$C$6*Assumptions!$C$8*(1+Assumptions!$C$11)^3+Assumptions!$C$16*$I861+Assumptions!$C$6*Assumptions!$C$9*(1+Assumptions!$C$12)^3</f>
        <v>803.2005104</v>
      </c>
      <c r="O861" s="139">
        <f>Assumptions!$C$6*Assumptions!$C$7*(1+$G861-0.05*(1-$J861))^4+Assumptions!$C$6*Assumptions!$C$8*(1+Assumptions!$C$11)^4+Assumptions!$C$16*$J861+Assumptions!$C$6*Assumptions!$C$9*(1+Assumptions!$C$12)^4</f>
        <v>833.7507031</v>
      </c>
      <c r="P861" s="139">
        <f>Assumptions!$C$6*Assumptions!$C$7*(1+$G861-0.05*(1-$K861))^5+Assumptions!$C$6*Assumptions!$C$8*(1+Assumptions!$C$11)^5+Assumptions!$C$16*$K861+Assumptions!$C$6*Assumptions!$C$9*(1+Assumptions!$C$12)^5</f>
        <v>865.8407552</v>
      </c>
      <c r="Q861" s="139">
        <f>($L861*(1-(Assumptions!$C$25+0.06*(1-1))-Assumptions!$C$27)-Assumptions!$C$28)-MAX(0,($L861*(1-(Assumptions!$C$25+0.06*(1-1))-Assumptions!$C$27)-Assumptions!$C$28)*Assumptions!$C$31)+Assumptions!$C$28-Assumptions!$C$29-$L861*Assumptions!$C$30</f>
        <v>92.9759419</v>
      </c>
      <c r="R861" s="139">
        <f>($M861*(1-(Assumptions!$C$25+0.06*(1-$H861))-Assumptions!$C$27)-Assumptions!$C$28)-MAX(0,($M861*(1-(Assumptions!$C$25+0.06*(1-$H861))-Assumptions!$C$27)-Assumptions!$C$28)*Assumptions!$C$31)+Assumptions!$C$28-Assumptions!$C$29-$M861*Assumptions!$C$30</f>
        <v>98.93345104</v>
      </c>
      <c r="S861" s="139">
        <f>($N861*(1-(Assumptions!$C$25+0.06*(1-$I861))-Assumptions!$C$27)-Assumptions!$C$28)-MAX(0,($N861*(1-(Assumptions!$C$25+0.06*(1-$I861))-Assumptions!$C$27)-Assumptions!$C$28)*Assumptions!$C$31)+Assumptions!$C$28-Assumptions!$C$29-$N861*Assumptions!$C$30</f>
        <v>105.1881097</v>
      </c>
      <c r="T861" s="139">
        <f>($O861*(1-(Assumptions!$C$25+0.06*(1-$J861))-Assumptions!$C$27)-Assumptions!$C$28)-MAX(0,($O861*(1-(Assumptions!$C$25+0.06*(1-$J861))-Assumptions!$C$27)-Assumptions!$C$28)*Assumptions!$C$31)+Assumptions!$C$28-Assumptions!$C$29-$O861*Assumptions!$C$30</f>
        <v>111.7564012</v>
      </c>
      <c r="U861" s="139">
        <f>($P861*(1-(Assumptions!$C$25+0.06*(1-$K861))-Assumptions!$C$27)-Assumptions!$C$28)-MAX(0,($P861*(1-(Assumptions!$C$25+0.06*(1-$K861))-Assumptions!$C$27)-Assumptions!$C$28)*Assumptions!$C$31)+Assumptions!$C$28-Assumptions!$C$29-$P861*Assumptions!$C$30</f>
        <v>118.6557624</v>
      </c>
      <c r="V861" s="143">
        <f>(($Q861/(1+$D861)^1+$R861/(1+$D861)^2+$S861/(1+$D861)^3+$T861/(1+$D861)^4+$U861/(1+$D861)^5+$U861*(1+$E861)/($D861-$E861)/(1+$D861)^5)-Assumptions!$C$37)/Assumptions!$C$40/Assumptions!$C$38</f>
        <v>6.277000401</v>
      </c>
    </row>
    <row r="862" ht="12.0" customHeight="1">
      <c r="B862" s="139">
        <v>810.0</v>
      </c>
      <c r="C862" s="140">
        <f t="shared" si="6"/>
        <v>0.2243043936</v>
      </c>
      <c r="D862" s="141">
        <f t="shared" si="7"/>
        <v>0.09372004527</v>
      </c>
      <c r="E862" s="141">
        <f t="shared" si="8"/>
        <v>0.02698679257</v>
      </c>
      <c r="F862" s="140">
        <f t="shared" si="9"/>
        <v>0.4484976725</v>
      </c>
      <c r="G862" s="141">
        <f t="shared" si="10"/>
        <v>0.05841295146</v>
      </c>
      <c r="H862" s="142">
        <f t="shared" si="11"/>
        <v>0</v>
      </c>
      <c r="I862" s="142">
        <f t="shared" si="12"/>
        <v>1</v>
      </c>
      <c r="J862" s="142">
        <f t="shared" si="13"/>
        <v>0</v>
      </c>
      <c r="K862" s="142">
        <f t="shared" si="14"/>
        <v>0</v>
      </c>
      <c r="L862" s="139">
        <f>Assumptions!$C$6*Assumptions!$C$7*(1+$G862-0.05*(1-1))^1+Assumptions!$C$6*Assumptions!$C$8*(1+Assumptions!$C$11)^1+Assumptions!$C$16*1+Assumptions!$C$6*Assumptions!$C$9*(1+Assumptions!$C$12)^1</f>
        <v>746.1297995</v>
      </c>
      <c r="M862" s="139">
        <f>Assumptions!$C$6*Assumptions!$C$7*(1+$G862-0.05*(1-$H862))^2+Assumptions!$C$6*Assumptions!$C$8*(1+Assumptions!$C$11)^2+Assumptions!$C$16*$H862+Assumptions!$C$6*Assumptions!$C$9*(1+Assumptions!$C$12)^2</f>
        <v>678.7527827</v>
      </c>
      <c r="N862" s="139">
        <f>Assumptions!$C$6*Assumptions!$C$7*(1+$G862-0.05*(1-$I862))^3+Assumptions!$C$6*Assumptions!$C$8*(1+Assumptions!$C$11)^3+Assumptions!$C$16*$I862+Assumptions!$C$6*Assumptions!$C$9*(1+Assumptions!$C$12)^3</f>
        <v>802.2926643</v>
      </c>
      <c r="O862" s="139">
        <f>Assumptions!$C$6*Assumptions!$C$7*(1+$G862-0.05*(1-$J862))^4+Assumptions!$C$6*Assumptions!$C$8*(1+Assumptions!$C$11)^4+Assumptions!$C$16*$J862+Assumptions!$C$6*Assumptions!$C$9*(1+Assumptions!$C$12)^4</f>
        <v>698.1295045</v>
      </c>
      <c r="P862" s="139">
        <f>Assumptions!$C$6*Assumptions!$C$7*(1+$G862-0.05*(1-$K862))^5+Assumptions!$C$6*Assumptions!$C$8*(1+Assumptions!$C$11)^5+Assumptions!$C$16*$K862+Assumptions!$C$6*Assumptions!$C$9*(1+Assumptions!$C$12)^5</f>
        <v>708.0589797</v>
      </c>
      <c r="Q862" s="139">
        <f>($L862*(1-(Assumptions!$C$25+0.06*(1-1))-Assumptions!$C$27)-Assumptions!$C$28)-MAX(0,($L862*(1-(Assumptions!$C$25+0.06*(1-1))-Assumptions!$C$27)-Assumptions!$C$28)*Assumptions!$C$31)+Assumptions!$C$28-Assumptions!$C$29-$L862*Assumptions!$C$30</f>
        <v>92.91790688</v>
      </c>
      <c r="R862" s="139">
        <f>($M862*(1-(Assumptions!$C$25+0.06*(1-$H862))-Assumptions!$C$27)-Assumptions!$C$28)-MAX(0,($M862*(1-(Assumptions!$C$25+0.06*(1-$H862))-Assumptions!$C$27)-Assumptions!$C$28)*Assumptions!$C$31)+Assumptions!$C$28-Assumptions!$C$29-$M862*Assumptions!$C$30</f>
        <v>36.11314002</v>
      </c>
      <c r="S862" s="139">
        <f>($N862*(1-(Assumptions!$C$25+0.06*(1-$I862))-Assumptions!$C$27)-Assumptions!$C$28)-MAX(0,($N862*(1-(Assumptions!$C$25+0.06*(1-$I862))-Assumptions!$C$27)-Assumptions!$C$28)*Assumptions!$C$31)+Assumptions!$C$28-Assumptions!$C$29-$N862*Assumptions!$C$30</f>
        <v>104.9929228</v>
      </c>
      <c r="T862" s="139">
        <f>($O862*(1-(Assumptions!$C$25+0.06*(1-$J862))-Assumptions!$C$27)-Assumptions!$C$28)-MAX(0,($O862*(1-(Assumptions!$C$25+0.06*(1-$J862))-Assumptions!$C$27)-Assumptions!$C$28)*Assumptions!$C$31)+Assumptions!$C$28-Assumptions!$C$29-$O862*Assumptions!$C$30</f>
        <v>40.56978604</v>
      </c>
      <c r="U862" s="139">
        <f>($P862*(1-(Assumptions!$C$25+0.06*(1-$K862))-Assumptions!$C$27)-Assumptions!$C$28)-MAX(0,($P862*(1-(Assumptions!$C$25+0.06*(1-$K862))-Assumptions!$C$27)-Assumptions!$C$28)*Assumptions!$C$31)+Assumptions!$C$28-Assumptions!$C$29-$P862*Assumptions!$C$30</f>
        <v>42.85356533</v>
      </c>
      <c r="V862" s="143">
        <f>(($Q862/(1+$D862)^1+$R862/(1+$D862)^2+$S862/(1+$D862)^3+$T862/(1+$D862)^4+$U862/(1+$D862)^5+$U862*(1+$E862)/($D862-$E862)/(1+$D862)^5)-Assumptions!$C$37)/Assumptions!$C$40/Assumptions!$C$38</f>
        <v>-0.1497413425</v>
      </c>
    </row>
    <row r="863" ht="12.0" customHeight="1">
      <c r="B863" s="139">
        <v>811.0</v>
      </c>
      <c r="C863" s="140">
        <f t="shared" si="6"/>
        <v>0.5699000276</v>
      </c>
      <c r="D863" s="141">
        <f t="shared" si="7"/>
        <v>0.09946661387</v>
      </c>
      <c r="E863" s="141">
        <f t="shared" si="8"/>
        <v>0.02217790396</v>
      </c>
      <c r="F863" s="140">
        <f t="shared" si="9"/>
        <v>0.4070446611</v>
      </c>
      <c r="G863" s="141">
        <f t="shared" si="10"/>
        <v>0.05706806957</v>
      </c>
      <c r="H863" s="142">
        <f t="shared" si="11"/>
        <v>0</v>
      </c>
      <c r="I863" s="142">
        <f t="shared" si="12"/>
        <v>1</v>
      </c>
      <c r="J863" s="142">
        <f t="shared" si="13"/>
        <v>0</v>
      </c>
      <c r="K863" s="142">
        <f t="shared" si="14"/>
        <v>1</v>
      </c>
      <c r="L863" s="139">
        <f>Assumptions!$C$6*Assumptions!$C$7*(1+$G863-0.05*(1-1))^1+Assumptions!$C$6*Assumptions!$C$8*(1+Assumptions!$C$11)^1+Assumptions!$C$16*1+Assumptions!$C$6*Assumptions!$C$9*(1+Assumptions!$C$12)^1</f>
        <v>745.6771122</v>
      </c>
      <c r="M863" s="139">
        <f>Assumptions!$C$6*Assumptions!$C$7*(1+$G863-0.05*(1-$H863))^2+Assumptions!$C$6*Assumptions!$C$8*(1+Assumptions!$C$11)^2+Assumptions!$C$16*$H863+Assumptions!$C$6*Assumptions!$C$9*(1+Assumptions!$C$12)^2</f>
        <v>677.8404002</v>
      </c>
      <c r="N863" s="139">
        <f>Assumptions!$C$6*Assumptions!$C$7*(1+$G863-0.05*(1-$I863))^3+Assumptions!$C$6*Assumptions!$C$8*(1+Assumptions!$C$11)^3+Assumptions!$C$16*$I863+Assumptions!$C$6*Assumptions!$C$9*(1+Assumptions!$C$12)^3</f>
        <v>800.7732443</v>
      </c>
      <c r="O863" s="139">
        <f>Assumptions!$C$6*Assumptions!$C$7*(1+$G863-0.05*(1-$J863))^4+Assumptions!$C$6*Assumptions!$C$8*(1+Assumptions!$C$11)^4+Assumptions!$C$16*$J863+Assumptions!$C$6*Assumptions!$C$9*(1+Assumptions!$C$12)^4</f>
        <v>696.2763801</v>
      </c>
      <c r="P863" s="139">
        <f>Assumptions!$C$6*Assumptions!$C$7*(1+$G863-0.05*(1-$K863))^5+Assumptions!$C$6*Assumptions!$C$8*(1+Assumptions!$C$11)^5+Assumptions!$C$16*$K863+Assumptions!$C$6*Assumptions!$C$9*(1+Assumptions!$C$12)^5</f>
        <v>861.3112124</v>
      </c>
      <c r="Q863" s="139">
        <f>($L863*(1-(Assumptions!$C$25+0.06*(1-1))-Assumptions!$C$27)-Assumptions!$C$28)-MAX(0,($L863*(1-(Assumptions!$C$25+0.06*(1-1))-Assumptions!$C$27)-Assumptions!$C$28)*Assumptions!$C$31)+Assumptions!$C$28-Assumptions!$C$29-$L863*Assumptions!$C$30</f>
        <v>92.82057913</v>
      </c>
      <c r="R863" s="139">
        <f>($M863*(1-(Assumptions!$C$25+0.06*(1-$H863))-Assumptions!$C$27)-Assumptions!$C$28)-MAX(0,($M863*(1-(Assumptions!$C$25+0.06*(1-$H863))-Assumptions!$C$27)-Assumptions!$C$28)*Assumptions!$C$31)+Assumptions!$C$28-Assumptions!$C$29-$M863*Assumptions!$C$30</f>
        <v>35.90329204</v>
      </c>
      <c r="S863" s="139">
        <f>($N863*(1-(Assumptions!$C$25+0.06*(1-$I863))-Assumptions!$C$27)-Assumptions!$C$28)-MAX(0,($N863*(1-(Assumptions!$C$25+0.06*(1-$I863))-Assumptions!$C$27)-Assumptions!$C$28)*Assumptions!$C$31)+Assumptions!$C$28-Assumptions!$C$29-$N863*Assumptions!$C$30</f>
        <v>104.6662475</v>
      </c>
      <c r="T863" s="139">
        <f>($O863*(1-(Assumptions!$C$25+0.06*(1-$J863))-Assumptions!$C$27)-Assumptions!$C$28)-MAX(0,($O863*(1-(Assumptions!$C$25+0.06*(1-$J863))-Assumptions!$C$27)-Assumptions!$C$28)*Assumptions!$C$31)+Assumptions!$C$28-Assumptions!$C$29-$O863*Assumptions!$C$30</f>
        <v>40.14356741</v>
      </c>
      <c r="U863" s="139">
        <f>($P863*(1-(Assumptions!$C$25+0.06*(1-$K863))-Assumptions!$C$27)-Assumptions!$C$28)-MAX(0,($P863*(1-(Assumptions!$C$25+0.06*(1-$K863))-Assumptions!$C$27)-Assumptions!$C$28)*Assumptions!$C$31)+Assumptions!$C$28-Assumptions!$C$29-$P863*Assumptions!$C$30</f>
        <v>117.6819107</v>
      </c>
      <c r="V863" s="143">
        <f>(($Q863/(1+$D863)^1+$R863/(1+$D863)^2+$S863/(1+$D863)^3+$T863/(1+$D863)^4+$U863/(1+$D863)^5+$U863*(1+$E863)/($D863-$E863)/(1+$D863)^5)-Assumptions!$C$37)/Assumptions!$C$40/Assumptions!$C$38</f>
        <v>4.453273496</v>
      </c>
    </row>
    <row r="864" ht="12.0" customHeight="1">
      <c r="B864" s="139">
        <v>812.0</v>
      </c>
      <c r="C864" s="140">
        <f t="shared" si="6"/>
        <v>0.3095166048</v>
      </c>
      <c r="D864" s="141">
        <f t="shared" si="7"/>
        <v>0.0952433456</v>
      </c>
      <c r="E864" s="141">
        <f t="shared" si="8"/>
        <v>0.02267640879</v>
      </c>
      <c r="F864" s="140">
        <f t="shared" si="9"/>
        <v>0.7669246108</v>
      </c>
      <c r="G864" s="141">
        <f t="shared" si="10"/>
        <v>0.06951742935</v>
      </c>
      <c r="H864" s="142">
        <f t="shared" si="11"/>
        <v>1</v>
      </c>
      <c r="I864" s="142">
        <f t="shared" si="12"/>
        <v>1</v>
      </c>
      <c r="J864" s="142">
        <f t="shared" si="13"/>
        <v>1</v>
      </c>
      <c r="K864" s="142">
        <f t="shared" si="14"/>
        <v>0</v>
      </c>
      <c r="L864" s="139">
        <f>Assumptions!$C$6*Assumptions!$C$7*(1+$G864-0.05*(1-1))^1+Assumptions!$C$6*Assumptions!$C$8*(1+Assumptions!$C$11)^1+Assumptions!$C$16*1+Assumptions!$C$6*Assumptions!$C$9*(1+Assumptions!$C$12)^1</f>
        <v>749.8675667</v>
      </c>
      <c r="M864" s="139">
        <f>Assumptions!$C$6*Assumptions!$C$7*(1+$G864-0.05*(1-$H864))^2+Assumptions!$C$6*Assumptions!$C$8*(1+Assumptions!$C$11)^2+Assumptions!$C$16*$H864+Assumptions!$C$6*Assumptions!$C$9*(1+Assumptions!$C$12)^2</f>
        <v>781.4911712</v>
      </c>
      <c r="N864" s="139">
        <f>Assumptions!$C$6*Assumptions!$C$7*(1+$G864-0.05*(1-$I864))^3+Assumptions!$C$6*Assumptions!$C$8*(1+Assumptions!$C$11)^3+Assumptions!$C$16*$I864+Assumptions!$C$6*Assumptions!$C$9*(1+Assumptions!$C$12)^3</f>
        <v>814.986483</v>
      </c>
      <c r="O864" s="139">
        <f>Assumptions!$C$6*Assumptions!$C$7*(1+$G864-0.05*(1-$J864))^4+Assumptions!$C$6*Assumptions!$C$8*(1+Assumptions!$C$11)^4+Assumptions!$C$16*$J864+Assumptions!$C$6*Assumptions!$C$9*(1+Assumptions!$C$12)^4</f>
        <v>850.4770848</v>
      </c>
      <c r="P864" s="139">
        <f>Assumptions!$C$6*Assumptions!$C$7*(1+$G864-0.05*(1-$K864))^5+Assumptions!$C$6*Assumptions!$C$8*(1+Assumptions!$C$11)^5+Assumptions!$C$16*$K864+Assumptions!$C$6*Assumptions!$C$9*(1+Assumptions!$C$12)^5</f>
        <v>727.8150465</v>
      </c>
      <c r="Q864" s="139">
        <f>($L864*(1-(Assumptions!$C$25+0.06*(1-1))-Assumptions!$C$27)-Assumptions!$C$28)-MAX(0,($L864*(1-(Assumptions!$C$25+0.06*(1-1))-Assumptions!$C$27)-Assumptions!$C$28)*Assumptions!$C$31)+Assumptions!$C$28-Assumptions!$C$29-$L864*Assumptions!$C$30</f>
        <v>93.72152684</v>
      </c>
      <c r="R864" s="139">
        <f>($M864*(1-(Assumptions!$C$25+0.06*(1-$H864))-Assumptions!$C$27)-Assumptions!$C$28)-MAX(0,($M864*(1-(Assumptions!$C$25+0.06*(1-$H864))-Assumptions!$C$27)-Assumptions!$C$28)*Assumptions!$C$31)+Assumptions!$C$28-Assumptions!$C$29-$M864*Assumptions!$C$30</f>
        <v>100.5206018</v>
      </c>
      <c r="S864" s="139">
        <f>($N864*(1-(Assumptions!$C$25+0.06*(1-$I864))-Assumptions!$C$27)-Assumptions!$C$28)-MAX(0,($N864*(1-(Assumptions!$C$25+0.06*(1-$I864))-Assumptions!$C$27)-Assumptions!$C$28)*Assumptions!$C$31)+Assumptions!$C$28-Assumptions!$C$29-$N864*Assumptions!$C$30</f>
        <v>107.7220938</v>
      </c>
      <c r="T864" s="139">
        <f>($O864*(1-(Assumptions!$C$25+0.06*(1-$J864))-Assumptions!$C$27)-Assumptions!$C$28)-MAX(0,($O864*(1-(Assumptions!$C$25+0.06*(1-$J864))-Assumptions!$C$27)-Assumptions!$C$28)*Assumptions!$C$31)+Assumptions!$C$28-Assumptions!$C$29-$O864*Assumptions!$C$30</f>
        <v>115.3525732</v>
      </c>
      <c r="U864" s="139">
        <f>($P864*(1-(Assumptions!$C$25+0.06*(1-$K864))-Assumptions!$C$27)-Assumptions!$C$28)-MAX(0,($P864*(1-(Assumptions!$C$25+0.06*(1-$K864))-Assumptions!$C$27)-Assumptions!$C$28)*Assumptions!$C$31)+Assumptions!$C$28-Assumptions!$C$29-$P864*Assumptions!$C$30</f>
        <v>47.3974607</v>
      </c>
      <c r="V864" s="143">
        <f>(($Q864/(1+$D864)^1+$R864/(1+$D864)^2+$S864/(1+$D864)^3+$T864/(1+$D864)^4+$U864/(1+$D864)^5+$U864*(1+$E864)/($D864-$E864)/(1+$D864)^5)-Assumptions!$C$37)/Assumptions!$C$40/Assumptions!$C$38</f>
        <v>0.731551016</v>
      </c>
    </row>
    <row r="865" ht="12.0" customHeight="1">
      <c r="B865" s="139">
        <v>813.0</v>
      </c>
      <c r="C865" s="140">
        <f t="shared" si="6"/>
        <v>0.9693942102</v>
      </c>
      <c r="D865" s="141">
        <f t="shared" si="7"/>
        <v>0.1108563485</v>
      </c>
      <c r="E865" s="141">
        <f t="shared" si="8"/>
        <v>0.01402335223</v>
      </c>
      <c r="F865" s="140">
        <f t="shared" si="9"/>
        <v>0.932274235</v>
      </c>
      <c r="G865" s="141">
        <f t="shared" si="10"/>
        <v>0.07895887791</v>
      </c>
      <c r="H865" s="142">
        <f t="shared" si="11"/>
        <v>1</v>
      </c>
      <c r="I865" s="142">
        <f t="shared" si="12"/>
        <v>1</v>
      </c>
      <c r="J865" s="142">
        <f t="shared" si="13"/>
        <v>0</v>
      </c>
      <c r="K865" s="142">
        <f t="shared" si="14"/>
        <v>0</v>
      </c>
      <c r="L865" s="139">
        <f>Assumptions!$C$6*Assumptions!$C$7*(1+$G865-0.05*(1-1))^1+Assumptions!$C$6*Assumptions!$C$8*(1+Assumptions!$C$11)^1+Assumptions!$C$16*1+Assumptions!$C$6*Assumptions!$C$9*(1+Assumptions!$C$12)^1</f>
        <v>753.0455583</v>
      </c>
      <c r="M865" s="139">
        <f>Assumptions!$C$6*Assumptions!$C$7*(1+$G865-0.05*(1-$H865))^2+Assumptions!$C$6*Assumptions!$C$8*(1+Assumptions!$C$11)^2+Assumptions!$C$16*$H865+Assumptions!$C$6*Assumptions!$C$9*(1+Assumptions!$C$12)^2</f>
        <v>788.3190108</v>
      </c>
      <c r="N865" s="139">
        <f>Assumptions!$C$6*Assumptions!$C$7*(1+$G865-0.05*(1-$I865))^3+Assumptions!$C$6*Assumptions!$C$8*(1+Assumptions!$C$11)^3+Assumptions!$C$16*$I865+Assumptions!$C$6*Assumptions!$C$9*(1+Assumptions!$C$12)^3</f>
        <v>825.9886426</v>
      </c>
      <c r="O865" s="139">
        <f>Assumptions!$C$6*Assumptions!$C$7*(1+$G865-0.05*(1-$J865))^4+Assumptions!$C$6*Assumptions!$C$8*(1+Assumptions!$C$11)^4+Assumptions!$C$16*$J865+Assumptions!$C$6*Assumptions!$C$9*(1+Assumptions!$C$12)^4</f>
        <v>727.3753984</v>
      </c>
      <c r="P865" s="139">
        <f>Assumptions!$C$6*Assumptions!$C$7*(1+$G865-0.05*(1-$K865))^5+Assumptions!$C$6*Assumptions!$C$8*(1+Assumptions!$C$11)^5+Assumptions!$C$16*$K865+Assumptions!$C$6*Assumptions!$C$9*(1+Assumptions!$C$12)^5</f>
        <v>745.3032419</v>
      </c>
      <c r="Q865" s="139">
        <f>($L865*(1-(Assumptions!$C$25+0.06*(1-1))-Assumptions!$C$27)-Assumptions!$C$28)-MAX(0,($L865*(1-(Assumptions!$C$25+0.06*(1-1))-Assumptions!$C$27)-Assumptions!$C$28)*Assumptions!$C$31)+Assumptions!$C$28-Assumptions!$C$29-$L865*Assumptions!$C$30</f>
        <v>94.40479504</v>
      </c>
      <c r="R865" s="139">
        <f>($M865*(1-(Assumptions!$C$25+0.06*(1-$H865))-Assumptions!$C$27)-Assumptions!$C$28)-MAX(0,($M865*(1-(Assumptions!$C$25+0.06*(1-$H865))-Assumptions!$C$27)-Assumptions!$C$28)*Assumptions!$C$31)+Assumptions!$C$28-Assumptions!$C$29-$M865*Assumptions!$C$30</f>
        <v>101.9885873</v>
      </c>
      <c r="S865" s="139">
        <f>($N865*(1-(Assumptions!$C$25+0.06*(1-$I865))-Assumptions!$C$27)-Assumptions!$C$28)-MAX(0,($N865*(1-(Assumptions!$C$25+0.06*(1-$I865))-Assumptions!$C$27)-Assumptions!$C$28)*Assumptions!$C$31)+Assumptions!$C$28-Assumptions!$C$29-$N865*Assumptions!$C$30</f>
        <v>110.0875582</v>
      </c>
      <c r="T865" s="139">
        <f>($O865*(1-(Assumptions!$C$25+0.06*(1-$J865))-Assumptions!$C$27)-Assumptions!$C$28)-MAX(0,($O865*(1-(Assumptions!$C$25+0.06*(1-$J865))-Assumptions!$C$27)-Assumptions!$C$28)*Assumptions!$C$31)+Assumptions!$C$28-Assumptions!$C$29-$O865*Assumptions!$C$30</f>
        <v>47.29634164</v>
      </c>
      <c r="U865" s="139">
        <f>($P865*(1-(Assumptions!$C$25+0.06*(1-$K865))-Assumptions!$C$27)-Assumptions!$C$28)-MAX(0,($P865*(1-(Assumptions!$C$25+0.06*(1-$K865))-Assumptions!$C$27)-Assumptions!$C$28)*Assumptions!$C$31)+Assumptions!$C$28-Assumptions!$C$29-$P865*Assumptions!$C$30</f>
        <v>51.41974564</v>
      </c>
      <c r="V865" s="143">
        <f>(($Q865/(1+$D865)^1+$R865/(1+$D865)^2+$S865/(1+$D865)^3+$T865/(1+$D865)^4+$U865/(1+$D865)^5+$U865*(1+$E865)/($D865-$E865)/(1+$D865)^5)-Assumptions!$C$37)/Assumptions!$C$40/Assumptions!$C$38</f>
        <v>-0.4993008741</v>
      </c>
    </row>
    <row r="866" ht="12.0" customHeight="1">
      <c r="B866" s="139">
        <v>814.0</v>
      </c>
      <c r="C866" s="140">
        <f t="shared" si="6"/>
        <v>0.5162752857</v>
      </c>
      <c r="D866" s="141">
        <f t="shared" si="7"/>
        <v>0.09852670146</v>
      </c>
      <c r="E866" s="141">
        <f t="shared" si="8"/>
        <v>0.01623125687</v>
      </c>
      <c r="F866" s="140">
        <f t="shared" si="9"/>
        <v>0.5114801219</v>
      </c>
      <c r="G866" s="141">
        <f t="shared" si="10"/>
        <v>0.06034640358</v>
      </c>
      <c r="H866" s="142">
        <f t="shared" si="11"/>
        <v>1</v>
      </c>
      <c r="I866" s="142">
        <f t="shared" si="12"/>
        <v>0</v>
      </c>
      <c r="J866" s="142">
        <f t="shared" si="13"/>
        <v>0</v>
      </c>
      <c r="K866" s="142">
        <f t="shared" si="14"/>
        <v>1</v>
      </c>
      <c r="L866" s="139">
        <f>Assumptions!$C$6*Assumptions!$C$7*(1+$G866-0.05*(1-1))^1+Assumptions!$C$6*Assumptions!$C$8*(1+Assumptions!$C$11)^1+Assumptions!$C$16*1+Assumptions!$C$6*Assumptions!$C$9*(1+Assumptions!$C$12)^1</f>
        <v>746.7805994</v>
      </c>
      <c r="M866" s="139">
        <f>Assumptions!$C$6*Assumptions!$C$7*(1+$G866-0.05*(1-$H866))^2+Assumptions!$C$6*Assumptions!$C$8*(1+Assumptions!$C$11)^2+Assumptions!$C$16*$H866+Assumptions!$C$6*Assumptions!$C$9*(1+Assumptions!$C$12)^2</f>
        <v>774.9163512</v>
      </c>
      <c r="N866" s="139">
        <f>Assumptions!$C$6*Assumptions!$C$7*(1+$G866-0.05*(1-$I866))^3+Assumptions!$C$6*Assumptions!$C$8*(1+Assumptions!$C$11)^3+Assumptions!$C$16*$I866+Assumptions!$C$6*Assumptions!$C$9*(1+Assumptions!$C$12)^3</f>
        <v>690.3509355</v>
      </c>
      <c r="O866" s="139">
        <f>Assumptions!$C$6*Assumptions!$C$7*(1+$G866-0.05*(1-$J866))^4+Assumptions!$C$6*Assumptions!$C$8*(1+Assumptions!$C$11)^4+Assumptions!$C$16*$J866+Assumptions!$C$6*Assumptions!$C$9*(1+Assumptions!$C$12)^4</f>
        <v>700.8066477</v>
      </c>
      <c r="P866" s="139">
        <f>Assumptions!$C$6*Assumptions!$C$7*(1+$G866-0.05*(1-$K866))^5+Assumptions!$C$6*Assumptions!$C$8*(1+Assumptions!$C$11)^5+Assumptions!$C$16*$K866+Assumptions!$C$6*Assumptions!$C$9*(1+Assumptions!$C$12)^5</f>
        <v>868.242963</v>
      </c>
      <c r="Q866" s="139">
        <f>($L866*(1-(Assumptions!$C$25+0.06*(1-1))-Assumptions!$C$27)-Assumptions!$C$28)-MAX(0,($L866*(1-(Assumptions!$C$25+0.06*(1-1))-Assumptions!$C$27)-Assumptions!$C$28)*Assumptions!$C$31)+Assumptions!$C$28-Assumptions!$C$29-$L866*Assumptions!$C$30</f>
        <v>93.05782888</v>
      </c>
      <c r="R866" s="139">
        <f>($M866*(1-(Assumptions!$C$25+0.06*(1-$H866))-Assumptions!$C$27)-Assumptions!$C$28)-MAX(0,($M866*(1-(Assumptions!$C$25+0.06*(1-$H866))-Assumptions!$C$27)-Assumptions!$C$28)*Assumptions!$C$31)+Assumptions!$C$28-Assumptions!$C$29-$M866*Assumptions!$C$30</f>
        <v>99.10701551</v>
      </c>
      <c r="S866" s="139">
        <f>($N866*(1-(Assumptions!$C$25+0.06*(1-$I866))-Assumptions!$C$27)-Assumptions!$C$28)-MAX(0,($N866*(1-(Assumptions!$C$25+0.06*(1-$I866))-Assumptions!$C$27)-Assumptions!$C$28)*Assumptions!$C$31)+Assumptions!$C$28-Assumptions!$C$29-$N866*Assumptions!$C$30</f>
        <v>38.78071516</v>
      </c>
      <c r="T866" s="139">
        <f>($O866*(1-(Assumptions!$C$25+0.06*(1-$J866))-Assumptions!$C$27)-Assumptions!$C$28)-MAX(0,($O866*(1-(Assumptions!$C$25+0.06*(1-$J866))-Assumptions!$C$27)-Assumptions!$C$28)*Assumptions!$C$31)+Assumptions!$C$28-Assumptions!$C$29-$O866*Assumptions!$C$30</f>
        <v>41.18552897</v>
      </c>
      <c r="U866" s="139">
        <f>($P866*(1-(Assumptions!$C$25+0.06*(1-$K866))-Assumptions!$C$27)-Assumptions!$C$28)-MAX(0,($P866*(1-(Assumptions!$C$25+0.06*(1-$K866))-Assumptions!$C$27)-Assumptions!$C$28)*Assumptions!$C$31)+Assumptions!$C$28-Assumptions!$C$29-$P866*Assumptions!$C$30</f>
        <v>119.172237</v>
      </c>
      <c r="V866" s="143">
        <f>(($Q866/(1+$D866)^1+$R866/(1+$D866)^2+$S866/(1+$D866)^3+$T866/(1+$D866)^4+$U866/(1+$D866)^5+$U866*(1+$E866)/($D866-$E866)/(1+$D866)^5)-Assumptions!$C$37)/Assumptions!$C$40/Assumptions!$C$38</f>
        <v>4.113185028</v>
      </c>
    </row>
    <row r="867" ht="12.0" customHeight="1">
      <c r="B867" s="139">
        <v>815.0</v>
      </c>
      <c r="C867" s="140">
        <f t="shared" si="6"/>
        <v>0.0009770672706</v>
      </c>
      <c r="D867" s="141">
        <f t="shared" si="7"/>
        <v>0.0855755222</v>
      </c>
      <c r="E867" s="141">
        <f t="shared" si="8"/>
        <v>0.01627218619</v>
      </c>
      <c r="F867" s="140">
        <f t="shared" si="9"/>
        <v>0.4350067235</v>
      </c>
      <c r="G867" s="141">
        <f t="shared" si="10"/>
        <v>0.05798235341</v>
      </c>
      <c r="H867" s="142">
        <f t="shared" si="11"/>
        <v>1</v>
      </c>
      <c r="I867" s="142">
        <f t="shared" si="12"/>
        <v>1</v>
      </c>
      <c r="J867" s="142">
        <f t="shared" si="13"/>
        <v>0</v>
      </c>
      <c r="K867" s="142">
        <f t="shared" si="14"/>
        <v>0</v>
      </c>
      <c r="L867" s="139">
        <f>Assumptions!$C$6*Assumptions!$C$7*(1+$G867-0.05*(1-1))^1+Assumptions!$C$6*Assumptions!$C$8*(1+Assumptions!$C$11)^1+Assumptions!$C$16*1+Assumptions!$C$6*Assumptions!$C$9*(1+Assumptions!$C$12)^1</f>
        <v>745.9848602</v>
      </c>
      <c r="M867" s="139">
        <f>Assumptions!$C$6*Assumptions!$C$7*(1+$G867-0.05*(1-$H867))^2+Assumptions!$C$6*Assumptions!$C$8*(1+Assumptions!$C$11)^2+Assumptions!$C$16*$H867+Assumptions!$C$6*Assumptions!$C$9*(1+Assumptions!$C$12)^2</f>
        <v>773.2307138</v>
      </c>
      <c r="N867" s="139">
        <f>Assumptions!$C$6*Assumptions!$C$7*(1+$G867-0.05*(1-$I867))^3+Assumptions!$C$6*Assumptions!$C$8*(1+Assumptions!$C$11)^3+Assumptions!$C$16*$I867+Assumptions!$C$6*Assumptions!$C$9*(1+Assumptions!$C$12)^3</f>
        <v>801.8057629</v>
      </c>
      <c r="O867" s="139">
        <f>Assumptions!$C$6*Assumptions!$C$7*(1+$G867-0.05*(1-$J867))^4+Assumptions!$C$6*Assumptions!$C$8*(1+Assumptions!$C$11)^4+Assumptions!$C$16*$J867+Assumptions!$C$6*Assumptions!$C$9*(1+Assumptions!$C$12)^4</f>
        <v>697.5353722</v>
      </c>
      <c r="P867" s="139">
        <f>Assumptions!$C$6*Assumptions!$C$7*(1+$G867-0.05*(1-$K867))^5+Assumptions!$C$6*Assumptions!$C$8*(1+Assumptions!$C$11)^5+Assumptions!$C$16*$K867+Assumptions!$C$6*Assumptions!$C$9*(1+Assumptions!$C$12)^5</f>
        <v>707.3102261</v>
      </c>
      <c r="Q867" s="139">
        <f>($L867*(1-(Assumptions!$C$25+0.06*(1-1))-Assumptions!$C$27)-Assumptions!$C$28)-MAX(0,($L867*(1-(Assumptions!$C$25+0.06*(1-1))-Assumptions!$C$27)-Assumptions!$C$28)*Assumptions!$C$31)+Assumptions!$C$28-Assumptions!$C$29-$L867*Assumptions!$C$30</f>
        <v>92.88674493</v>
      </c>
      <c r="R867" s="139">
        <f>($M867*(1-(Assumptions!$C$25+0.06*(1-$H867))-Assumptions!$C$27)-Assumptions!$C$28)-MAX(0,($M867*(1-(Assumptions!$C$25+0.06*(1-$H867))-Assumptions!$C$27)-Assumptions!$C$28)*Assumptions!$C$31)+Assumptions!$C$28-Assumptions!$C$29-$M867*Assumptions!$C$30</f>
        <v>98.74460347</v>
      </c>
      <c r="S867" s="139">
        <f>($N867*(1-(Assumptions!$C$25+0.06*(1-$I867))-Assumptions!$C$27)-Assumptions!$C$28)-MAX(0,($N867*(1-(Assumptions!$C$25+0.06*(1-$I867))-Assumptions!$C$27)-Assumptions!$C$28)*Assumptions!$C$31)+Assumptions!$C$28-Assumptions!$C$29-$N867*Assumptions!$C$30</f>
        <v>104.888239</v>
      </c>
      <c r="T867" s="139">
        <f>($O867*(1-(Assumptions!$C$25+0.06*(1-$J867))-Assumptions!$C$27)-Assumptions!$C$28)-MAX(0,($O867*(1-(Assumptions!$C$25+0.06*(1-$J867))-Assumptions!$C$27)-Assumptions!$C$28)*Assumptions!$C$31)+Assumptions!$C$28-Assumptions!$C$29-$O867*Assumptions!$C$30</f>
        <v>40.43313559</v>
      </c>
      <c r="U867" s="139">
        <f>($P867*(1-(Assumptions!$C$25+0.06*(1-$K867))-Assumptions!$C$27)-Assumptions!$C$28)-MAX(0,($P867*(1-(Assumptions!$C$25+0.06*(1-$K867))-Assumptions!$C$27)-Assumptions!$C$28)*Assumptions!$C$31)+Assumptions!$C$28-Assumptions!$C$29-$P867*Assumptions!$C$30</f>
        <v>42.681352</v>
      </c>
      <c r="V867" s="143">
        <f>(($Q867/(1+$D867)^1+$R867/(1+$D867)^2+$S867/(1+$D867)^3+$T867/(1+$D867)^4+$U867/(1+$D867)^5+$U867*(1+$E867)/($D867-$E867)/(1+$D867)^5)-Assumptions!$C$37)/Assumptions!$C$40/Assumptions!$C$38</f>
        <v>0.2513260206</v>
      </c>
    </row>
    <row r="868" ht="12.0" customHeight="1">
      <c r="B868" s="139">
        <v>816.0</v>
      </c>
      <c r="C868" s="140">
        <f t="shared" si="6"/>
        <v>0.2104759074</v>
      </c>
      <c r="D868" s="141">
        <f t="shared" si="7"/>
        <v>0.0934469718</v>
      </c>
      <c r="E868" s="141">
        <f t="shared" si="8"/>
        <v>0.0215075544</v>
      </c>
      <c r="F868" s="140">
        <f t="shared" si="9"/>
        <v>0.4589443146</v>
      </c>
      <c r="G868" s="141">
        <f t="shared" si="10"/>
        <v>0.05874195133</v>
      </c>
      <c r="H868" s="142">
        <f t="shared" si="11"/>
        <v>0</v>
      </c>
      <c r="I868" s="142">
        <f t="shared" si="12"/>
        <v>0</v>
      </c>
      <c r="J868" s="142">
        <f t="shared" si="13"/>
        <v>0</v>
      </c>
      <c r="K868" s="142">
        <f t="shared" si="14"/>
        <v>1</v>
      </c>
      <c r="L868" s="139">
        <f>Assumptions!$C$6*Assumptions!$C$7*(1+$G868-0.05*(1-1))^1+Assumptions!$C$6*Assumptions!$C$8*(1+Assumptions!$C$11)^1+Assumptions!$C$16*1+Assumptions!$C$6*Assumptions!$C$9*(1+Assumptions!$C$12)^1</f>
        <v>746.2405408</v>
      </c>
      <c r="M868" s="139">
        <f>Assumptions!$C$6*Assumptions!$C$7*(1+$G868-0.05*(1-$H868))^2+Assumptions!$C$6*Assumptions!$C$8*(1+Assumptions!$C$11)^2+Assumptions!$C$16*$H868+Assumptions!$C$6*Assumptions!$C$9*(1+Assumptions!$C$12)^2</f>
        <v>678.9761652</v>
      </c>
      <c r="N868" s="139">
        <f>Assumptions!$C$6*Assumptions!$C$7*(1+$G868-0.05*(1-$I868))^3+Assumptions!$C$6*Assumptions!$C$8*(1+Assumptions!$C$11)^3+Assumptions!$C$16*$I868+Assumptions!$C$6*Assumptions!$C$9*(1+Assumptions!$C$12)^3</f>
        <v>688.6996852</v>
      </c>
      <c r="O868" s="139">
        <f>Assumptions!$C$6*Assumptions!$C$7*(1+$G868-0.05*(1-$J868))^4+Assumptions!$C$6*Assumptions!$C$8*(1+Assumptions!$C$11)^4+Assumptions!$C$16*$J868+Assumptions!$C$6*Assumptions!$C$9*(1+Assumptions!$C$12)^4</f>
        <v>698.5839666</v>
      </c>
      <c r="P868" s="139">
        <f>Assumptions!$C$6*Assumptions!$C$7*(1+$G868-0.05*(1-$K868))^5+Assumptions!$C$6*Assumptions!$C$8*(1+Assumptions!$C$11)^5+Assumptions!$C$16*$K868+Assumptions!$C$6*Assumptions!$C$9*(1+Assumptions!$C$12)^5</f>
        <v>864.8397613</v>
      </c>
      <c r="Q868" s="139">
        <f>($L868*(1-(Assumptions!$C$25+0.06*(1-1))-Assumptions!$C$27)-Assumptions!$C$28)-MAX(0,($L868*(1-(Assumptions!$C$25+0.06*(1-1))-Assumptions!$C$27)-Assumptions!$C$28)*Assumptions!$C$31)+Assumptions!$C$28-Assumptions!$C$29-$L868*Assumptions!$C$30</f>
        <v>92.94171628</v>
      </c>
      <c r="R868" s="139">
        <f>($M868*(1-(Assumptions!$C$25+0.06*(1-$H868))-Assumptions!$C$27)-Assumptions!$C$28)-MAX(0,($M868*(1-(Assumptions!$C$25+0.06*(1-$H868))-Assumptions!$C$27)-Assumptions!$C$28)*Assumptions!$C$31)+Assumptions!$C$28-Assumptions!$C$29-$M868*Assumptions!$C$30</f>
        <v>36.16451799</v>
      </c>
      <c r="S868" s="139">
        <f>($N868*(1-(Assumptions!$C$25+0.06*(1-$I868))-Assumptions!$C$27)-Assumptions!$C$28)-MAX(0,($N868*(1-(Assumptions!$C$25+0.06*(1-$I868))-Assumptions!$C$27)-Assumptions!$C$28)*Assumptions!$C$31)+Assumptions!$C$28-Assumptions!$C$29-$N868*Assumptions!$C$30</f>
        <v>38.40092759</v>
      </c>
      <c r="T868" s="139">
        <f>($O868*(1-(Assumptions!$C$25+0.06*(1-$J868))-Assumptions!$C$27)-Assumptions!$C$28)-MAX(0,($O868*(1-(Assumptions!$C$25+0.06*(1-$J868))-Assumptions!$C$27)-Assumptions!$C$28)*Assumptions!$C$31)+Assumptions!$C$28-Assumptions!$C$29-$O868*Assumptions!$C$30</f>
        <v>40.67431231</v>
      </c>
      <c r="U868" s="139">
        <f>($P868*(1-(Assumptions!$C$25+0.06*(1-$K868))-Assumptions!$C$27)-Assumptions!$C$28)-MAX(0,($P868*(1-(Assumptions!$C$25+0.06*(1-$K868))-Assumptions!$C$27)-Assumptions!$C$28)*Assumptions!$C$31)+Assumptions!$C$28-Assumptions!$C$29-$P868*Assumptions!$C$30</f>
        <v>118.4405487</v>
      </c>
      <c r="V868" s="143">
        <f>(($Q868/(1+$D868)^1+$R868/(1+$D868)^2+$S868/(1+$D868)^3+$T868/(1+$D868)^4+$U868/(1+$D868)^5+$U868*(1+$E868)/($D868-$E868)/(1+$D868)^5)-Assumptions!$C$37)/Assumptions!$C$40/Assumptions!$C$38</f>
        <v>4.940540185</v>
      </c>
    </row>
    <row r="869" ht="12.0" customHeight="1">
      <c r="B869" s="139">
        <v>817.0</v>
      </c>
      <c r="C869" s="140">
        <f t="shared" si="6"/>
        <v>0.09092526234</v>
      </c>
      <c r="D869" s="141">
        <f t="shared" si="7"/>
        <v>0.09055190633</v>
      </c>
      <c r="E869" s="141">
        <f t="shared" si="8"/>
        <v>0.023984981</v>
      </c>
      <c r="F869" s="140">
        <f t="shared" si="9"/>
        <v>0.6373284582</v>
      </c>
      <c r="G869" s="141">
        <f t="shared" si="10"/>
        <v>0.0644498772</v>
      </c>
      <c r="H869" s="142">
        <f t="shared" si="11"/>
        <v>1</v>
      </c>
      <c r="I869" s="142">
        <f t="shared" si="12"/>
        <v>0</v>
      </c>
      <c r="J869" s="142">
        <f t="shared" si="13"/>
        <v>0</v>
      </c>
      <c r="K869" s="142">
        <f t="shared" si="14"/>
        <v>1</v>
      </c>
      <c r="L869" s="139">
        <f>Assumptions!$C$6*Assumptions!$C$7*(1+$G869-0.05*(1-1))^1+Assumptions!$C$6*Assumptions!$C$8*(1+Assumptions!$C$11)^1+Assumptions!$C$16*1+Assumptions!$C$6*Assumptions!$C$9*(1+Assumptions!$C$12)^1</f>
        <v>748.1618287</v>
      </c>
      <c r="M869" s="139">
        <f>Assumptions!$C$6*Assumptions!$C$7*(1+$G869-0.05*(1-$H869))^2+Assumptions!$C$6*Assumptions!$C$8*(1+Assumptions!$C$11)^2+Assumptions!$C$16*$H869+Assumptions!$C$6*Assumptions!$C$9*(1+Assumptions!$C$12)^2</f>
        <v>777.8511819</v>
      </c>
      <c r="N869" s="139">
        <f>Assumptions!$C$6*Assumptions!$C$7*(1+$G869-0.05*(1-$I869))^3+Assumptions!$C$6*Assumptions!$C$8*(1+Assumptions!$C$11)^3+Assumptions!$C$16*$I869+Assumptions!$C$6*Assumptions!$C$9*(1+Assumptions!$C$12)^3</f>
        <v>694.5980139</v>
      </c>
      <c r="O869" s="139">
        <f>Assumptions!$C$6*Assumptions!$C$7*(1+$G869-0.05*(1-$J869))^4+Assumptions!$C$6*Assumptions!$C$8*(1+Assumptions!$C$11)^4+Assumptions!$C$16*$J869+Assumptions!$C$6*Assumptions!$C$9*(1+Assumptions!$C$12)^4</f>
        <v>706.5396425</v>
      </c>
      <c r="P869" s="139">
        <f>Assumptions!$C$6*Assumptions!$C$7*(1+$G869-0.05*(1-$K869))^5+Assumptions!$C$6*Assumptions!$C$8*(1+Assumptions!$C$11)^5+Assumptions!$C$16*$K869+Assumptions!$C$6*Assumptions!$C$9*(1+Assumptions!$C$12)^5</f>
        <v>877.0410491</v>
      </c>
      <c r="Q869" s="139">
        <f>($L869*(1-(Assumptions!$C$25+0.06*(1-1))-Assumptions!$C$27)-Assumptions!$C$28)-MAX(0,($L869*(1-(Assumptions!$C$25+0.06*(1-1))-Assumptions!$C$27)-Assumptions!$C$28)*Assumptions!$C$31)+Assumptions!$C$28-Assumptions!$C$29-$L869*Assumptions!$C$30</f>
        <v>93.35479316</v>
      </c>
      <c r="R869" s="139">
        <f>($M869*(1-(Assumptions!$C$25+0.06*(1-$H869))-Assumptions!$C$27)-Assumptions!$C$28)-MAX(0,($M869*(1-(Assumptions!$C$25+0.06*(1-$H869))-Assumptions!$C$27)-Assumptions!$C$28)*Assumptions!$C$31)+Assumptions!$C$28-Assumptions!$C$29-$M869*Assumptions!$C$30</f>
        <v>99.73800411</v>
      </c>
      <c r="S869" s="139">
        <f>($N869*(1-(Assumptions!$C$25+0.06*(1-$I869))-Assumptions!$C$27)-Assumptions!$C$28)-MAX(0,($N869*(1-(Assumptions!$C$25+0.06*(1-$I869))-Assumptions!$C$27)-Assumptions!$C$28)*Assumptions!$C$31)+Assumptions!$C$28-Assumptions!$C$29-$N869*Assumptions!$C$30</f>
        <v>39.75754321</v>
      </c>
      <c r="T869" s="139">
        <f>($O869*(1-(Assumptions!$C$25+0.06*(1-$J869))-Assumptions!$C$27)-Assumptions!$C$28)-MAX(0,($O869*(1-(Assumptions!$C$25+0.06*(1-$J869))-Assumptions!$C$27)-Assumptions!$C$28)*Assumptions!$C$31)+Assumptions!$C$28-Assumptions!$C$29-$O869*Assumptions!$C$30</f>
        <v>42.50411777</v>
      </c>
      <c r="U869" s="139">
        <f>($P869*(1-(Assumptions!$C$25+0.06*(1-$K869))-Assumptions!$C$27)-Assumptions!$C$28)-MAX(0,($P869*(1-(Assumptions!$C$25+0.06*(1-$K869))-Assumptions!$C$27)-Assumptions!$C$28)*Assumptions!$C$31)+Assumptions!$C$28-Assumptions!$C$29-$P869*Assumptions!$C$30</f>
        <v>121.0638255</v>
      </c>
      <c r="V869" s="143">
        <f>(($Q869/(1+$D869)^1+$R869/(1+$D869)^2+$S869/(1+$D869)^3+$T869/(1+$D869)^4+$U869/(1+$D869)^5+$U869*(1+$E869)/($D869-$E869)/(1+$D869)^5)-Assumptions!$C$37)/Assumptions!$C$40/Assumptions!$C$38</f>
        <v>6.432502296</v>
      </c>
    </row>
    <row r="870" ht="12.0" customHeight="1">
      <c r="B870" s="139">
        <v>818.0</v>
      </c>
      <c r="C870" s="140">
        <f t="shared" si="6"/>
        <v>0.6366101918</v>
      </c>
      <c r="D870" s="141">
        <f t="shared" si="7"/>
        <v>0.100721986</v>
      </c>
      <c r="E870" s="141">
        <f t="shared" si="8"/>
        <v>0.01833248709</v>
      </c>
      <c r="F870" s="140">
        <f t="shared" si="9"/>
        <v>0.935473557</v>
      </c>
      <c r="G870" s="141">
        <f t="shared" si="10"/>
        <v>0.07922282053</v>
      </c>
      <c r="H870" s="142">
        <f t="shared" si="11"/>
        <v>1</v>
      </c>
      <c r="I870" s="142">
        <f t="shared" si="12"/>
        <v>0</v>
      </c>
      <c r="J870" s="142">
        <f t="shared" si="13"/>
        <v>1</v>
      </c>
      <c r="K870" s="142">
        <f t="shared" si="14"/>
        <v>1</v>
      </c>
      <c r="L870" s="139">
        <f>Assumptions!$C$6*Assumptions!$C$7*(1+$G870-0.05*(1-1))^1+Assumptions!$C$6*Assumptions!$C$8*(1+Assumptions!$C$11)^1+Assumptions!$C$16*1+Assumptions!$C$6*Assumptions!$C$9*(1+Assumptions!$C$12)^1</f>
        <v>753.1344014</v>
      </c>
      <c r="M870" s="139">
        <f>Assumptions!$C$6*Assumptions!$C$7*(1+$G870-0.05*(1-$H870))^2+Assumptions!$C$6*Assumptions!$C$8*(1+Assumptions!$C$11)^2+Assumptions!$C$16*$H870+Assumptions!$C$6*Assumptions!$C$9*(1+Assumptions!$C$12)^2</f>
        <v>788.5107503</v>
      </c>
      <c r="N870" s="139">
        <f>Assumptions!$C$6*Assumptions!$C$7*(1+$G870-0.05*(1-$I870))^3+Assumptions!$C$6*Assumptions!$C$8*(1+Assumptions!$C$11)^3+Assumptions!$C$16*$I870+Assumptions!$C$6*Assumptions!$C$9*(1+Assumptions!$C$12)^3</f>
        <v>710.1746136</v>
      </c>
      <c r="O870" s="139">
        <f>Assumptions!$C$6*Assumptions!$C$7*(1+$G870-0.05*(1-$J870))^4+Assumptions!$C$6*Assumptions!$C$8*(1+Assumptions!$C$11)^4+Assumptions!$C$16*$J870+Assumptions!$C$6*Assumptions!$C$9*(1+Assumptions!$C$12)^4</f>
        <v>866.682411</v>
      </c>
      <c r="P870" s="139">
        <f>Assumptions!$C$6*Assumptions!$C$7*(1+$G870-0.05*(1-$K870))^5+Assumptions!$C$6*Assumptions!$C$8*(1+Assumptions!$C$11)^5+Assumptions!$C$16*$K870+Assumptions!$C$6*Assumptions!$C$9*(1+Assumptions!$C$12)^5</f>
        <v>909.8586116</v>
      </c>
      <c r="Q870" s="139">
        <f>($L870*(1-(Assumptions!$C$25+0.06*(1-1))-Assumptions!$C$27)-Assumptions!$C$28)-MAX(0,($L870*(1-(Assumptions!$C$25+0.06*(1-1))-Assumptions!$C$27)-Assumptions!$C$28)*Assumptions!$C$31)+Assumptions!$C$28-Assumptions!$C$29-$L870*Assumptions!$C$30</f>
        <v>94.4238963</v>
      </c>
      <c r="R870" s="139">
        <f>($M870*(1-(Assumptions!$C$25+0.06*(1-$H870))-Assumptions!$C$27)-Assumptions!$C$28)-MAX(0,($M870*(1-(Assumptions!$C$25+0.06*(1-$H870))-Assumptions!$C$27)-Assumptions!$C$28)*Assumptions!$C$31)+Assumptions!$C$28-Assumptions!$C$29-$M870*Assumptions!$C$30</f>
        <v>102.0298113</v>
      </c>
      <c r="S870" s="139">
        <f>($N870*(1-(Assumptions!$C$25+0.06*(1-$I870))-Assumptions!$C$27)-Assumptions!$C$28)-MAX(0,($N870*(1-(Assumptions!$C$25+0.06*(1-$I870))-Assumptions!$C$27)-Assumptions!$C$28)*Assumptions!$C$31)+Assumptions!$C$28-Assumptions!$C$29-$N870*Assumptions!$C$30</f>
        <v>43.34016112</v>
      </c>
      <c r="T870" s="139">
        <f>($O870*(1-(Assumptions!$C$25+0.06*(1-$J870))-Assumptions!$C$27)-Assumptions!$C$28)-MAX(0,($O870*(1-(Assumptions!$C$25+0.06*(1-$J870))-Assumptions!$C$27)-Assumptions!$C$28)*Assumptions!$C$31)+Assumptions!$C$28-Assumptions!$C$29-$O870*Assumptions!$C$30</f>
        <v>118.8367184</v>
      </c>
      <c r="U870" s="139">
        <f>($P870*(1-(Assumptions!$C$25+0.06*(1-$K870))-Assumptions!$C$27)-Assumptions!$C$28)-MAX(0,($P870*(1-(Assumptions!$C$25+0.06*(1-$K870))-Assumptions!$C$27)-Assumptions!$C$28)*Assumptions!$C$31)+Assumptions!$C$28-Assumptions!$C$29-$P870*Assumptions!$C$30</f>
        <v>128.1196015</v>
      </c>
      <c r="V870" s="143">
        <f>(($Q870/(1+$D870)^1+$R870/(1+$D870)^2+$S870/(1+$D870)^3+$T870/(1+$D870)^4+$U870/(1+$D870)^5+$U870*(1+$E870)/($D870-$E870)/(1+$D870)^5)-Assumptions!$C$37)/Assumptions!$C$40/Assumptions!$C$38</f>
        <v>5.081022077</v>
      </c>
    </row>
    <row r="871" ht="12.0" customHeight="1">
      <c r="B871" s="139">
        <v>819.0</v>
      </c>
      <c r="C871" s="140">
        <f t="shared" si="6"/>
        <v>0.6102681115</v>
      </c>
      <c r="D871" s="141">
        <f t="shared" si="7"/>
        <v>0.1002135336</v>
      </c>
      <c r="E871" s="141">
        <f t="shared" si="8"/>
        <v>0.02816033462</v>
      </c>
      <c r="F871" s="140">
        <f t="shared" si="9"/>
        <v>0.6939430946</v>
      </c>
      <c r="G871" s="141">
        <f t="shared" si="10"/>
        <v>0.06652868922</v>
      </c>
      <c r="H871" s="142">
        <f t="shared" si="11"/>
        <v>1</v>
      </c>
      <c r="I871" s="142">
        <f t="shared" si="12"/>
        <v>0</v>
      </c>
      <c r="J871" s="142">
        <f t="shared" si="13"/>
        <v>1</v>
      </c>
      <c r="K871" s="142">
        <f t="shared" si="14"/>
        <v>1</v>
      </c>
      <c r="L871" s="139">
        <f>Assumptions!$C$6*Assumptions!$C$7*(1+$G871-0.05*(1-1))^1+Assumptions!$C$6*Assumptions!$C$8*(1+Assumptions!$C$11)^1+Assumptions!$C$16*1+Assumptions!$C$6*Assumptions!$C$9*(1+Assumptions!$C$12)^1</f>
        <v>748.8615568</v>
      </c>
      <c r="M871" s="139">
        <f>Assumptions!$C$6*Assumptions!$C$7*(1+$G871-0.05*(1-$H871))^2+Assumptions!$C$6*Assumptions!$C$8*(1+Assumptions!$C$11)^2+Assumptions!$C$16*$H871+Assumptions!$C$6*Assumptions!$C$9*(1+Assumptions!$C$12)^2</f>
        <v>779.3422876</v>
      </c>
      <c r="N871" s="139">
        <f>Assumptions!$C$6*Assumptions!$C$7*(1+$G871-0.05*(1-$I871))^3+Assumptions!$C$6*Assumptions!$C$8*(1+Assumptions!$C$11)^3+Assumptions!$C$16*$I871+Assumptions!$C$6*Assumptions!$C$9*(1+Assumptions!$C$12)^3</f>
        <v>696.7627324</v>
      </c>
      <c r="O871" s="139">
        <f>Assumptions!$C$6*Assumptions!$C$7*(1+$G871-0.05*(1-$J871))^4+Assumptions!$C$6*Assumptions!$C$8*(1+Assumptions!$C$11)^4+Assumptions!$C$16*$J871+Assumptions!$C$6*Assumptions!$C$9*(1+Assumptions!$C$12)^4</f>
        <v>845.5747271</v>
      </c>
      <c r="P871" s="139">
        <f>Assumptions!$C$6*Assumptions!$C$7*(1+$G871-0.05*(1-$K871))^5+Assumptions!$C$6*Assumptions!$C$8*(1+Assumptions!$C$11)^5+Assumptions!$C$16*$K871+Assumptions!$C$6*Assumptions!$C$9*(1+Assumptions!$C$12)^5</f>
        <v>881.550218</v>
      </c>
      <c r="Q871" s="139">
        <f>($L871*(1-(Assumptions!$C$25+0.06*(1-1))-Assumptions!$C$27)-Assumptions!$C$28)-MAX(0,($L871*(1-(Assumptions!$C$25+0.06*(1-1))-Assumptions!$C$27)-Assumptions!$C$28)*Assumptions!$C$31)+Assumptions!$C$28-Assumptions!$C$29-$L871*Assumptions!$C$30</f>
        <v>93.50523471</v>
      </c>
      <c r="R871" s="139">
        <f>($M871*(1-(Assumptions!$C$25+0.06*(1-$H871))-Assumptions!$C$27)-Assumptions!$C$28)-MAX(0,($M871*(1-(Assumptions!$C$25+0.06*(1-$H871))-Assumptions!$C$27)-Assumptions!$C$28)*Assumptions!$C$31)+Assumptions!$C$28-Assumptions!$C$29-$M871*Assumptions!$C$30</f>
        <v>100.0585918</v>
      </c>
      <c r="S871" s="139">
        <f>($N871*(1-(Assumptions!$C$25+0.06*(1-$I871))-Assumptions!$C$27)-Assumptions!$C$28)-MAX(0,($N871*(1-(Assumptions!$C$25+0.06*(1-$I871))-Assumptions!$C$27)-Assumptions!$C$28)*Assumptions!$C$31)+Assumptions!$C$28-Assumptions!$C$29-$N871*Assumptions!$C$30</f>
        <v>40.25542846</v>
      </c>
      <c r="T871" s="139">
        <f>($O871*(1-(Assumptions!$C$25+0.06*(1-$J871))-Assumptions!$C$27)-Assumptions!$C$28)-MAX(0,($O871*(1-(Assumptions!$C$25+0.06*(1-$J871))-Assumptions!$C$27)-Assumptions!$C$28)*Assumptions!$C$31)+Assumptions!$C$28-Assumptions!$C$29-$O871*Assumptions!$C$30</f>
        <v>114.2985663</v>
      </c>
      <c r="U871" s="139">
        <f>($P871*(1-(Assumptions!$C$25+0.06*(1-$K871))-Assumptions!$C$27)-Assumptions!$C$28)-MAX(0,($P871*(1-(Assumptions!$C$25+0.06*(1-$K871))-Assumptions!$C$27)-Assumptions!$C$28)*Assumptions!$C$31)+Assumptions!$C$28-Assumptions!$C$29-$P871*Assumptions!$C$30</f>
        <v>122.0332969</v>
      </c>
      <c r="V871" s="143">
        <f>(($Q871/(1+$D871)^1+$R871/(1+$D871)^2+$S871/(1+$D871)^3+$T871/(1+$D871)^4+$U871/(1+$D871)^5+$U871*(1+$E871)/($D871-$E871)/(1+$D871)^5)-Assumptions!$C$37)/Assumptions!$C$40/Assumptions!$C$38</f>
        <v>5.775516474</v>
      </c>
    </row>
    <row r="872" ht="12.0" customHeight="1">
      <c r="B872" s="139">
        <v>820.0</v>
      </c>
      <c r="C872" s="140">
        <f t="shared" si="6"/>
        <v>0.2428096374</v>
      </c>
      <c r="D872" s="141">
        <f t="shared" si="7"/>
        <v>0.09407262184</v>
      </c>
      <c r="E872" s="141">
        <f t="shared" si="8"/>
        <v>0.01746758065</v>
      </c>
      <c r="F872" s="140">
        <f t="shared" si="9"/>
        <v>0.8648510026</v>
      </c>
      <c r="G872" s="141">
        <f t="shared" si="10"/>
        <v>0.07440294274</v>
      </c>
      <c r="H872" s="142">
        <f t="shared" si="11"/>
        <v>0</v>
      </c>
      <c r="I872" s="142">
        <f t="shared" si="12"/>
        <v>0</v>
      </c>
      <c r="J872" s="142">
        <f t="shared" si="13"/>
        <v>1</v>
      </c>
      <c r="K872" s="142">
        <f t="shared" si="14"/>
        <v>1</v>
      </c>
      <c r="L872" s="139">
        <f>Assumptions!$C$6*Assumptions!$C$7*(1+$G872-0.05*(1-1))^1+Assumptions!$C$6*Assumptions!$C$8*(1+Assumptions!$C$11)^1+Assumptions!$C$16*1+Assumptions!$C$6*Assumptions!$C$9*(1+Assumptions!$C$12)^1</f>
        <v>751.5120305</v>
      </c>
      <c r="M872" s="139">
        <f>Assumptions!$C$6*Assumptions!$C$7*(1+$G872-0.05*(1-$H872))^2+Assumptions!$C$6*Assumptions!$C$8*(1+Assumptions!$C$11)^2+Assumptions!$C$16*$H872+Assumptions!$C$6*Assumptions!$C$9*(1+Assumptions!$C$12)^2</f>
        <v>689.6938676</v>
      </c>
      <c r="N872" s="139">
        <f>Assumptions!$C$6*Assumptions!$C$7*(1+$G872-0.05*(1-$I872))^3+Assumptions!$C$6*Assumptions!$C$8*(1+Assumptions!$C$11)^3+Assumptions!$C$16*$I872+Assumptions!$C$6*Assumptions!$C$9*(1+Assumptions!$C$12)^3</f>
        <v>705.0429898</v>
      </c>
      <c r="O872" s="139">
        <f>Assumptions!$C$6*Assumptions!$C$7*(1+$G872-0.05*(1-$J872))^4+Assumptions!$C$6*Assumptions!$C$8*(1+Assumptions!$C$11)^4+Assumptions!$C$16*$J872+Assumptions!$C$6*Assumptions!$C$9*(1+Assumptions!$C$12)^4</f>
        <v>858.57965</v>
      </c>
      <c r="P872" s="139">
        <f>Assumptions!$C$6*Assumptions!$C$7*(1+$G872-0.05*(1-$K872))^5+Assumptions!$C$6*Assumptions!$C$8*(1+Assumptions!$C$11)^5+Assumptions!$C$16*$K872+Assumptions!$C$6*Assumptions!$C$9*(1+Assumptions!$C$12)^5</f>
        <v>898.9521101</v>
      </c>
      <c r="Q872" s="139">
        <f>($L872*(1-(Assumptions!$C$25+0.06*(1-1))-Assumptions!$C$27)-Assumptions!$C$28)-MAX(0,($L872*(1-(Assumptions!$C$25+0.06*(1-1))-Assumptions!$C$27)-Assumptions!$C$28)*Assumptions!$C$31)+Assumptions!$C$28-Assumptions!$C$29-$L872*Assumptions!$C$30</f>
        <v>94.07508656</v>
      </c>
      <c r="R872" s="139">
        <f>($M872*(1-(Assumptions!$C$25+0.06*(1-$H872))-Assumptions!$C$27)-Assumptions!$C$28)-MAX(0,($M872*(1-(Assumptions!$C$25+0.06*(1-$H872))-Assumptions!$C$27)-Assumptions!$C$28)*Assumptions!$C$31)+Assumptions!$C$28-Assumptions!$C$29-$M872*Assumptions!$C$30</f>
        <v>38.62958954</v>
      </c>
      <c r="S872" s="139">
        <f>($N872*(1-(Assumptions!$C$25+0.06*(1-$I872))-Assumptions!$C$27)-Assumptions!$C$28)-MAX(0,($N872*(1-(Assumptions!$C$25+0.06*(1-$I872))-Assumptions!$C$27)-Assumptions!$C$28)*Assumptions!$C$31)+Assumptions!$C$28-Assumptions!$C$29-$N872*Assumptions!$C$30</f>
        <v>42.15988766</v>
      </c>
      <c r="T872" s="139">
        <f>($O872*(1-(Assumptions!$C$25+0.06*(1-$J872))-Assumptions!$C$27)-Assumptions!$C$28)-MAX(0,($O872*(1-(Assumptions!$C$25+0.06*(1-$J872))-Assumptions!$C$27)-Assumptions!$C$28)*Assumptions!$C$31)+Assumptions!$C$28-Assumptions!$C$29-$O872*Assumptions!$C$30</f>
        <v>117.0946247</v>
      </c>
      <c r="U872" s="139">
        <f>($P872*(1-(Assumptions!$C$25+0.06*(1-$K872))-Assumptions!$C$27)-Assumptions!$C$28)-MAX(0,($P872*(1-(Assumptions!$C$25+0.06*(1-$K872))-Assumptions!$C$27)-Assumptions!$C$28)*Assumptions!$C$31)+Assumptions!$C$28-Assumptions!$C$29-$P872*Assumptions!$C$30</f>
        <v>125.7747037</v>
      </c>
      <c r="V872" s="143">
        <f>(($Q872/(1+$D872)^1+$R872/(1+$D872)^2+$S872/(1+$D872)^3+$T872/(1+$D872)^4+$U872/(1+$D872)^5+$U872*(1+$E872)/($D872-$E872)/(1+$D872)^5)-Assumptions!$C$37)/Assumptions!$C$40/Assumptions!$C$38</f>
        <v>5.356547444</v>
      </c>
    </row>
    <row r="873" ht="12.0" customHeight="1">
      <c r="B873" s="139">
        <v>821.0</v>
      </c>
      <c r="C873" s="140">
        <f t="shared" si="6"/>
        <v>0.5435497434</v>
      </c>
      <c r="D873" s="141">
        <f t="shared" si="7"/>
        <v>0.09899785658</v>
      </c>
      <c r="E873" s="141">
        <f t="shared" si="8"/>
        <v>0.02917731495</v>
      </c>
      <c r="F873" s="140">
        <f t="shared" si="9"/>
        <v>0.9578984237</v>
      </c>
      <c r="G873" s="141">
        <f t="shared" si="10"/>
        <v>0.08129466616</v>
      </c>
      <c r="H873" s="142">
        <f t="shared" si="11"/>
        <v>1</v>
      </c>
      <c r="I873" s="142">
        <f t="shared" si="12"/>
        <v>0</v>
      </c>
      <c r="J873" s="142">
        <f t="shared" si="13"/>
        <v>0</v>
      </c>
      <c r="K873" s="142">
        <f t="shared" si="14"/>
        <v>1</v>
      </c>
      <c r="L873" s="139">
        <f>Assumptions!$C$6*Assumptions!$C$7*(1+$G873-0.05*(1-1))^1+Assumptions!$C$6*Assumptions!$C$8*(1+Assumptions!$C$11)^1+Assumptions!$C$16*1+Assumptions!$C$6*Assumptions!$C$9*(1+Assumptions!$C$12)^1</f>
        <v>753.8317846</v>
      </c>
      <c r="M873" s="139">
        <f>Assumptions!$C$6*Assumptions!$C$7*(1+$G873-0.05*(1-$H873))^2+Assumptions!$C$6*Assumptions!$C$8*(1+Assumptions!$C$11)^2+Assumptions!$C$16*$H873+Assumptions!$C$6*Assumptions!$C$9*(1+Assumptions!$C$12)^2</f>
        <v>790.017459</v>
      </c>
      <c r="N873" s="139">
        <f>Assumptions!$C$6*Assumptions!$C$7*(1+$G873-0.05*(1-$I873))^3+Assumptions!$C$6*Assumptions!$C$8*(1+Assumptions!$C$11)^3+Assumptions!$C$16*$I873+Assumptions!$C$6*Assumptions!$C$9*(1+Assumptions!$C$12)^3</f>
        <v>712.3952912</v>
      </c>
      <c r="O873" s="139">
        <f>Assumptions!$C$6*Assumptions!$C$7*(1+$G873-0.05*(1-$J873))^4+Assumptions!$C$6*Assumptions!$C$8*(1+Assumptions!$C$11)^4+Assumptions!$C$16*$J873+Assumptions!$C$6*Assumptions!$C$9*(1+Assumptions!$C$12)^4</f>
        <v>730.8131948</v>
      </c>
      <c r="P873" s="139">
        <f>Assumptions!$C$6*Assumptions!$C$7*(1+$G873-0.05*(1-$K873))^5+Assumptions!$C$6*Assumptions!$C$8*(1+Assumptions!$C$11)^5+Assumptions!$C$16*$K873+Assumptions!$C$6*Assumptions!$C$9*(1+Assumptions!$C$12)^5</f>
        <v>914.607079</v>
      </c>
      <c r="Q873" s="139">
        <f>($L873*(1-(Assumptions!$C$25+0.06*(1-1))-Assumptions!$C$27)-Assumptions!$C$28)-MAX(0,($L873*(1-(Assumptions!$C$25+0.06*(1-1))-Assumptions!$C$27)-Assumptions!$C$28)*Assumptions!$C$31)+Assumptions!$C$28-Assumptions!$C$29-$L873*Assumptions!$C$30</f>
        <v>94.5738337</v>
      </c>
      <c r="R873" s="139">
        <f>($M873*(1-(Assumptions!$C$25+0.06*(1-$H873))-Assumptions!$C$27)-Assumptions!$C$28)-MAX(0,($M873*(1-(Assumptions!$C$25+0.06*(1-$H873))-Assumptions!$C$27)-Assumptions!$C$28)*Assumptions!$C$31)+Assumptions!$C$28-Assumptions!$C$29-$M873*Assumptions!$C$30</f>
        <v>102.3537537</v>
      </c>
      <c r="S873" s="139">
        <f>($N873*(1-(Assumptions!$C$25+0.06*(1-$I873))-Assumptions!$C$27)-Assumptions!$C$28)-MAX(0,($N873*(1-(Assumptions!$C$25+0.06*(1-$I873))-Assumptions!$C$27)-Assumptions!$C$28)*Assumptions!$C$31)+Assumptions!$C$28-Assumptions!$C$29-$N873*Assumptions!$C$30</f>
        <v>43.85091698</v>
      </c>
      <c r="T873" s="139">
        <f>($O873*(1-(Assumptions!$C$25+0.06*(1-$J873))-Assumptions!$C$27)-Assumptions!$C$28)-MAX(0,($O873*(1-(Assumptions!$C$25+0.06*(1-$J873))-Assumptions!$C$27)-Assumptions!$C$28)*Assumptions!$C$31)+Assumptions!$C$28-Assumptions!$C$29-$O873*Assumptions!$C$30</f>
        <v>48.08703482</v>
      </c>
      <c r="U873" s="139">
        <f>($P873*(1-(Assumptions!$C$25+0.06*(1-$K873))-Assumptions!$C$27)-Assumptions!$C$28)-MAX(0,($P873*(1-(Assumptions!$C$25+0.06*(1-$K873))-Assumptions!$C$27)-Assumptions!$C$28)*Assumptions!$C$31)+Assumptions!$C$28-Assumptions!$C$29-$P873*Assumptions!$C$30</f>
        <v>129.140522</v>
      </c>
      <c r="V873" s="143">
        <f>(($Q873/(1+$D873)^1+$R873/(1+$D873)^2+$S873/(1+$D873)^3+$T873/(1+$D873)^4+$U873/(1+$D873)^5+$U873*(1+$E873)/($D873-$E873)/(1+$D873)^5)-Assumptions!$C$37)/Assumptions!$C$40/Assumptions!$C$38</f>
        <v>6.344772903</v>
      </c>
    </row>
    <row r="874" ht="12.0" customHeight="1">
      <c r="B874" s="139">
        <v>822.0</v>
      </c>
      <c r="C874" s="140">
        <f t="shared" si="6"/>
        <v>0.8442788638</v>
      </c>
      <c r="D874" s="141">
        <f t="shared" si="7"/>
        <v>0.1056533665</v>
      </c>
      <c r="E874" s="141">
        <f t="shared" si="8"/>
        <v>0.02047030521</v>
      </c>
      <c r="F874" s="140">
        <f t="shared" si="9"/>
        <v>0.09225514</v>
      </c>
      <c r="G874" s="141">
        <f t="shared" si="10"/>
        <v>0.04288639795</v>
      </c>
      <c r="H874" s="142">
        <f t="shared" si="11"/>
        <v>1</v>
      </c>
      <c r="I874" s="142">
        <f t="shared" si="12"/>
        <v>0</v>
      </c>
      <c r="J874" s="142">
        <f t="shared" si="13"/>
        <v>0</v>
      </c>
      <c r="K874" s="142">
        <f t="shared" si="14"/>
        <v>0</v>
      </c>
      <c r="L874" s="139">
        <f>Assumptions!$C$6*Assumptions!$C$7*(1+$G874-0.05*(1-1))^1+Assumptions!$C$6*Assumptions!$C$8*(1+Assumptions!$C$11)^1+Assumptions!$C$16*1+Assumptions!$C$6*Assumptions!$C$9*(1+Assumptions!$C$12)^1</f>
        <v>740.9035615</v>
      </c>
      <c r="M874" s="139">
        <f>Assumptions!$C$6*Assumptions!$C$7*(1+$G874-0.05*(1-$H874))^2+Assumptions!$C$6*Assumptions!$C$8*(1+Assumptions!$C$11)^2+Assumptions!$C$16*$H874+Assumptions!$C$6*Assumptions!$C$9*(1+Assumptions!$C$12)^2</f>
        <v>762.5555723</v>
      </c>
      <c r="N874" s="139">
        <f>Assumptions!$C$6*Assumptions!$C$7*(1+$G874-0.05*(1-$I874))^3+Assumptions!$C$6*Assumptions!$C$8*(1+Assumptions!$C$11)^3+Assumptions!$C$16*$I874+Assumptions!$C$6*Assumptions!$C$9*(1+Assumptions!$C$12)^3</f>
        <v>672.6623299</v>
      </c>
      <c r="O874" s="139">
        <f>Assumptions!$C$6*Assumptions!$C$7*(1+$G874-0.05*(1-$J874))^4+Assumptions!$C$6*Assumptions!$C$8*(1+Assumptions!$C$11)^4+Assumptions!$C$16*$J874+Assumptions!$C$6*Assumptions!$C$9*(1+Assumptions!$C$12)^4</f>
        <v>677.1825214</v>
      </c>
      <c r="P874" s="139">
        <f>Assumptions!$C$6*Assumptions!$C$7*(1+$G874-0.05*(1-$K874))^5+Assumptions!$C$6*Assumptions!$C$8*(1+Assumptions!$C$11)^5+Assumptions!$C$16*$K874+Assumptions!$C$6*Assumptions!$C$9*(1+Assumptions!$C$12)^5</f>
        <v>681.856663</v>
      </c>
      <c r="Q874" s="139">
        <f>($L874*(1-(Assumptions!$C$25+0.06*(1-1))-Assumptions!$C$27)-Assumptions!$C$28)-MAX(0,($L874*(1-(Assumptions!$C$25+0.06*(1-1))-Assumptions!$C$27)-Assumptions!$C$28)*Assumptions!$C$31)+Assumptions!$C$28-Assumptions!$C$29-$L874*Assumptions!$C$30</f>
        <v>91.79426573</v>
      </c>
      <c r="R874" s="139">
        <f>($M874*(1-(Assumptions!$C$25+0.06*(1-$H874))-Assumptions!$C$27)-Assumptions!$C$28)-MAX(0,($M874*(1-(Assumptions!$C$25+0.06*(1-$H874))-Assumptions!$C$27)-Assumptions!$C$28)*Assumptions!$C$31)+Assumptions!$C$28-Assumptions!$C$29-$M874*Assumptions!$C$30</f>
        <v>96.44944805</v>
      </c>
      <c r="S874" s="139">
        <f>($N874*(1-(Assumptions!$C$25+0.06*(1-$I874))-Assumptions!$C$27)-Assumptions!$C$28)-MAX(0,($N874*(1-(Assumptions!$C$25+0.06*(1-$I874))-Assumptions!$C$27)-Assumptions!$C$28)*Assumptions!$C$31)+Assumptions!$C$28-Assumptions!$C$29-$N874*Assumptions!$C$30</f>
        <v>34.71233588</v>
      </c>
      <c r="T874" s="139">
        <f>($O874*(1-(Assumptions!$C$25+0.06*(1-$J874))-Assumptions!$C$27)-Assumptions!$C$28)-MAX(0,($O874*(1-(Assumptions!$C$25+0.06*(1-$J874))-Assumptions!$C$27)-Assumptions!$C$28)*Assumptions!$C$31)+Assumptions!$C$28-Assumptions!$C$29-$O874*Assumptions!$C$30</f>
        <v>35.75197993</v>
      </c>
      <c r="U874" s="139">
        <f>($P874*(1-(Assumptions!$C$25+0.06*(1-$K874))-Assumptions!$C$27)-Assumptions!$C$28)-MAX(0,($P874*(1-(Assumptions!$C$25+0.06*(1-$K874))-Assumptions!$C$27)-Assumptions!$C$28)*Assumptions!$C$31)+Assumptions!$C$28-Assumptions!$C$29-$P874*Assumptions!$C$30</f>
        <v>36.82703248</v>
      </c>
      <c r="V874" s="143">
        <f>(($Q874/(1+$D874)^1+$R874/(1+$D874)^2+$S874/(1+$D874)^3+$T874/(1+$D874)^4+$U874/(1+$D874)^5+$U874*(1+$E874)/($D874-$E874)/(1+$D874)^5)-Assumptions!$C$37)/Assumptions!$C$40/Assumptions!$C$38</f>
        <v>-1.489636731</v>
      </c>
    </row>
    <row r="875" ht="12.0" customHeight="1">
      <c r="B875" s="139">
        <v>823.0</v>
      </c>
      <c r="C875" s="140">
        <f t="shared" si="6"/>
        <v>0.8100763037</v>
      </c>
      <c r="D875" s="141">
        <f t="shared" si="7"/>
        <v>0.10467783</v>
      </c>
      <c r="E875" s="141">
        <f t="shared" si="8"/>
        <v>0.02089939486</v>
      </c>
      <c r="F875" s="140">
        <f t="shared" si="9"/>
        <v>0.3450965982</v>
      </c>
      <c r="G875" s="141">
        <f t="shared" si="10"/>
        <v>0.05492336006</v>
      </c>
      <c r="H875" s="142">
        <f t="shared" si="11"/>
        <v>1</v>
      </c>
      <c r="I875" s="142">
        <f t="shared" si="12"/>
        <v>1</v>
      </c>
      <c r="J875" s="142">
        <f t="shared" si="13"/>
        <v>1</v>
      </c>
      <c r="K875" s="142">
        <f t="shared" si="14"/>
        <v>1</v>
      </c>
      <c r="L875" s="139">
        <f>Assumptions!$C$6*Assumptions!$C$7*(1+$G875-0.05*(1-1))^1+Assumptions!$C$6*Assumptions!$C$8*(1+Assumptions!$C$11)^1+Assumptions!$C$16*1+Assumptions!$C$6*Assumptions!$C$9*(1+Assumptions!$C$12)^1</f>
        <v>744.955203</v>
      </c>
      <c r="M875" s="139">
        <f>Assumptions!$C$6*Assumptions!$C$7*(1+$G875-0.05*(1-$H875))^2+Assumptions!$C$6*Assumptions!$C$8*(1+Assumptions!$C$11)^2+Assumptions!$C$16*$H875+Assumptions!$C$6*Assumptions!$C$9*(1+Assumptions!$C$12)^2</f>
        <v>771.0551453</v>
      </c>
      <c r="N875" s="139">
        <f>Assumptions!$C$6*Assumptions!$C$7*(1+$G875-0.05*(1-$I875))^3+Assumptions!$C$6*Assumptions!$C$8*(1+Assumptions!$C$11)^3+Assumptions!$C$16*$I875+Assumptions!$C$6*Assumptions!$C$9*(1+Assumptions!$C$12)^3</f>
        <v>798.3581822</v>
      </c>
      <c r="O875" s="139">
        <f>Assumptions!$C$6*Assumptions!$C$7*(1+$G875-0.05*(1-$J875))^4+Assumptions!$C$6*Assumptions!$C$8*(1+Assumptions!$C$11)^4+Assumptions!$C$16*$J875+Assumptions!$C$6*Assumptions!$C$9*(1+Assumptions!$C$12)^4</f>
        <v>826.9257835</v>
      </c>
      <c r="P875" s="139">
        <f>Assumptions!$C$6*Assumptions!$C$7*(1+$G875-0.05*(1-$K875))^5+Assumptions!$C$6*Assumptions!$C$8*(1+Assumptions!$C$11)^5+Assumptions!$C$16*$K875+Assumptions!$C$6*Assumptions!$C$9*(1+Assumptions!$C$12)^5</f>
        <v>856.8227033</v>
      </c>
      <c r="Q875" s="139">
        <f>($L875*(1-(Assumptions!$C$25+0.06*(1-1))-Assumptions!$C$27)-Assumptions!$C$28)-MAX(0,($L875*(1-(Assumptions!$C$25+0.06*(1-1))-Assumptions!$C$27)-Assumptions!$C$28)*Assumptions!$C$31)+Assumptions!$C$28-Assumptions!$C$29-$L875*Assumptions!$C$30</f>
        <v>92.66536864</v>
      </c>
      <c r="R875" s="139">
        <f>($M875*(1-(Assumptions!$C$25+0.06*(1-$H875))-Assumptions!$C$27)-Assumptions!$C$28)-MAX(0,($M875*(1-(Assumptions!$C$25+0.06*(1-$H875))-Assumptions!$C$27)-Assumptions!$C$28)*Assumptions!$C$31)+Assumptions!$C$28-Assumptions!$C$29-$M875*Assumptions!$C$30</f>
        <v>98.27685624</v>
      </c>
      <c r="S875" s="139">
        <f>($N875*(1-(Assumptions!$C$25+0.06*(1-$I875))-Assumptions!$C$27)-Assumptions!$C$28)-MAX(0,($N875*(1-(Assumptions!$C$25+0.06*(1-$I875))-Assumptions!$C$27)-Assumptions!$C$28)*Assumptions!$C$31)+Assumptions!$C$28-Assumptions!$C$29-$N875*Assumptions!$C$30</f>
        <v>104.1470092</v>
      </c>
      <c r="T875" s="139">
        <f>($O875*(1-(Assumptions!$C$25+0.06*(1-$J875))-Assumptions!$C$27)-Assumptions!$C$28)-MAX(0,($O875*(1-(Assumptions!$C$25+0.06*(1-$J875))-Assumptions!$C$27)-Assumptions!$C$28)*Assumptions!$C$31)+Assumptions!$C$28-Assumptions!$C$29-$O875*Assumptions!$C$30</f>
        <v>110.2890435</v>
      </c>
      <c r="U875" s="139">
        <f>($P875*(1-(Assumptions!$C$25+0.06*(1-$K875))-Assumptions!$C$27)-Assumptions!$C$28)-MAX(0,($P875*(1-(Assumptions!$C$25+0.06*(1-$K875))-Assumptions!$C$27)-Assumptions!$C$28)*Assumptions!$C$31)+Assumptions!$C$28-Assumptions!$C$29-$P875*Assumptions!$C$30</f>
        <v>116.7168812</v>
      </c>
      <c r="V875" s="143">
        <f>(($Q875/(1+$D875)^1+$R875/(1+$D875)^2+$S875/(1+$D875)^3+$T875/(1+$D875)^4+$U875/(1+$D875)^5+$U875*(1+$E875)/($D875-$E875)/(1+$D875)^5)-Assumptions!$C$37)/Assumptions!$C$40/Assumptions!$C$38</f>
        <v>4.366860881</v>
      </c>
    </row>
    <row r="876" ht="12.0" customHeight="1">
      <c r="B876" s="139">
        <v>824.0</v>
      </c>
      <c r="C876" s="140">
        <f t="shared" si="6"/>
        <v>0.7527605661</v>
      </c>
      <c r="D876" s="141">
        <f t="shared" si="7"/>
        <v>0.1032228474</v>
      </c>
      <c r="E876" s="141">
        <f t="shared" si="8"/>
        <v>0.01429587282</v>
      </c>
      <c r="F876" s="140">
        <f t="shared" si="9"/>
        <v>0.5598269503</v>
      </c>
      <c r="G876" s="141">
        <f t="shared" si="10"/>
        <v>0.06185197184</v>
      </c>
      <c r="H876" s="142">
        <f t="shared" si="11"/>
        <v>0</v>
      </c>
      <c r="I876" s="142">
        <f t="shared" si="12"/>
        <v>1</v>
      </c>
      <c r="J876" s="142">
        <f t="shared" si="13"/>
        <v>0</v>
      </c>
      <c r="K876" s="142">
        <f t="shared" si="14"/>
        <v>1</v>
      </c>
      <c r="L876" s="139">
        <f>Assumptions!$C$6*Assumptions!$C$7*(1+$G876-0.05*(1-1))^1+Assumptions!$C$6*Assumptions!$C$8*(1+Assumptions!$C$11)^1+Assumptions!$C$16*1+Assumptions!$C$6*Assumptions!$C$9*(1+Assumptions!$C$12)^1</f>
        <v>747.2873737</v>
      </c>
      <c r="M876" s="139">
        <f>Assumptions!$C$6*Assumptions!$C$7*(1+$G876-0.05*(1-$H876))^2+Assumptions!$C$6*Assumptions!$C$8*(1+Assumptions!$C$11)^2+Assumptions!$C$16*$H876+Assumptions!$C$6*Assumptions!$C$9*(1+Assumptions!$C$12)^2</f>
        <v>681.0913894</v>
      </c>
      <c r="N876" s="139">
        <f>Assumptions!$C$6*Assumptions!$C$7*(1+$G876-0.05*(1-$I876))^3+Assumptions!$C$6*Assumptions!$C$8*(1+Assumptions!$C$11)^3+Assumptions!$C$16*$I876+Assumptions!$C$6*Assumptions!$C$9*(1+Assumptions!$C$12)^3</f>
        <v>806.1955943</v>
      </c>
      <c r="O876" s="139">
        <f>Assumptions!$C$6*Assumptions!$C$7*(1+$G876-0.05*(1-$J876))^4+Assumptions!$C$6*Assumptions!$C$8*(1+Assumptions!$C$11)^4+Assumptions!$C$16*$J876+Assumptions!$C$6*Assumptions!$C$9*(1+Assumptions!$C$12)^4</f>
        <v>702.9019953</v>
      </c>
      <c r="P876" s="139">
        <f>Assumptions!$C$6*Assumptions!$C$7*(1+$G876-0.05*(1-$K876))^5+Assumptions!$C$6*Assumptions!$C$8*(1+Assumptions!$C$11)^5+Assumptions!$C$16*$K876+Assumptions!$C$6*Assumptions!$C$9*(1+Assumptions!$C$12)^5</f>
        <v>871.4552099</v>
      </c>
      <c r="Q876" s="139">
        <f>($L876*(1-(Assumptions!$C$25+0.06*(1-1))-Assumptions!$C$27)-Assumptions!$C$28)-MAX(0,($L876*(1-(Assumptions!$C$25+0.06*(1-1))-Assumptions!$C$27)-Assumptions!$C$28)*Assumptions!$C$31)+Assumptions!$C$28-Assumptions!$C$29-$L876*Assumptions!$C$30</f>
        <v>93.16678535</v>
      </c>
      <c r="R876" s="139">
        <f>($M876*(1-(Assumptions!$C$25+0.06*(1-$H876))-Assumptions!$C$27)-Assumptions!$C$28)-MAX(0,($M876*(1-(Assumptions!$C$25+0.06*(1-$H876))-Assumptions!$C$27)-Assumptions!$C$28)*Assumptions!$C$31)+Assumptions!$C$28-Assumptions!$C$29-$M876*Assumptions!$C$30</f>
        <v>36.65101956</v>
      </c>
      <c r="S876" s="139">
        <f>($N876*(1-(Assumptions!$C$25+0.06*(1-$I876))-Assumptions!$C$27)-Assumptions!$C$28)-MAX(0,($N876*(1-(Assumptions!$C$25+0.06*(1-$I876))-Assumptions!$C$27)-Assumptions!$C$28)*Assumptions!$C$31)+Assumptions!$C$28-Assumptions!$C$29-$N876*Assumptions!$C$30</f>
        <v>105.8320528</v>
      </c>
      <c r="T876" s="139">
        <f>($O876*(1-(Assumptions!$C$25+0.06*(1-$J876))-Assumptions!$C$27)-Assumptions!$C$28)-MAX(0,($O876*(1-(Assumptions!$C$25+0.06*(1-$J876))-Assumptions!$C$27)-Assumptions!$C$28)*Assumptions!$C$31)+Assumptions!$C$28-Assumptions!$C$29-$O876*Assumptions!$C$30</f>
        <v>41.66745891</v>
      </c>
      <c r="U876" s="139">
        <f>($P876*(1-(Assumptions!$C$25+0.06*(1-$K876))-Assumptions!$C$27)-Assumptions!$C$28)-MAX(0,($P876*(1-(Assumptions!$C$25+0.06*(1-$K876))-Assumptions!$C$27)-Assumptions!$C$28)*Assumptions!$C$31)+Assumptions!$C$28-Assumptions!$C$29-$P876*Assumptions!$C$30</f>
        <v>119.8628701</v>
      </c>
      <c r="V876" s="143">
        <f>(($Q876/(1+$D876)^1+$R876/(1+$D876)^2+$S876/(1+$D876)^3+$T876/(1+$D876)^4+$U876/(1+$D876)^5+$U876*(1+$E876)/($D876-$E876)/(1+$D876)^5)-Assumptions!$C$37)/Assumptions!$C$40/Assumptions!$C$38</f>
        <v>3.431552801</v>
      </c>
    </row>
    <row r="877" ht="12.0" customHeight="1">
      <c r="B877" s="139">
        <v>825.0</v>
      </c>
      <c r="C877" s="140">
        <f t="shared" si="6"/>
        <v>0.9033548563</v>
      </c>
      <c r="D877" s="141">
        <f t="shared" si="7"/>
        <v>0.1076367177</v>
      </c>
      <c r="E877" s="141">
        <f t="shared" si="8"/>
        <v>0.01426823155</v>
      </c>
      <c r="F877" s="140">
        <f t="shared" si="9"/>
        <v>0.5860057893</v>
      </c>
      <c r="G877" s="141">
        <f t="shared" si="10"/>
        <v>0.06270183927</v>
      </c>
      <c r="H877" s="142">
        <f t="shared" si="11"/>
        <v>0</v>
      </c>
      <c r="I877" s="142">
        <f t="shared" si="12"/>
        <v>0</v>
      </c>
      <c r="J877" s="142">
        <f t="shared" si="13"/>
        <v>1</v>
      </c>
      <c r="K877" s="142">
        <f t="shared" si="14"/>
        <v>0</v>
      </c>
      <c r="L877" s="139">
        <f>Assumptions!$C$6*Assumptions!$C$7*(1+$G877-0.05*(1-1))^1+Assumptions!$C$6*Assumptions!$C$8*(1+Assumptions!$C$11)^1+Assumptions!$C$16*1+Assumptions!$C$6*Assumptions!$C$9*(1+Assumptions!$C$12)^1</f>
        <v>747.5734391</v>
      </c>
      <c r="M877" s="139">
        <f>Assumptions!$C$6*Assumptions!$C$7*(1+$G877-0.05*(1-$H877))^2+Assumptions!$C$6*Assumptions!$C$8*(1+Assumptions!$C$11)^2+Assumptions!$C$16*$H877+Assumptions!$C$6*Assumptions!$C$9*(1+Assumptions!$C$12)^2</f>
        <v>681.6705441</v>
      </c>
      <c r="N877" s="139">
        <f>Assumptions!$C$6*Assumptions!$C$7*(1+$G877-0.05*(1-$I877))^3+Assumptions!$C$6*Assumptions!$C$8*(1+Assumptions!$C$11)^3+Assumptions!$C$16*$I877+Assumptions!$C$6*Assumptions!$C$9*(1+Assumptions!$C$12)^3</f>
        <v>692.7845921</v>
      </c>
      <c r="O877" s="139">
        <f>Assumptions!$C$6*Assumptions!$C$7*(1+$G877-0.05*(1-$J877))^4+Assumptions!$C$6*Assumptions!$C$8*(1+Assumptions!$C$11)^4+Assumptions!$C$16*$J877+Assumptions!$C$6*Assumptions!$C$9*(1+Assumptions!$C$12)^4</f>
        <v>839.3575247</v>
      </c>
      <c r="P877" s="139">
        <f>Assumptions!$C$6*Assumptions!$C$7*(1+$G877-0.05*(1-$K877))^5+Assumptions!$C$6*Assumptions!$C$8*(1+Assumptions!$C$11)^5+Assumptions!$C$16*$K877+Assumptions!$C$6*Assumptions!$C$9*(1+Assumptions!$C$12)^5</f>
        <v>715.5869284</v>
      </c>
      <c r="Q877" s="139">
        <f>($L877*(1-(Assumptions!$C$25+0.06*(1-1))-Assumptions!$C$27)-Assumptions!$C$28)-MAX(0,($L877*(1-(Assumptions!$C$25+0.06*(1-1))-Assumptions!$C$27)-Assumptions!$C$28)*Assumptions!$C$31)+Assumptions!$C$28-Assumptions!$C$29-$L877*Assumptions!$C$30</f>
        <v>93.22828941</v>
      </c>
      <c r="R877" s="139">
        <f>($M877*(1-(Assumptions!$C$25+0.06*(1-$H877))-Assumptions!$C$27)-Assumptions!$C$28)-MAX(0,($M877*(1-(Assumptions!$C$25+0.06*(1-$H877))-Assumptions!$C$27)-Assumptions!$C$28)*Assumptions!$C$31)+Assumptions!$C$28-Assumptions!$C$29-$M877*Assumptions!$C$30</f>
        <v>36.78422515</v>
      </c>
      <c r="S877" s="139">
        <f>($N877*(1-(Assumptions!$C$25+0.06*(1-$I877))-Assumptions!$C$27)-Assumptions!$C$28)-MAX(0,($N877*(1-(Assumptions!$C$25+0.06*(1-$I877))-Assumptions!$C$27)-Assumptions!$C$28)*Assumptions!$C$31)+Assumptions!$C$28-Assumptions!$C$29-$N877*Assumptions!$C$30</f>
        <v>39.34045618</v>
      </c>
      <c r="T877" s="139">
        <f>($O877*(1-(Assumptions!$C$25+0.06*(1-$J877))-Assumptions!$C$27)-Assumptions!$C$28)-MAX(0,($O877*(1-(Assumptions!$C$25+0.06*(1-$J877))-Assumptions!$C$27)-Assumptions!$C$28)*Assumptions!$C$31)+Assumptions!$C$28-Assumptions!$C$29-$O877*Assumptions!$C$30</f>
        <v>112.9618678</v>
      </c>
      <c r="U877" s="139">
        <f>($P877*(1-(Assumptions!$C$25+0.06*(1-$K877))-Assumptions!$C$27)-Assumptions!$C$28)-MAX(0,($P877*(1-(Assumptions!$C$25+0.06*(1-$K877))-Assumptions!$C$27)-Assumptions!$C$28)*Assumptions!$C$31)+Assumptions!$C$28-Assumptions!$C$29-$P877*Assumptions!$C$30</f>
        <v>44.58499354</v>
      </c>
      <c r="V877" s="143">
        <f>(($Q877/(1+$D877)^1+$R877/(1+$D877)^2+$S877/(1+$D877)^3+$T877/(1+$D877)^4+$U877/(1+$D877)^5+$U877*(1+$E877)/($D877-$E877)/(1+$D877)^5)-Assumptions!$C$37)/Assumptions!$C$40/Assumptions!$C$38</f>
        <v>-1.219777755</v>
      </c>
    </row>
    <row r="878" ht="12.0" customHeight="1">
      <c r="B878" s="139">
        <v>826.0</v>
      </c>
      <c r="C878" s="140">
        <f t="shared" si="6"/>
        <v>0.4808486382</v>
      </c>
      <c r="D878" s="141">
        <f t="shared" si="7"/>
        <v>0.09793413014</v>
      </c>
      <c r="E878" s="141">
        <f t="shared" si="8"/>
        <v>0.01821503042</v>
      </c>
      <c r="F878" s="140">
        <f t="shared" si="9"/>
        <v>0.4681511682</v>
      </c>
      <c r="G878" s="141">
        <f t="shared" si="10"/>
        <v>0.05902881504</v>
      </c>
      <c r="H878" s="142">
        <f t="shared" si="11"/>
        <v>1</v>
      </c>
      <c r="I878" s="142">
        <f t="shared" si="12"/>
        <v>1</v>
      </c>
      <c r="J878" s="142">
        <f t="shared" si="13"/>
        <v>1</v>
      </c>
      <c r="K878" s="142">
        <f t="shared" si="14"/>
        <v>0</v>
      </c>
      <c r="L878" s="139">
        <f>Assumptions!$C$6*Assumptions!$C$7*(1+$G878-0.05*(1-1))^1+Assumptions!$C$6*Assumptions!$C$8*(1+Assumptions!$C$11)^1+Assumptions!$C$16*1+Assumptions!$C$6*Assumptions!$C$9*(1+Assumptions!$C$12)^1</f>
        <v>746.3370991</v>
      </c>
      <c r="M878" s="139">
        <f>Assumptions!$C$6*Assumptions!$C$7*(1+$G878-0.05*(1-$H878))^2+Assumptions!$C$6*Assumptions!$C$8*(1+Assumptions!$C$11)^2+Assumptions!$C$16*$H878+Assumptions!$C$6*Assumptions!$C$9*(1+Assumptions!$C$12)^2</f>
        <v>773.9764077</v>
      </c>
      <c r="N878" s="139">
        <f>Assumptions!$C$6*Assumptions!$C$7*(1+$G878-0.05*(1-$I878))^3+Assumptions!$C$6*Assumptions!$C$8*(1+Assumptions!$C$11)^3+Assumptions!$C$16*$I878+Assumptions!$C$6*Assumptions!$C$9*(1+Assumptions!$C$12)^3</f>
        <v>802.9897447</v>
      </c>
      <c r="O878" s="139">
        <f>Assumptions!$C$6*Assumptions!$C$7*(1+$G878-0.05*(1-$J878))^4+Assumptions!$C$6*Assumptions!$C$8*(1+Assumptions!$C$11)^4+Assumptions!$C$16*$J878+Assumptions!$C$6*Assumptions!$C$9*(1+Assumptions!$C$12)^4</f>
        <v>833.4530677</v>
      </c>
      <c r="P878" s="139">
        <f>Assumptions!$C$6*Assumptions!$C$7*(1+$G878-0.05*(1-$K878))^5+Assumptions!$C$6*Assumptions!$C$8*(1+Assumptions!$C$11)^5+Assumptions!$C$16*$K878+Assumptions!$C$6*Assumptions!$C$9*(1+Assumptions!$C$12)^5</f>
        <v>709.1321108</v>
      </c>
      <c r="Q878" s="139">
        <f>($L878*(1-(Assumptions!$C$25+0.06*(1-1))-Assumptions!$C$27)-Assumptions!$C$28)-MAX(0,($L878*(1-(Assumptions!$C$25+0.06*(1-1))-Assumptions!$C$27)-Assumptions!$C$28)*Assumptions!$C$31)+Assumptions!$C$28-Assumptions!$C$29-$L878*Assumptions!$C$30</f>
        <v>92.96247632</v>
      </c>
      <c r="R878" s="139">
        <f>($M878*(1-(Assumptions!$C$25+0.06*(1-$H878))-Assumptions!$C$27)-Assumptions!$C$28)-MAX(0,($M878*(1-(Assumptions!$C$25+0.06*(1-$H878))-Assumptions!$C$27)-Assumptions!$C$28)*Assumptions!$C$31)+Assumptions!$C$28-Assumptions!$C$29-$M878*Assumptions!$C$30</f>
        <v>98.90492765</v>
      </c>
      <c r="S878" s="139">
        <f>($N878*(1-(Assumptions!$C$25+0.06*(1-$I878))-Assumptions!$C$27)-Assumptions!$C$28)-MAX(0,($N878*(1-(Assumptions!$C$25+0.06*(1-$I878))-Assumptions!$C$27)-Assumptions!$C$28)*Assumptions!$C$31)+Assumptions!$C$28-Assumptions!$C$29-$N878*Assumptions!$C$30</f>
        <v>105.1427951</v>
      </c>
      <c r="T878" s="139">
        <f>($O878*(1-(Assumptions!$C$25+0.06*(1-$J878))-Assumptions!$C$27)-Assumptions!$C$28)-MAX(0,($O878*(1-(Assumptions!$C$25+0.06*(1-$J878))-Assumptions!$C$27)-Assumptions!$C$28)*Assumptions!$C$31)+Assumptions!$C$28-Assumptions!$C$29-$O878*Assumptions!$C$30</f>
        <v>111.6924096</v>
      </c>
      <c r="U878" s="139">
        <f>($P878*(1-(Assumptions!$C$25+0.06*(1-$K878))-Assumptions!$C$27)-Assumptions!$C$28)-MAX(0,($P878*(1-(Assumptions!$C$25+0.06*(1-$K878))-Assumptions!$C$27)-Assumptions!$C$28)*Assumptions!$C$31)+Assumptions!$C$28-Assumptions!$C$29-$P878*Assumptions!$C$30</f>
        <v>43.10038548</v>
      </c>
      <c r="V878" s="143">
        <f>(($Q878/(1+$D878)^1+$R878/(1+$D878)^2+$S878/(1+$D878)^3+$T878/(1+$D878)^4+$U878/(1+$D878)^5+$U878*(1+$E878)/($D878-$E878)/(1+$D878)^5)-Assumptions!$C$37)/Assumptions!$C$40/Assumptions!$C$38</f>
        <v>0.02640636406</v>
      </c>
    </row>
    <row r="879" ht="12.0" customHeight="1">
      <c r="B879" s="139">
        <v>827.0</v>
      </c>
      <c r="C879" s="140">
        <f t="shared" si="6"/>
        <v>0.8443907976</v>
      </c>
      <c r="D879" s="141">
        <f t="shared" si="7"/>
        <v>0.1056567263</v>
      </c>
      <c r="E879" s="141">
        <f t="shared" si="8"/>
        <v>0.02990176415</v>
      </c>
      <c r="F879" s="140">
        <f t="shared" si="9"/>
        <v>0.2822679382</v>
      </c>
      <c r="G879" s="141">
        <f t="shared" si="10"/>
        <v>0.05254068075</v>
      </c>
      <c r="H879" s="142">
        <f t="shared" si="11"/>
        <v>1</v>
      </c>
      <c r="I879" s="142">
        <f t="shared" si="12"/>
        <v>0</v>
      </c>
      <c r="J879" s="142">
        <f t="shared" si="13"/>
        <v>0</v>
      </c>
      <c r="K879" s="142">
        <f t="shared" si="14"/>
        <v>1</v>
      </c>
      <c r="L879" s="139">
        <f>Assumptions!$C$6*Assumptions!$C$7*(1+$G879-0.05*(1-1))^1+Assumptions!$C$6*Assumptions!$C$8*(1+Assumptions!$C$11)^1+Assumptions!$C$16*1+Assumptions!$C$6*Assumptions!$C$9*(1+Assumptions!$C$12)^1</f>
        <v>744.1531931</v>
      </c>
      <c r="M879" s="139">
        <f>Assumptions!$C$6*Assumptions!$C$7*(1+$G879-0.05*(1-$H879))^2+Assumptions!$C$6*Assumptions!$C$8*(1+Assumptions!$C$11)^2+Assumptions!$C$16*$H879+Assumptions!$C$6*Assumptions!$C$9*(1+Assumptions!$C$12)^2</f>
        <v>769.3649384</v>
      </c>
      <c r="N879" s="139">
        <f>Assumptions!$C$6*Assumptions!$C$7*(1+$G879-0.05*(1-$I879))^3+Assumptions!$C$6*Assumptions!$C$8*(1+Assumptions!$C$11)^3+Assumptions!$C$16*$I879+Assumptions!$C$6*Assumptions!$C$9*(1+Assumptions!$C$12)^3</f>
        <v>682.3667705</v>
      </c>
      <c r="O879" s="139">
        <f>Assumptions!$C$6*Assumptions!$C$7*(1+$G879-0.05*(1-$J879))^4+Assumptions!$C$6*Assumptions!$C$8*(1+Assumptions!$C$11)^4+Assumptions!$C$16*$J879+Assumptions!$C$6*Assumptions!$C$9*(1+Assumptions!$C$12)^4</f>
        <v>690.0923918</v>
      </c>
      <c r="P879" s="139">
        <f>Assumptions!$C$6*Assumptions!$C$7*(1+$G879-0.05*(1-$K879))^5+Assumptions!$C$6*Assumptions!$C$8*(1+Assumptions!$C$11)^5+Assumptions!$C$16*$K879+Assumptions!$C$6*Assumptions!$C$9*(1+Assumptions!$C$12)^5</f>
        <v>851.8787822</v>
      </c>
      <c r="Q879" s="139">
        <f>($L879*(1-(Assumptions!$C$25+0.06*(1-1))-Assumptions!$C$27)-Assumptions!$C$28)-MAX(0,($L879*(1-(Assumptions!$C$25+0.06*(1-1))-Assumptions!$C$27)-Assumptions!$C$28)*Assumptions!$C$31)+Assumptions!$C$28-Assumptions!$C$29-$L879*Assumptions!$C$30</f>
        <v>92.49293653</v>
      </c>
      <c r="R879" s="139">
        <f>($M879*(1-(Assumptions!$C$25+0.06*(1-$H879))-Assumptions!$C$27)-Assumptions!$C$28)-MAX(0,($M879*(1-(Assumptions!$C$25+0.06*(1-$H879))-Assumptions!$C$27)-Assumptions!$C$28)*Assumptions!$C$31)+Assumptions!$C$28-Assumptions!$C$29-$M879*Assumptions!$C$30</f>
        <v>97.91346175</v>
      </c>
      <c r="S879" s="139">
        <f>($N879*(1-(Assumptions!$C$25+0.06*(1-$I879))-Assumptions!$C$27)-Assumptions!$C$28)-MAX(0,($N879*(1-(Assumptions!$C$25+0.06*(1-$I879))-Assumptions!$C$27)-Assumptions!$C$28)*Assumptions!$C$31)+Assumptions!$C$28-Assumptions!$C$29-$N879*Assumptions!$C$30</f>
        <v>36.94435721</v>
      </c>
      <c r="T879" s="139">
        <f>($O879*(1-(Assumptions!$C$25+0.06*(1-$J879))-Assumptions!$C$27)-Assumptions!$C$28)-MAX(0,($O879*(1-(Assumptions!$C$25+0.06*(1-$J879))-Assumptions!$C$27)-Assumptions!$C$28)*Assumptions!$C$31)+Assumptions!$C$28-Assumptions!$C$29-$O879*Assumptions!$C$30</f>
        <v>38.72125012</v>
      </c>
      <c r="U879" s="139">
        <f>($P879*(1-(Assumptions!$C$25+0.06*(1-$K879))-Assumptions!$C$27)-Assumptions!$C$28)-MAX(0,($P879*(1-(Assumptions!$C$25+0.06*(1-$K879))-Assumptions!$C$27)-Assumptions!$C$28)*Assumptions!$C$31)+Assumptions!$C$28-Assumptions!$C$29-$P879*Assumptions!$C$30</f>
        <v>115.6539382</v>
      </c>
      <c r="V879" s="143">
        <f>(($Q879/(1+$D879)^1+$R879/(1+$D879)^2+$S879/(1+$D879)^3+$T879/(1+$D879)^4+$U879/(1+$D879)^5+$U879*(1+$E879)/($D879-$E879)/(1+$D879)^5)-Assumptions!$C$37)/Assumptions!$C$40/Assumptions!$C$38</f>
        <v>4.267688223</v>
      </c>
    </row>
    <row r="880" ht="12.0" customHeight="1">
      <c r="B880" s="139">
        <v>828.0</v>
      </c>
      <c r="C880" s="140">
        <f t="shared" si="6"/>
        <v>0.9730175368</v>
      </c>
      <c r="D880" s="141">
        <f t="shared" si="7"/>
        <v>0.1111093494</v>
      </c>
      <c r="E880" s="141">
        <f t="shared" si="8"/>
        <v>0.02911066464</v>
      </c>
      <c r="F880" s="140">
        <f t="shared" si="9"/>
        <v>0.5790417674</v>
      </c>
      <c r="G880" s="141">
        <f t="shared" si="10"/>
        <v>0.06247319817</v>
      </c>
      <c r="H880" s="142">
        <f t="shared" si="11"/>
        <v>1</v>
      </c>
      <c r="I880" s="142">
        <f t="shared" si="12"/>
        <v>0</v>
      </c>
      <c r="J880" s="142">
        <f t="shared" si="13"/>
        <v>1</v>
      </c>
      <c r="K880" s="142">
        <f t="shared" si="14"/>
        <v>0</v>
      </c>
      <c r="L880" s="139">
        <f>Assumptions!$C$6*Assumptions!$C$7*(1+$G880-0.05*(1-1))^1+Assumptions!$C$6*Assumptions!$C$8*(1+Assumptions!$C$11)^1+Assumptions!$C$16*1+Assumptions!$C$6*Assumptions!$C$9*(1+Assumptions!$C$12)^1</f>
        <v>747.4964785</v>
      </c>
      <c r="M880" s="139">
        <f>Assumptions!$C$6*Assumptions!$C$7*(1+$G880-0.05*(1-$H880))^2+Assumptions!$C$6*Assumptions!$C$8*(1+Assumptions!$C$11)^2+Assumptions!$C$16*$H880+Assumptions!$C$6*Assumptions!$C$9*(1+Assumptions!$C$12)^2</f>
        <v>776.4360333</v>
      </c>
      <c r="N880" s="139">
        <f>Assumptions!$C$6*Assumptions!$C$7*(1+$G880-0.05*(1-$I880))^3+Assumptions!$C$6*Assumptions!$C$8*(1+Assumptions!$C$11)^3+Assumptions!$C$16*$I880+Assumptions!$C$6*Assumptions!$C$9*(1+Assumptions!$C$12)^3</f>
        <v>692.5478613</v>
      </c>
      <c r="O880" s="139">
        <f>Assumptions!$C$6*Assumptions!$C$7*(1+$G880-0.05*(1-$J880))^4+Assumptions!$C$6*Assumptions!$C$8*(1+Assumptions!$C$11)^4+Assumptions!$C$16*$J880+Assumptions!$C$6*Assumptions!$C$9*(1+Assumptions!$C$12)^4</f>
        <v>838.9881879</v>
      </c>
      <c r="P880" s="139">
        <f>Assumptions!$C$6*Assumptions!$C$7*(1+$G880-0.05*(1-$K880))^5+Assumptions!$C$6*Assumptions!$C$8*(1+Assumptions!$C$11)^5+Assumptions!$C$16*$K880+Assumptions!$C$6*Assumptions!$C$9*(1+Assumptions!$C$12)^5</f>
        <v>715.1823817</v>
      </c>
      <c r="Q880" s="139">
        <f>($L880*(1-(Assumptions!$C$25+0.06*(1-1))-Assumptions!$C$27)-Assumptions!$C$28)-MAX(0,($L880*(1-(Assumptions!$C$25+0.06*(1-1))-Assumptions!$C$27)-Assumptions!$C$28)*Assumptions!$C$31)+Assumptions!$C$28-Assumptions!$C$29-$L880*Assumptions!$C$30</f>
        <v>93.21174288</v>
      </c>
      <c r="R880" s="139">
        <f>($M880*(1-(Assumptions!$C$25+0.06*(1-$H880))-Assumptions!$C$27)-Assumptions!$C$28)-MAX(0,($M880*(1-(Assumptions!$C$25+0.06*(1-$H880))-Assumptions!$C$27)-Assumptions!$C$28)*Assumptions!$C$31)+Assumptions!$C$28-Assumptions!$C$29-$M880*Assumptions!$C$30</f>
        <v>99.43374716</v>
      </c>
      <c r="S880" s="139">
        <f>($N880*(1-(Assumptions!$C$25+0.06*(1-$I880))-Assumptions!$C$27)-Assumptions!$C$28)-MAX(0,($N880*(1-(Assumptions!$C$25+0.06*(1-$I880))-Assumptions!$C$27)-Assumptions!$C$28)*Assumptions!$C$31)+Assumptions!$C$28-Assumptions!$C$29-$N880*Assumptions!$C$30</f>
        <v>39.28600809</v>
      </c>
      <c r="T880" s="139">
        <f>($O880*(1-(Assumptions!$C$25+0.06*(1-$J880))-Assumptions!$C$27)-Assumptions!$C$28)-MAX(0,($O880*(1-(Assumptions!$C$25+0.06*(1-$J880))-Assumptions!$C$27)-Assumptions!$C$28)*Assumptions!$C$31)+Assumptions!$C$28-Assumptions!$C$29-$O880*Assumptions!$C$30</f>
        <v>112.8824604</v>
      </c>
      <c r="U880" s="139">
        <f>($P880*(1-(Assumptions!$C$25+0.06*(1-$K880))-Assumptions!$C$27)-Assumptions!$C$28)-MAX(0,($P880*(1-(Assumptions!$C$25+0.06*(1-$K880))-Assumptions!$C$27)-Assumptions!$C$28)*Assumptions!$C$31)+Assumptions!$C$28-Assumptions!$C$29-$P880*Assumptions!$C$30</f>
        <v>44.49194779</v>
      </c>
      <c r="V880" s="143">
        <f>(($Q880/(1+$D880)^1+$R880/(1+$D880)^2+$S880/(1+$D880)^3+$T880/(1+$D880)^4+$U880/(1+$D880)^5+$U880*(1+$E880)/($D880-$E880)/(1+$D880)^5)-Assumptions!$C$37)/Assumptions!$C$40/Assumptions!$C$38</f>
        <v>-0.5350991989</v>
      </c>
    </row>
    <row r="881" ht="12.0" customHeight="1">
      <c r="B881" s="139">
        <v>829.0</v>
      </c>
      <c r="C881" s="140">
        <f t="shared" si="6"/>
        <v>0.677851768</v>
      </c>
      <c r="D881" s="141">
        <f t="shared" si="7"/>
        <v>0.1015565943</v>
      </c>
      <c r="E881" s="141">
        <f t="shared" si="8"/>
        <v>0.02710546308</v>
      </c>
      <c r="F881" s="140">
        <f t="shared" si="9"/>
        <v>0.3826167795</v>
      </c>
      <c r="G881" s="141">
        <f t="shared" si="10"/>
        <v>0.05624328872</v>
      </c>
      <c r="H881" s="142">
        <f t="shared" si="11"/>
        <v>0</v>
      </c>
      <c r="I881" s="142">
        <f t="shared" si="12"/>
        <v>0</v>
      </c>
      <c r="J881" s="142">
        <f t="shared" si="13"/>
        <v>0</v>
      </c>
      <c r="K881" s="142">
        <f t="shared" si="14"/>
        <v>0</v>
      </c>
      <c r="L881" s="139">
        <f>Assumptions!$C$6*Assumptions!$C$7*(1+$G881-0.05*(1-1))^1+Assumptions!$C$6*Assumptions!$C$8*(1+Assumptions!$C$11)^1+Assumptions!$C$16*1+Assumptions!$C$6*Assumptions!$C$9*(1+Assumptions!$C$12)^1</f>
        <v>745.399491</v>
      </c>
      <c r="M881" s="139">
        <f>Assumptions!$C$6*Assumptions!$C$7*(1+$G881-0.05*(1-$H881))^2+Assumptions!$C$6*Assumptions!$C$8*(1+Assumptions!$C$11)^2+Assumptions!$C$16*$H881+Assumptions!$C$6*Assumptions!$C$9*(1+Assumptions!$C$12)^2</f>
        <v>677.2814622</v>
      </c>
      <c r="N881" s="139">
        <f>Assumptions!$C$6*Assumptions!$C$7*(1+$G881-0.05*(1-$I881))^3+Assumptions!$C$6*Assumptions!$C$8*(1+Assumptions!$C$11)^3+Assumptions!$C$16*$I881+Assumptions!$C$6*Assumptions!$C$9*(1+Assumptions!$C$12)^3</f>
        <v>686.1385827</v>
      </c>
      <c r="O881" s="139">
        <f>Assumptions!$C$6*Assumptions!$C$7*(1+$G881-0.05*(1-$J881))^4+Assumptions!$C$6*Assumptions!$C$8*(1+Assumptions!$C$11)^4+Assumptions!$C$16*$J881+Assumptions!$C$6*Assumptions!$C$9*(1+Assumptions!$C$12)^4</f>
        <v>695.1435739</v>
      </c>
      <c r="P881" s="139">
        <f>Assumptions!$C$6*Assumptions!$C$7*(1+$G881-0.05*(1-$K881))^5+Assumptions!$C$6*Assumptions!$C$8*(1+Assumptions!$C$11)^5+Assumptions!$C$16*$K881+Assumptions!$C$6*Assumptions!$C$9*(1+Assumptions!$C$12)^5</f>
        <v>704.2992105</v>
      </c>
      <c r="Q881" s="139">
        <f>($L881*(1-(Assumptions!$C$25+0.06*(1-1))-Assumptions!$C$27)-Assumptions!$C$28)-MAX(0,($L881*(1-(Assumptions!$C$25+0.06*(1-1))-Assumptions!$C$27)-Assumptions!$C$28)*Assumptions!$C$31)+Assumptions!$C$28-Assumptions!$C$29-$L881*Assumptions!$C$30</f>
        <v>92.76089056</v>
      </c>
      <c r="R881" s="139">
        <f>($M881*(1-(Assumptions!$C$25+0.06*(1-$H881))-Assumptions!$C$27)-Assumptions!$C$28)-MAX(0,($M881*(1-(Assumptions!$C$25+0.06*(1-$H881))-Assumptions!$C$27)-Assumptions!$C$28)*Assumptions!$C$31)+Assumptions!$C$28-Assumptions!$C$29-$M881*Assumptions!$C$30</f>
        <v>35.7747363</v>
      </c>
      <c r="S881" s="139">
        <f>($N881*(1-(Assumptions!$C$25+0.06*(1-$I881))-Assumptions!$C$27)-Assumptions!$C$28)-MAX(0,($N881*(1-(Assumptions!$C$25+0.06*(1-$I881))-Assumptions!$C$27)-Assumptions!$C$28)*Assumptions!$C$31)+Assumptions!$C$28-Assumptions!$C$29-$N881*Assumptions!$C$30</f>
        <v>37.81187402</v>
      </c>
      <c r="T881" s="139">
        <f>($O881*(1-(Assumptions!$C$25+0.06*(1-$J881))-Assumptions!$C$27)-Assumptions!$C$28)-MAX(0,($O881*(1-(Assumptions!$C$25+0.06*(1-$J881))-Assumptions!$C$27)-Assumptions!$C$28)*Assumptions!$C$31)+Assumptions!$C$28-Assumptions!$C$29-$O881*Assumptions!$C$30</f>
        <v>39.88302201</v>
      </c>
      <c r="U881" s="139">
        <f>($P881*(1-(Assumptions!$C$25+0.06*(1-$K881))-Assumptions!$C$27)-Assumptions!$C$28)-MAX(0,($P881*(1-(Assumptions!$C$25+0.06*(1-$K881))-Assumptions!$C$27)-Assumptions!$C$28)*Assumptions!$C$31)+Assumptions!$C$28-Assumptions!$C$29-$P881*Assumptions!$C$30</f>
        <v>41.98881842</v>
      </c>
      <c r="V881" s="143">
        <f>(($Q881/(1+$D881)^1+$R881/(1+$D881)^2+$S881/(1+$D881)^3+$T881/(1+$D881)^4+$U881/(1+$D881)^5+$U881*(1+$E881)/($D881-$E881)/(1+$D881)^5)-Assumptions!$C$37)/Assumptions!$C$40/Assumptions!$C$38</f>
        <v>-1.089443558</v>
      </c>
    </row>
    <row r="882" ht="12.0" customHeight="1">
      <c r="B882" s="139">
        <v>830.0</v>
      </c>
      <c r="C882" s="140">
        <f t="shared" si="6"/>
        <v>0.1695798015</v>
      </c>
      <c r="D882" s="141">
        <f t="shared" si="7"/>
        <v>0.09258205465</v>
      </c>
      <c r="E882" s="141">
        <f t="shared" si="8"/>
        <v>0.01969451206</v>
      </c>
      <c r="F882" s="140">
        <f t="shared" si="9"/>
        <v>0.5741500513</v>
      </c>
      <c r="G882" s="141">
        <f t="shared" si="10"/>
        <v>0.06231372348</v>
      </c>
      <c r="H882" s="142">
        <f t="shared" si="11"/>
        <v>0</v>
      </c>
      <c r="I882" s="142">
        <f t="shared" si="12"/>
        <v>1</v>
      </c>
      <c r="J882" s="142">
        <f t="shared" si="13"/>
        <v>0</v>
      </c>
      <c r="K882" s="142">
        <f t="shared" si="14"/>
        <v>1</v>
      </c>
      <c r="L882" s="139">
        <f>Assumptions!$C$6*Assumptions!$C$7*(1+$G882-0.05*(1-1))^1+Assumptions!$C$6*Assumptions!$C$8*(1+Assumptions!$C$11)^1+Assumptions!$C$16*1+Assumptions!$C$6*Assumptions!$C$9*(1+Assumptions!$C$12)^1</f>
        <v>747.4427993</v>
      </c>
      <c r="M882" s="139">
        <f>Assumptions!$C$6*Assumptions!$C$7*(1+$G882-0.05*(1-$H882))^2+Assumptions!$C$6*Assumptions!$C$8*(1+Assumptions!$C$11)^2+Assumptions!$C$16*$H882+Assumptions!$C$6*Assumptions!$C$9*(1+Assumptions!$C$12)^2</f>
        <v>681.4059966</v>
      </c>
      <c r="N882" s="139">
        <f>Assumptions!$C$6*Assumptions!$C$7*(1+$G882-0.05*(1-$I882))^3+Assumptions!$C$6*Assumptions!$C$8*(1+Assumptions!$C$11)^3+Assumptions!$C$16*$I882+Assumptions!$C$6*Assumptions!$C$9*(1+Assumptions!$C$12)^3</f>
        <v>806.7215638</v>
      </c>
      <c r="O882" s="139">
        <f>Assumptions!$C$6*Assumptions!$C$7*(1+$G882-0.05*(1-$J882))^4+Assumptions!$C$6*Assumptions!$C$8*(1+Assumptions!$C$11)^4+Assumptions!$C$16*$J882+Assumptions!$C$6*Assumptions!$C$9*(1+Assumptions!$C$12)^4</f>
        <v>703.5465069</v>
      </c>
      <c r="P882" s="139">
        <f>Assumptions!$C$6*Assumptions!$C$7*(1+$G882-0.05*(1-$K882))^5+Assumptions!$C$6*Assumptions!$C$8*(1+Assumptions!$C$11)^5+Assumptions!$C$16*$K882+Assumptions!$C$6*Assumptions!$C$9*(1+Assumptions!$C$12)^5</f>
        <v>872.4440503</v>
      </c>
      <c r="Q882" s="139">
        <f>($L882*(1-(Assumptions!$C$25+0.06*(1-1))-Assumptions!$C$27)-Assumptions!$C$28)-MAX(0,($L882*(1-(Assumptions!$C$25+0.06*(1-1))-Assumptions!$C$27)-Assumptions!$C$28)*Assumptions!$C$31)+Assumptions!$C$28-Assumptions!$C$29-$L882*Assumptions!$C$30</f>
        <v>93.20020185</v>
      </c>
      <c r="R882" s="139">
        <f>($M882*(1-(Assumptions!$C$25+0.06*(1-$H882))-Assumptions!$C$27)-Assumptions!$C$28)-MAX(0,($M882*(1-(Assumptions!$C$25+0.06*(1-$H882))-Assumptions!$C$27)-Assumptions!$C$28)*Assumptions!$C$31)+Assumptions!$C$28-Assumptions!$C$29-$M882*Assumptions!$C$30</f>
        <v>36.72337921</v>
      </c>
      <c r="S882" s="139">
        <f>($N882*(1-(Assumptions!$C$25+0.06*(1-$I882))-Assumptions!$C$27)-Assumptions!$C$28)-MAX(0,($N882*(1-(Assumptions!$C$25+0.06*(1-$I882))-Assumptions!$C$27)-Assumptions!$C$28)*Assumptions!$C$31)+Assumptions!$C$28-Assumptions!$C$29-$N882*Assumptions!$C$30</f>
        <v>105.9451362</v>
      </c>
      <c r="T882" s="139">
        <f>($O882*(1-(Assumptions!$C$25+0.06*(1-$J882))-Assumptions!$C$27)-Assumptions!$C$28)-MAX(0,($O882*(1-(Assumptions!$C$25+0.06*(1-$J882))-Assumptions!$C$27)-Assumptions!$C$28)*Assumptions!$C$31)+Assumptions!$C$28-Assumptions!$C$29-$O882*Assumptions!$C$30</f>
        <v>41.81569659</v>
      </c>
      <c r="U882" s="139">
        <f>($P882*(1-(Assumptions!$C$25+0.06*(1-$K882))-Assumptions!$C$27)-Assumptions!$C$28)-MAX(0,($P882*(1-(Assumptions!$C$25+0.06*(1-$K882))-Assumptions!$C$27)-Assumptions!$C$28)*Assumptions!$C$31)+Assumptions!$C$28-Assumptions!$C$29-$P882*Assumptions!$C$30</f>
        <v>120.0754708</v>
      </c>
      <c r="V882" s="143">
        <f>(($Q882/(1+$D882)^1+$R882/(1+$D882)^2+$S882/(1+$D882)^3+$T882/(1+$D882)^4+$U882/(1+$D882)^5+$U882*(1+$E882)/($D882-$E882)/(1+$D882)^5)-Assumptions!$C$37)/Assumptions!$C$40/Assumptions!$C$38</f>
        <v>5.392636406</v>
      </c>
    </row>
    <row r="883" ht="12.0" customHeight="1">
      <c r="B883" s="139">
        <v>831.0</v>
      </c>
      <c r="C883" s="140">
        <f t="shared" si="6"/>
        <v>0.5653051822</v>
      </c>
      <c r="D883" s="141">
        <f t="shared" si="7"/>
        <v>0.09938386114</v>
      </c>
      <c r="E883" s="141">
        <f t="shared" si="8"/>
        <v>0.01182770425</v>
      </c>
      <c r="F883" s="140">
        <f t="shared" si="9"/>
        <v>0.7701611429</v>
      </c>
      <c r="G883" s="141">
        <f t="shared" si="10"/>
        <v>0.06966013907</v>
      </c>
      <c r="H883" s="142">
        <f t="shared" si="11"/>
        <v>1</v>
      </c>
      <c r="I883" s="142">
        <f t="shared" si="12"/>
        <v>0</v>
      </c>
      <c r="J883" s="142">
        <f t="shared" si="13"/>
        <v>0</v>
      </c>
      <c r="K883" s="142">
        <f t="shared" si="14"/>
        <v>1</v>
      </c>
      <c r="L883" s="139">
        <f>Assumptions!$C$6*Assumptions!$C$7*(1+$G883-0.05*(1-1))^1+Assumptions!$C$6*Assumptions!$C$8*(1+Assumptions!$C$11)^1+Assumptions!$C$16*1+Assumptions!$C$6*Assumptions!$C$9*(1+Assumptions!$C$12)^1</f>
        <v>749.9156028</v>
      </c>
      <c r="M883" s="139">
        <f>Assumptions!$C$6*Assumptions!$C$7*(1+$G883-0.05*(1-$H883))^2+Assumptions!$C$6*Assumptions!$C$8*(1+Assumptions!$C$11)^2+Assumptions!$C$16*$H883+Assumptions!$C$6*Assumptions!$C$9*(1+Assumptions!$C$12)^2</f>
        <v>781.5939289</v>
      </c>
      <c r="N883" s="139">
        <f>Assumptions!$C$6*Assumptions!$C$7*(1+$G883-0.05*(1-$I883))^3+Assumptions!$C$6*Assumptions!$C$8*(1+Assumptions!$C$11)^3+Assumptions!$C$16*$I883+Assumptions!$C$6*Assumptions!$C$9*(1+Assumptions!$C$12)^3</f>
        <v>700.0403424</v>
      </c>
      <c r="O883" s="139">
        <f>Assumptions!$C$6*Assumptions!$C$7*(1+$G883-0.05*(1-$J883))^4+Assumptions!$C$6*Assumptions!$C$8*(1+Assumptions!$C$11)^4+Assumptions!$C$16*$J883+Assumptions!$C$6*Assumptions!$C$9*(1+Assumptions!$C$12)^4</f>
        <v>713.9198714</v>
      </c>
      <c r="P883" s="139">
        <f>Assumptions!$C$6*Assumptions!$C$7*(1+$G883-0.05*(1-$K883))^5+Assumptions!$C$6*Assumptions!$C$8*(1+Assumptions!$C$11)^5+Assumptions!$C$16*$K883+Assumptions!$C$6*Assumptions!$C$9*(1+Assumptions!$C$12)^5</f>
        <v>888.4093635</v>
      </c>
      <c r="Q883" s="139">
        <f>($L883*(1-(Assumptions!$C$25+0.06*(1-1))-Assumptions!$C$27)-Assumptions!$C$28)-MAX(0,($L883*(1-(Assumptions!$C$25+0.06*(1-1))-Assumptions!$C$27)-Assumptions!$C$28)*Assumptions!$C$31)+Assumptions!$C$28-Assumptions!$C$29-$L883*Assumptions!$C$30</f>
        <v>93.7318546</v>
      </c>
      <c r="R883" s="139">
        <f>($M883*(1-(Assumptions!$C$25+0.06*(1-$H883))-Assumptions!$C$27)-Assumptions!$C$28)-MAX(0,($M883*(1-(Assumptions!$C$25+0.06*(1-$H883))-Assumptions!$C$27)-Assumptions!$C$28)*Assumptions!$C$31)+Assumptions!$C$28-Assumptions!$C$29-$M883*Assumptions!$C$30</f>
        <v>100.5426947</v>
      </c>
      <c r="S883" s="139">
        <f>($N883*(1-(Assumptions!$C$25+0.06*(1-$I883))-Assumptions!$C$27)-Assumptions!$C$28)-MAX(0,($N883*(1-(Assumptions!$C$25+0.06*(1-$I883))-Assumptions!$C$27)-Assumptions!$C$28)*Assumptions!$C$31)+Assumptions!$C$28-Assumptions!$C$29-$N883*Assumptions!$C$30</f>
        <v>41.00927876</v>
      </c>
      <c r="T883" s="139">
        <f>($O883*(1-(Assumptions!$C$25+0.06*(1-$J883))-Assumptions!$C$27)-Assumptions!$C$28)-MAX(0,($O883*(1-(Assumptions!$C$25+0.06*(1-$J883))-Assumptions!$C$27)-Assumptions!$C$28)*Assumptions!$C$31)+Assumptions!$C$28-Assumptions!$C$29-$O883*Assumptions!$C$30</f>
        <v>44.20157042</v>
      </c>
      <c r="U883" s="139">
        <f>($P883*(1-(Assumptions!$C$25+0.06*(1-$K883))-Assumptions!$C$27)-Assumptions!$C$28)-MAX(0,($P883*(1-(Assumptions!$C$25+0.06*(1-$K883))-Assumptions!$C$27)-Assumptions!$C$28)*Assumptions!$C$31)+Assumptions!$C$28-Assumptions!$C$29-$P883*Assumptions!$C$30</f>
        <v>123.5080132</v>
      </c>
      <c r="V883" s="143">
        <f>(($Q883/(1+$D883)^1+$R883/(1+$D883)^2+$S883/(1+$D883)^3+$T883/(1+$D883)^4+$U883/(1+$D883)^5+$U883*(1+$E883)/($D883-$E883)/(1+$D883)^5)-Assumptions!$C$37)/Assumptions!$C$40/Assumptions!$C$38</f>
        <v>3.929265932</v>
      </c>
    </row>
    <row r="884" ht="12.0" customHeight="1">
      <c r="B884" s="139">
        <v>832.0</v>
      </c>
      <c r="C884" s="140">
        <f t="shared" si="6"/>
        <v>0.8654573746</v>
      </c>
      <c r="D884" s="141">
        <f t="shared" si="7"/>
        <v>0.1063121687</v>
      </c>
      <c r="E884" s="141">
        <f t="shared" si="8"/>
        <v>0.0247059597</v>
      </c>
      <c r="F884" s="140">
        <f t="shared" si="9"/>
        <v>0.2959359104</v>
      </c>
      <c r="G884" s="141">
        <f t="shared" si="10"/>
        <v>0.05307996184</v>
      </c>
      <c r="H884" s="142">
        <f t="shared" si="11"/>
        <v>1</v>
      </c>
      <c r="I884" s="142">
        <f t="shared" si="12"/>
        <v>0</v>
      </c>
      <c r="J884" s="142">
        <f t="shared" si="13"/>
        <v>0</v>
      </c>
      <c r="K884" s="142">
        <f t="shared" si="14"/>
        <v>0</v>
      </c>
      <c r="L884" s="139">
        <f>Assumptions!$C$6*Assumptions!$C$7*(1+$G884-0.05*(1-1))^1+Assumptions!$C$6*Assumptions!$C$8*(1+Assumptions!$C$11)^1+Assumptions!$C$16*1+Assumptions!$C$6*Assumptions!$C$9*(1+Assumptions!$C$12)^1</f>
        <v>744.3347152</v>
      </c>
      <c r="M884" s="139">
        <f>Assumptions!$C$6*Assumptions!$C$7*(1+$G884-0.05*(1-$H884))^2+Assumptions!$C$6*Assumptions!$C$8*(1+Assumptions!$C$11)^2+Assumptions!$C$16*$H884+Assumptions!$C$6*Assumptions!$C$9*(1+Assumptions!$C$12)^2</f>
        <v>769.7471549</v>
      </c>
      <c r="N884" s="139">
        <f>Assumptions!$C$6*Assumptions!$C$7*(1+$G884-0.05*(1-$I884))^3+Assumptions!$C$6*Assumptions!$C$8*(1+Assumptions!$C$11)^3+Assumptions!$C$16*$I884+Assumptions!$C$6*Assumptions!$C$9*(1+Assumptions!$C$12)^3</f>
        <v>682.9144016</v>
      </c>
      <c r="O884" s="139">
        <f>Assumptions!$C$6*Assumptions!$C$7*(1+$G884-0.05*(1-$J884))^4+Assumptions!$C$6*Assumptions!$C$8*(1+Assumptions!$C$11)^4+Assumptions!$C$16*$J884+Assumptions!$C$6*Assumptions!$C$9*(1+Assumptions!$C$12)^4</f>
        <v>690.8246188</v>
      </c>
      <c r="P884" s="139">
        <f>Assumptions!$C$6*Assumptions!$C$7*(1+$G884-0.05*(1-$K884))^5+Assumptions!$C$6*Assumptions!$C$8*(1+Assumptions!$C$11)^5+Assumptions!$C$16*$K884+Assumptions!$C$6*Assumptions!$C$9*(1+Assumptions!$C$12)^5</f>
        <v>698.8753365</v>
      </c>
      <c r="Q884" s="139">
        <f>($L884*(1-(Assumptions!$C$25+0.06*(1-1))-Assumptions!$C$27)-Assumptions!$C$28)-MAX(0,($L884*(1-(Assumptions!$C$25+0.06*(1-1))-Assumptions!$C$27)-Assumptions!$C$28)*Assumptions!$C$31)+Assumptions!$C$28-Assumptions!$C$29-$L884*Assumptions!$C$30</f>
        <v>92.53196376</v>
      </c>
      <c r="R884" s="139">
        <f>($M884*(1-(Assumptions!$C$25+0.06*(1-$H884))-Assumptions!$C$27)-Assumptions!$C$28)-MAX(0,($M884*(1-(Assumptions!$C$25+0.06*(1-$H884))-Assumptions!$C$27)-Assumptions!$C$28)*Assumptions!$C$31)+Assumptions!$C$28-Assumptions!$C$29-$M884*Assumptions!$C$30</f>
        <v>97.9956383</v>
      </c>
      <c r="S884" s="139">
        <f>($N884*(1-(Assumptions!$C$25+0.06*(1-$I884))-Assumptions!$C$27)-Assumptions!$C$28)-MAX(0,($N884*(1-(Assumptions!$C$25+0.06*(1-$I884))-Assumptions!$C$27)-Assumptions!$C$28)*Assumptions!$C$31)+Assumptions!$C$28-Assumptions!$C$29-$N884*Assumptions!$C$30</f>
        <v>37.07031238</v>
      </c>
      <c r="T884" s="139">
        <f>($O884*(1-(Assumptions!$C$25+0.06*(1-$J884))-Assumptions!$C$27)-Assumptions!$C$28)-MAX(0,($O884*(1-(Assumptions!$C$25+0.06*(1-$J884))-Assumptions!$C$27)-Assumptions!$C$28)*Assumptions!$C$31)+Assumptions!$C$28-Assumptions!$C$29-$O884*Assumptions!$C$30</f>
        <v>38.88966232</v>
      </c>
      <c r="U884" s="139">
        <f>($P884*(1-(Assumptions!$C$25+0.06*(1-$K884))-Assumptions!$C$27)-Assumptions!$C$28)-MAX(0,($P884*(1-(Assumptions!$C$25+0.06*(1-$K884))-Assumptions!$C$27)-Assumptions!$C$28)*Assumptions!$C$31)+Assumptions!$C$28-Assumptions!$C$29-$P884*Assumptions!$C$30</f>
        <v>40.74132739</v>
      </c>
      <c r="V884" s="143">
        <f>(($Q884/(1+$D884)^1+$R884/(1+$D884)^2+$S884/(1+$D884)^3+$T884/(1+$D884)^4+$U884/(1+$D884)^5+$U884*(1+$E884)/($D884-$E884)/(1+$D884)^5)-Assumptions!$C$37)/Assumptions!$C$40/Assumptions!$C$38</f>
        <v>-1.103332128</v>
      </c>
    </row>
    <row r="885" ht="12.0" customHeight="1">
      <c r="B885" s="139">
        <v>833.0</v>
      </c>
      <c r="C885" s="140">
        <f t="shared" si="6"/>
        <v>0.400894916</v>
      </c>
      <c r="D885" s="141">
        <f t="shared" si="7"/>
        <v>0.09666702555</v>
      </c>
      <c r="E885" s="141">
        <f t="shared" si="8"/>
        <v>0.01377222167</v>
      </c>
      <c r="F885" s="140">
        <f t="shared" si="9"/>
        <v>0.1907511229</v>
      </c>
      <c r="G885" s="141">
        <f t="shared" si="10"/>
        <v>0.04852976042</v>
      </c>
      <c r="H885" s="142">
        <f t="shared" si="11"/>
        <v>1</v>
      </c>
      <c r="I885" s="142">
        <f t="shared" si="12"/>
        <v>0</v>
      </c>
      <c r="J885" s="142">
        <f t="shared" si="13"/>
        <v>0</v>
      </c>
      <c r="K885" s="142">
        <f t="shared" si="14"/>
        <v>1</v>
      </c>
      <c r="L885" s="139">
        <f>Assumptions!$C$6*Assumptions!$C$7*(1+$G885-0.05*(1-1))^1+Assumptions!$C$6*Assumptions!$C$8*(1+Assumptions!$C$11)^1+Assumptions!$C$16*1+Assumptions!$C$6*Assumptions!$C$9*(1+Assumptions!$C$12)^1</f>
        <v>742.8031174</v>
      </c>
      <c r="M885" s="139">
        <f>Assumptions!$C$6*Assumptions!$C$7*(1+$G885-0.05*(1-$H885))^2+Assumptions!$C$6*Assumptions!$C$8*(1+Assumptions!$C$11)^2+Assumptions!$C$16*$H885+Assumptions!$C$6*Assumptions!$C$9*(1+Assumptions!$C$12)^2</f>
        <v>766.528334</v>
      </c>
      <c r="N885" s="139">
        <f>Assumptions!$C$6*Assumptions!$C$7*(1+$G885-0.05*(1-$I885))^3+Assumptions!$C$6*Assumptions!$C$8*(1+Assumptions!$C$11)^3+Assumptions!$C$16*$I885+Assumptions!$C$6*Assumptions!$C$9*(1+Assumptions!$C$12)^3</f>
        <v>678.312201</v>
      </c>
      <c r="O885" s="139">
        <f>Assumptions!$C$6*Assumptions!$C$7*(1+$G885-0.05*(1-$J885))^4+Assumptions!$C$6*Assumptions!$C$8*(1+Assumptions!$C$11)^4+Assumptions!$C$16*$J885+Assumptions!$C$6*Assumptions!$C$9*(1+Assumptions!$C$12)^4</f>
        <v>684.6833913</v>
      </c>
      <c r="P885" s="139">
        <f>Assumptions!$C$6*Assumptions!$C$7*(1+$G885-0.05*(1-$K885))^5+Assumptions!$C$6*Assumptions!$C$8*(1+Assumptions!$C$11)^5+Assumptions!$C$16*$K885+Assumptions!$C$6*Assumptions!$C$9*(1+Assumptions!$C$12)^5</f>
        <v>843.656852</v>
      </c>
      <c r="Q885" s="139">
        <f>($L885*(1-(Assumptions!$C$25+0.06*(1-1))-Assumptions!$C$27)-Assumptions!$C$28)-MAX(0,($L885*(1-(Assumptions!$C$25+0.06*(1-1))-Assumptions!$C$27)-Assumptions!$C$28)*Assumptions!$C$31)+Assumptions!$C$28-Assumptions!$C$29-$L885*Assumptions!$C$30</f>
        <v>92.20267023</v>
      </c>
      <c r="R885" s="139">
        <f>($M885*(1-(Assumptions!$C$25+0.06*(1-$H885))-Assumptions!$C$27)-Assumptions!$C$28)-MAX(0,($M885*(1-(Assumptions!$C$25+0.06*(1-$H885))-Assumptions!$C$27)-Assumptions!$C$28)*Assumptions!$C$31)+Assumptions!$C$28-Assumptions!$C$29-$M885*Assumptions!$C$30</f>
        <v>97.30359182</v>
      </c>
      <c r="S885" s="139">
        <f>($N885*(1-(Assumptions!$C$25+0.06*(1-$I885))-Assumptions!$C$27)-Assumptions!$C$28)-MAX(0,($N885*(1-(Assumptions!$C$25+0.06*(1-$I885))-Assumptions!$C$27)-Assumptions!$C$28)*Assumptions!$C$31)+Assumptions!$C$28-Assumptions!$C$29-$N885*Assumptions!$C$30</f>
        <v>36.01180623</v>
      </c>
      <c r="T885" s="139">
        <f>($O885*(1-(Assumptions!$C$25+0.06*(1-$J885))-Assumptions!$C$27)-Assumptions!$C$28)-MAX(0,($O885*(1-(Assumptions!$C$25+0.06*(1-$J885))-Assumptions!$C$27)-Assumptions!$C$28)*Assumptions!$C$31)+Assumptions!$C$28-Assumptions!$C$29-$O885*Assumptions!$C$30</f>
        <v>37.47717999</v>
      </c>
      <c r="U885" s="139">
        <f>($P885*(1-(Assumptions!$C$25+0.06*(1-$K885))-Assumptions!$C$27)-Assumptions!$C$28)-MAX(0,($P885*(1-(Assumptions!$C$25+0.06*(1-$K885))-Assumptions!$C$27)-Assumptions!$C$28)*Assumptions!$C$31)+Assumptions!$C$28-Assumptions!$C$29-$P885*Assumptions!$C$30</f>
        <v>113.8862232</v>
      </c>
      <c r="V885" s="143">
        <f>(($Q885/(1+$D885)^1+$R885/(1+$D885)^2+$S885/(1+$D885)^3+$T885/(1+$D885)^4+$U885/(1+$D885)^5+$U885*(1+$E885)/($D885-$E885)/(1+$D885)^5)-Assumptions!$C$37)/Assumptions!$C$40/Assumptions!$C$38</f>
        <v>3.717201915</v>
      </c>
    </row>
    <row r="886" ht="12.0" customHeight="1">
      <c r="B886" s="139">
        <v>834.0</v>
      </c>
      <c r="C886" s="140">
        <f t="shared" si="6"/>
        <v>0.4633209226</v>
      </c>
      <c r="D886" s="141">
        <f t="shared" si="7"/>
        <v>0.09764843055</v>
      </c>
      <c r="E886" s="141">
        <f t="shared" si="8"/>
        <v>0.02258115891</v>
      </c>
      <c r="F886" s="140">
        <f t="shared" si="9"/>
        <v>0.568120877</v>
      </c>
      <c r="G886" s="141">
        <f t="shared" si="10"/>
        <v>0.06211842147</v>
      </c>
      <c r="H886" s="142">
        <f t="shared" si="11"/>
        <v>1</v>
      </c>
      <c r="I886" s="142">
        <f t="shared" si="12"/>
        <v>0</v>
      </c>
      <c r="J886" s="142">
        <f t="shared" si="13"/>
        <v>0</v>
      </c>
      <c r="K886" s="142">
        <f t="shared" si="14"/>
        <v>1</v>
      </c>
      <c r="L886" s="139">
        <f>Assumptions!$C$6*Assumptions!$C$7*(1+$G886-0.05*(1-1))^1+Assumptions!$C$6*Assumptions!$C$8*(1+Assumptions!$C$11)^1+Assumptions!$C$16*1+Assumptions!$C$6*Assumptions!$C$9*(1+Assumptions!$C$12)^1</f>
        <v>747.3770607</v>
      </c>
      <c r="M886" s="139">
        <f>Assumptions!$C$6*Assumptions!$C$7*(1+$G886-0.05*(1-$H886))^2+Assumptions!$C$6*Assumptions!$C$8*(1+Assumptions!$C$11)^2+Assumptions!$C$16*$H886+Assumptions!$C$6*Assumptions!$C$9*(1+Assumptions!$C$12)^2</f>
        <v>776.1823192</v>
      </c>
      <c r="N886" s="139">
        <f>Assumptions!$C$6*Assumptions!$C$7*(1+$G886-0.05*(1-$I886))^3+Assumptions!$C$6*Assumptions!$C$8*(1+Assumptions!$C$11)^3+Assumptions!$C$16*$I886+Assumptions!$C$6*Assumptions!$C$9*(1+Assumptions!$C$12)^3</f>
        <v>692.1807436</v>
      </c>
      <c r="O886" s="139">
        <f>Assumptions!$C$6*Assumptions!$C$7*(1+$G886-0.05*(1-$J886))^4+Assumptions!$C$6*Assumptions!$C$8*(1+Assumptions!$C$11)^4+Assumptions!$C$16*$J886+Assumptions!$C$6*Assumptions!$C$9*(1+Assumptions!$C$12)^4</f>
        <v>703.2737973</v>
      </c>
      <c r="P886" s="139">
        <f>Assumptions!$C$6*Assumptions!$C$7*(1+$G886-0.05*(1-$K886))^5+Assumptions!$C$6*Assumptions!$C$8*(1+Assumptions!$C$11)^5+Assumptions!$C$16*$K886+Assumptions!$C$6*Assumptions!$C$9*(1+Assumptions!$C$12)^5</f>
        <v>872.0256015</v>
      </c>
      <c r="Q886" s="139">
        <f>($L886*(1-(Assumptions!$C$25+0.06*(1-1))-Assumptions!$C$27)-Assumptions!$C$28)-MAX(0,($L886*(1-(Assumptions!$C$25+0.06*(1-1))-Assumptions!$C$27)-Assumptions!$C$28)*Assumptions!$C$31)+Assumptions!$C$28-Assumptions!$C$29-$L886*Assumptions!$C$30</f>
        <v>93.18606804</v>
      </c>
      <c r="R886" s="139">
        <f>($M886*(1-(Assumptions!$C$25+0.06*(1-$H886))-Assumptions!$C$27)-Assumptions!$C$28)-MAX(0,($M886*(1-(Assumptions!$C$25+0.06*(1-$H886))-Assumptions!$C$27)-Assumptions!$C$28)*Assumptions!$C$31)+Assumptions!$C$28-Assumptions!$C$29-$M886*Assumptions!$C$30</f>
        <v>99.37919862</v>
      </c>
      <c r="S886" s="139">
        <f>($N886*(1-(Assumptions!$C$25+0.06*(1-$I886))-Assumptions!$C$27)-Assumptions!$C$28)-MAX(0,($N886*(1-(Assumptions!$C$25+0.06*(1-$I886))-Assumptions!$C$27)-Assumptions!$C$28)*Assumptions!$C$31)+Assumptions!$C$28-Assumptions!$C$29-$N886*Assumptions!$C$30</f>
        <v>39.20157102</v>
      </c>
      <c r="T886" s="139">
        <f>($O886*(1-(Assumptions!$C$25+0.06*(1-$J886))-Assumptions!$C$27)-Assumptions!$C$28)-MAX(0,($O886*(1-(Assumptions!$C$25+0.06*(1-$J886))-Assumptions!$C$27)-Assumptions!$C$28)*Assumptions!$C$31)+Assumptions!$C$28-Assumptions!$C$29-$O886*Assumptions!$C$30</f>
        <v>41.75297337</v>
      </c>
      <c r="U886" s="139">
        <f>($P886*(1-(Assumptions!$C$25+0.06*(1-$K886))-Assumptions!$C$27)-Assumptions!$C$28)-MAX(0,($P886*(1-(Assumptions!$C$25+0.06*(1-$K886))-Assumptions!$C$27)-Assumptions!$C$28)*Assumptions!$C$31)+Assumptions!$C$28-Assumptions!$C$29-$P886*Assumptions!$C$30</f>
        <v>119.9855043</v>
      </c>
      <c r="V886" s="143">
        <f>(($Q886/(1+$D886)^1+$R886/(1+$D886)^2+$S886/(1+$D886)^3+$T886/(1+$D886)^4+$U886/(1+$D886)^5+$U886*(1+$E886)/($D886-$E886)/(1+$D886)^5)-Assumptions!$C$37)/Assumptions!$C$40/Assumptions!$C$38</f>
        <v>4.956931419</v>
      </c>
    </row>
    <row r="887" ht="12.0" customHeight="1">
      <c r="B887" s="139">
        <v>835.0</v>
      </c>
      <c r="C887" s="140">
        <f t="shared" si="6"/>
        <v>0.2616677059</v>
      </c>
      <c r="D887" s="141">
        <f t="shared" si="7"/>
        <v>0.09441835189</v>
      </c>
      <c r="E887" s="141">
        <f t="shared" si="8"/>
        <v>0.01876687434</v>
      </c>
      <c r="F887" s="140">
        <f t="shared" si="9"/>
        <v>0.8445556167</v>
      </c>
      <c r="G887" s="141">
        <f t="shared" si="10"/>
        <v>0.07327277997</v>
      </c>
      <c r="H887" s="142">
        <f t="shared" si="11"/>
        <v>1</v>
      </c>
      <c r="I887" s="142">
        <f t="shared" si="12"/>
        <v>0</v>
      </c>
      <c r="J887" s="142">
        <f t="shared" si="13"/>
        <v>0</v>
      </c>
      <c r="K887" s="142">
        <f t="shared" si="14"/>
        <v>1</v>
      </c>
      <c r="L887" s="139">
        <f>Assumptions!$C$6*Assumptions!$C$7*(1+$G887-0.05*(1-1))^1+Assumptions!$C$6*Assumptions!$C$8*(1+Assumptions!$C$11)^1+Assumptions!$C$16*1+Assumptions!$C$6*Assumptions!$C$9*(1+Assumptions!$C$12)^1</f>
        <v>751.1316177</v>
      </c>
      <c r="M887" s="139">
        <f>Assumptions!$C$6*Assumptions!$C$7*(1+$G887-0.05*(1-$H887))^2+Assumptions!$C$6*Assumptions!$C$8*(1+Assumptions!$C$11)^2+Assumptions!$C$16*$H887+Assumptions!$C$6*Assumptions!$C$9*(1+Assumptions!$C$12)^2</f>
        <v>784.1997673</v>
      </c>
      <c r="N887" s="139">
        <f>Assumptions!$C$6*Assumptions!$C$7*(1+$G887-0.05*(1-$I887))^3+Assumptions!$C$6*Assumptions!$C$8*(1+Assumptions!$C$11)^3+Assumptions!$C$16*$I887+Assumptions!$C$6*Assumptions!$C$9*(1+Assumptions!$C$12)^3</f>
        <v>703.8466935</v>
      </c>
      <c r="O887" s="139">
        <f>Assumptions!$C$6*Assumptions!$C$7*(1+$G887-0.05*(1-$J887))^4+Assumptions!$C$6*Assumptions!$C$8*(1+Assumptions!$C$11)^4+Assumptions!$C$16*$J887+Assumptions!$C$6*Assumptions!$C$9*(1+Assumptions!$C$12)^4</f>
        <v>719.1039621</v>
      </c>
      <c r="P887" s="139">
        <f>Assumptions!$C$6*Assumptions!$C$7*(1+$G887-0.05*(1-$K887))^5+Assumptions!$C$6*Assumptions!$C$8*(1+Assumptions!$C$11)^5+Assumptions!$C$16*$K887+Assumptions!$C$6*Assumptions!$C$9*(1+Assumptions!$C$12)^5</f>
        <v>896.4229274</v>
      </c>
      <c r="Q887" s="139">
        <f>($L887*(1-(Assumptions!$C$25+0.06*(1-1))-Assumptions!$C$27)-Assumptions!$C$28)-MAX(0,($L887*(1-(Assumptions!$C$25+0.06*(1-1))-Assumptions!$C$27)-Assumptions!$C$28)*Assumptions!$C$31)+Assumptions!$C$28-Assumptions!$C$29-$L887*Assumptions!$C$30</f>
        <v>93.99329781</v>
      </c>
      <c r="R887" s="139">
        <f>($M887*(1-(Assumptions!$C$25+0.06*(1-$H887))-Assumptions!$C$27)-Assumptions!$C$28)-MAX(0,($M887*(1-(Assumptions!$C$25+0.06*(1-$H887))-Assumptions!$C$27)-Assumptions!$C$28)*Assumptions!$C$31)+Assumptions!$C$28-Assumptions!$C$29-$M887*Assumptions!$C$30</f>
        <v>101.10295</v>
      </c>
      <c r="S887" s="139">
        <f>($N887*(1-(Assumptions!$C$25+0.06*(1-$I887))-Assumptions!$C$27)-Assumptions!$C$28)-MAX(0,($N887*(1-(Assumptions!$C$25+0.06*(1-$I887))-Assumptions!$C$27)-Assumptions!$C$28)*Assumptions!$C$31)+Assumptions!$C$28-Assumptions!$C$29-$N887*Assumptions!$C$30</f>
        <v>41.8847395</v>
      </c>
      <c r="T887" s="139">
        <f>($O887*(1-(Assumptions!$C$25+0.06*(1-$J887))-Assumptions!$C$27)-Assumptions!$C$28)-MAX(0,($O887*(1-(Assumptions!$C$25+0.06*(1-$J887))-Assumptions!$C$27)-Assumptions!$C$28)*Assumptions!$C$31)+Assumptions!$C$28-Assumptions!$C$29-$O887*Assumptions!$C$30</f>
        <v>45.39391127</v>
      </c>
      <c r="U887" s="139">
        <f>($P887*(1-(Assumptions!$C$25+0.06*(1-$K887))-Assumptions!$C$27)-Assumptions!$C$28)-MAX(0,($P887*(1-(Assumptions!$C$25+0.06*(1-$K887))-Assumptions!$C$27)-Assumptions!$C$28)*Assumptions!$C$31)+Assumptions!$C$28-Assumptions!$C$29-$P887*Assumptions!$C$30</f>
        <v>125.2309294</v>
      </c>
      <c r="V887" s="143">
        <f>(($Q887/(1+$D887)^1+$R887/(1+$D887)^2+$S887/(1+$D887)^3+$T887/(1+$D887)^4+$U887/(1+$D887)^5+$U887*(1+$E887)/($D887-$E887)/(1+$D887)^5)-Assumptions!$C$37)/Assumptions!$C$40/Assumptions!$C$38</f>
        <v>5.432102771</v>
      </c>
    </row>
    <row r="888" ht="12.0" customHeight="1">
      <c r="B888" s="139">
        <v>836.0</v>
      </c>
      <c r="C888" s="140">
        <f t="shared" si="6"/>
        <v>0.1616037452</v>
      </c>
      <c r="D888" s="141">
        <f t="shared" si="7"/>
        <v>0.09240159913</v>
      </c>
      <c r="E888" s="141">
        <f t="shared" si="8"/>
        <v>0.0170881931</v>
      </c>
      <c r="F888" s="140">
        <f t="shared" si="9"/>
        <v>0.5681672107</v>
      </c>
      <c r="G888" s="141">
        <f t="shared" si="10"/>
        <v>0.06211991713</v>
      </c>
      <c r="H888" s="142">
        <f t="shared" si="11"/>
        <v>1</v>
      </c>
      <c r="I888" s="142">
        <f t="shared" si="12"/>
        <v>1</v>
      </c>
      <c r="J888" s="142">
        <f t="shared" si="13"/>
        <v>1</v>
      </c>
      <c r="K888" s="142">
        <f t="shared" si="14"/>
        <v>1</v>
      </c>
      <c r="L888" s="139">
        <f>Assumptions!$C$6*Assumptions!$C$7*(1+$G888-0.05*(1-1))^1+Assumptions!$C$6*Assumptions!$C$8*(1+Assumptions!$C$11)^1+Assumptions!$C$16*1+Assumptions!$C$6*Assumptions!$C$9*(1+Assumptions!$C$12)^1</f>
        <v>747.3775641</v>
      </c>
      <c r="M888" s="139">
        <f>Assumptions!$C$6*Assumptions!$C$7*(1+$G888-0.05*(1-$H888))^2+Assumptions!$C$6*Assumptions!$C$8*(1+Assumptions!$C$11)^2+Assumptions!$C$16*$H888+Assumptions!$C$6*Assumptions!$C$9*(1+Assumptions!$C$12)^2</f>
        <v>776.1833886</v>
      </c>
      <c r="N888" s="139">
        <f>Assumptions!$C$6*Assumptions!$C$7*(1+$G888-0.05*(1-$I888))^3+Assumptions!$C$6*Assumptions!$C$8*(1+Assumptions!$C$11)^3+Assumptions!$C$16*$I888+Assumptions!$C$6*Assumptions!$C$9*(1+Assumptions!$C$12)^3</f>
        <v>806.5007483</v>
      </c>
      <c r="O888" s="139">
        <f>Assumptions!$C$6*Assumptions!$C$7*(1+$G888-0.05*(1-$J888))^4+Assumptions!$C$6*Assumptions!$C$8*(1+Assumptions!$C$11)^4+Assumptions!$C$16*$J888+Assumptions!$C$6*Assumptions!$C$9*(1+Assumptions!$C$12)^4</f>
        <v>838.4179819</v>
      </c>
      <c r="P888" s="139">
        <f>Assumptions!$C$6*Assumptions!$C$7*(1+$G888-0.05*(1-$K888))^5+Assumptions!$C$6*Assumptions!$C$8*(1+Assumptions!$C$11)^5+Assumptions!$C$16*$K888+Assumptions!$C$6*Assumptions!$C$9*(1+Assumptions!$C$12)^5</f>
        <v>872.0288049</v>
      </c>
      <c r="Q888" s="139">
        <f>($L888*(1-(Assumptions!$C$25+0.06*(1-1))-Assumptions!$C$27)-Assumptions!$C$28)-MAX(0,($L888*(1-(Assumptions!$C$25+0.06*(1-1))-Assumptions!$C$27)-Assumptions!$C$28)*Assumptions!$C$31)+Assumptions!$C$28-Assumptions!$C$29-$L888*Assumptions!$C$30</f>
        <v>93.18617628</v>
      </c>
      <c r="R888" s="139">
        <f>($M888*(1-(Assumptions!$C$25+0.06*(1-$H888))-Assumptions!$C$27)-Assumptions!$C$28)-MAX(0,($M888*(1-(Assumptions!$C$25+0.06*(1-$H888))-Assumptions!$C$27)-Assumptions!$C$28)*Assumptions!$C$31)+Assumptions!$C$28-Assumptions!$C$29-$M888*Assumptions!$C$30</f>
        <v>99.37942855</v>
      </c>
      <c r="S888" s="139">
        <f>($N888*(1-(Assumptions!$C$25+0.06*(1-$I888))-Assumptions!$C$27)-Assumptions!$C$28)-MAX(0,($N888*(1-(Assumptions!$C$25+0.06*(1-$I888))-Assumptions!$C$27)-Assumptions!$C$28)*Assumptions!$C$31)+Assumptions!$C$28-Assumptions!$C$29-$N888*Assumptions!$C$30</f>
        <v>105.8976609</v>
      </c>
      <c r="T888" s="139">
        <f>($O888*(1-(Assumptions!$C$25+0.06*(1-$J888))-Assumptions!$C$27)-Assumptions!$C$28)-MAX(0,($O888*(1-(Assumptions!$C$25+0.06*(1-$J888))-Assumptions!$C$27)-Assumptions!$C$28)*Assumptions!$C$31)+Assumptions!$C$28-Assumptions!$C$29-$O888*Assumptions!$C$30</f>
        <v>112.7598661</v>
      </c>
      <c r="U888" s="139">
        <f>($P888*(1-(Assumptions!$C$25+0.06*(1-$K888))-Assumptions!$C$27)-Assumptions!$C$28)-MAX(0,($P888*(1-(Assumptions!$C$25+0.06*(1-$K888))-Assumptions!$C$27)-Assumptions!$C$28)*Assumptions!$C$31)+Assumptions!$C$28-Assumptions!$C$29-$P888*Assumptions!$C$30</f>
        <v>119.9861931</v>
      </c>
      <c r="V888" s="143">
        <f>(($Q888/(1+$D888)^1+$R888/(1+$D888)^2+$S888/(1+$D888)^3+$T888/(1+$D888)^4+$U888/(1+$D888)^5+$U888*(1+$E888)/($D888-$E888)/(1+$D888)^5)-Assumptions!$C$37)/Assumptions!$C$40/Assumptions!$C$38</f>
        <v>5.900106389</v>
      </c>
    </row>
    <row r="889" ht="12.0" customHeight="1">
      <c r="B889" s="139">
        <v>837.0</v>
      </c>
      <c r="C889" s="140">
        <f t="shared" si="6"/>
        <v>0.6426415557</v>
      </c>
      <c r="D889" s="141">
        <f t="shared" si="7"/>
        <v>0.1008409715</v>
      </c>
      <c r="E889" s="141">
        <f t="shared" si="8"/>
        <v>0.02753566463</v>
      </c>
      <c r="F889" s="140">
        <f t="shared" si="9"/>
        <v>0.970490946</v>
      </c>
      <c r="G889" s="141">
        <f t="shared" si="10"/>
        <v>0.08271190716</v>
      </c>
      <c r="H889" s="142">
        <f t="shared" si="11"/>
        <v>1</v>
      </c>
      <c r="I889" s="142">
        <f t="shared" si="12"/>
        <v>0</v>
      </c>
      <c r="J889" s="142">
        <f t="shared" si="13"/>
        <v>1</v>
      </c>
      <c r="K889" s="142">
        <f t="shared" si="14"/>
        <v>0</v>
      </c>
      <c r="L889" s="139">
        <f>Assumptions!$C$6*Assumptions!$C$7*(1+$G889-0.05*(1-1))^1+Assumptions!$C$6*Assumptions!$C$8*(1+Assumptions!$C$11)^1+Assumptions!$C$16*1+Assumptions!$C$6*Assumptions!$C$9*(1+Assumptions!$C$12)^1</f>
        <v>754.308828</v>
      </c>
      <c r="M889" s="139">
        <f>Assumptions!$C$6*Assumptions!$C$7*(1+$G889-0.05*(1-$H889))^2+Assumptions!$C$6*Assumptions!$C$8*(1+Assumptions!$C$11)^2+Assumptions!$C$16*$H889+Assumptions!$C$6*Assumptions!$C$9*(1+Assumptions!$C$12)^2</f>
        <v>791.0497839</v>
      </c>
      <c r="N889" s="139">
        <f>Assumptions!$C$6*Assumptions!$C$7*(1+$G889-0.05*(1-$I889))^3+Assumptions!$C$6*Assumptions!$C$8*(1+Assumptions!$C$11)^3+Assumptions!$C$16*$I889+Assumptions!$C$6*Assumptions!$C$9*(1+Assumptions!$C$12)^3</f>
        <v>713.9194889</v>
      </c>
      <c r="O889" s="139">
        <f>Assumptions!$C$6*Assumptions!$C$7*(1+$G889-0.05*(1-$J889))^4+Assumptions!$C$6*Assumptions!$C$8*(1+Assumptions!$C$11)^4+Assumptions!$C$16*$J889+Assumptions!$C$6*Assumptions!$C$9*(1+Assumptions!$C$12)^4</f>
        <v>872.6160994</v>
      </c>
      <c r="P889" s="139">
        <f>Assumptions!$C$6*Assumptions!$C$7*(1+$G889-0.05*(1-$K889))^5+Assumptions!$C$6*Assumptions!$C$8*(1+Assumptions!$C$11)^5+Assumptions!$C$16*$K889+Assumptions!$C$6*Assumptions!$C$9*(1+Assumptions!$C$12)^5</f>
        <v>752.4354865</v>
      </c>
      <c r="Q889" s="139">
        <f>($L889*(1-(Assumptions!$C$25+0.06*(1-1))-Assumptions!$C$27)-Assumptions!$C$28)-MAX(0,($L889*(1-(Assumptions!$C$25+0.06*(1-1))-Assumptions!$C$27)-Assumptions!$C$28)*Assumptions!$C$31)+Assumptions!$C$28-Assumptions!$C$29-$L889*Assumptions!$C$30</f>
        <v>94.67639801</v>
      </c>
      <c r="R889" s="139">
        <f>($M889*(1-(Assumptions!$C$25+0.06*(1-$H889))-Assumptions!$C$27)-Assumptions!$C$28)-MAX(0,($M889*(1-(Assumptions!$C$25+0.06*(1-$H889))-Assumptions!$C$27)-Assumptions!$C$28)*Assumptions!$C$31)+Assumptions!$C$28-Assumptions!$C$29-$M889*Assumptions!$C$30</f>
        <v>102.5757035</v>
      </c>
      <c r="S889" s="139">
        <f>($N889*(1-(Assumptions!$C$25+0.06*(1-$I889))-Assumptions!$C$27)-Assumptions!$C$28)-MAX(0,($N889*(1-(Assumptions!$C$25+0.06*(1-$I889))-Assumptions!$C$27)-Assumptions!$C$28)*Assumptions!$C$31)+Assumptions!$C$28-Assumptions!$C$29-$N889*Assumptions!$C$30</f>
        <v>44.20148246</v>
      </c>
      <c r="T889" s="139">
        <f>($O889*(1-(Assumptions!$C$25+0.06*(1-$J889))-Assumptions!$C$27)-Assumptions!$C$28)-MAX(0,($O889*(1-(Assumptions!$C$25+0.06*(1-$J889))-Assumptions!$C$27)-Assumptions!$C$28)*Assumptions!$C$31)+Assumptions!$C$28-Assumptions!$C$29-$O889*Assumptions!$C$30</f>
        <v>120.1124614</v>
      </c>
      <c r="U889" s="139">
        <f>($P889*(1-(Assumptions!$C$25+0.06*(1-$K889))-Assumptions!$C$27)-Assumptions!$C$28)-MAX(0,($P889*(1-(Assumptions!$C$25+0.06*(1-$K889))-Assumptions!$C$27)-Assumptions!$C$28)*Assumptions!$C$31)+Assumptions!$C$28-Assumptions!$C$29-$P889*Assumptions!$C$30</f>
        <v>53.06016189</v>
      </c>
      <c r="V889" s="143">
        <f>(($Q889/(1+$D889)^1+$R889/(1+$D889)^2+$S889/(1+$D889)^3+$T889/(1+$D889)^4+$U889/(1+$D889)^5+$U889*(1+$E889)/($D889-$E889)/(1+$D889)^5)-Assumptions!$C$37)/Assumptions!$C$40/Assumptions!$C$38</f>
        <v>0.6769275635</v>
      </c>
    </row>
    <row r="890" ht="12.0" customHeight="1">
      <c r="B890" s="139">
        <v>838.0</v>
      </c>
      <c r="C890" s="140">
        <f t="shared" si="6"/>
        <v>0.07404728035</v>
      </c>
      <c r="D890" s="141">
        <f t="shared" si="7"/>
        <v>0.09001019242</v>
      </c>
      <c r="E890" s="141">
        <f t="shared" si="8"/>
        <v>0.01550113595</v>
      </c>
      <c r="F890" s="140">
        <f t="shared" si="9"/>
        <v>0.7415120797</v>
      </c>
      <c r="G890" s="141">
        <f t="shared" si="10"/>
        <v>0.06842969039</v>
      </c>
      <c r="H890" s="142">
        <f t="shared" si="11"/>
        <v>1</v>
      </c>
      <c r="I890" s="142">
        <f t="shared" si="12"/>
        <v>1</v>
      </c>
      <c r="J890" s="142">
        <f t="shared" si="13"/>
        <v>1</v>
      </c>
      <c r="K890" s="142">
        <f t="shared" si="14"/>
        <v>1</v>
      </c>
      <c r="L890" s="139">
        <f>Assumptions!$C$6*Assumptions!$C$7*(1+$G890-0.05*(1-1))^1+Assumptions!$C$6*Assumptions!$C$8*(1+Assumptions!$C$11)^1+Assumptions!$C$16*1+Assumptions!$C$6*Assumptions!$C$9*(1+Assumptions!$C$12)^1</f>
        <v>749.5014338</v>
      </c>
      <c r="M890" s="139">
        <f>Assumptions!$C$6*Assumptions!$C$7*(1+$G890-0.05*(1-$H890))^2+Assumptions!$C$6*Assumptions!$C$8*(1+Assumptions!$C$11)^2+Assumptions!$C$16*$H890+Assumptions!$C$6*Assumptions!$C$9*(1+Assumptions!$C$12)^2</f>
        <v>780.7083983</v>
      </c>
      <c r="N890" s="139">
        <f>Assumptions!$C$6*Assumptions!$C$7*(1+$G890-0.05*(1-$I890))^3+Assumptions!$C$6*Assumptions!$C$8*(1+Assumptions!$C$11)^3+Assumptions!$C$16*$I890+Assumptions!$C$6*Assumptions!$C$9*(1+Assumptions!$C$12)^3</f>
        <v>813.7313377</v>
      </c>
      <c r="O890" s="139">
        <f>Assumptions!$C$6*Assumptions!$C$7*(1+$G890-0.05*(1-$J890))^4+Assumptions!$C$6*Assumptions!$C$8*(1+Assumptions!$C$11)^4+Assumptions!$C$16*$J890+Assumptions!$C$6*Assumptions!$C$9*(1+Assumptions!$C$12)^4</f>
        <v>848.6881283</v>
      </c>
      <c r="P890" s="139">
        <f>Assumptions!$C$6*Assumptions!$C$7*(1+$G890-0.05*(1-$K890))^5+Assumptions!$C$6*Assumptions!$C$8*(1+Assumptions!$C$11)^5+Assumptions!$C$16*$K890+Assumptions!$C$6*Assumptions!$C$9*(1+Assumptions!$C$12)^5</f>
        <v>885.704585</v>
      </c>
      <c r="Q890" s="139">
        <f>($L890*(1-(Assumptions!$C$25+0.06*(1-1))-Assumptions!$C$27)-Assumptions!$C$28)-MAX(0,($L890*(1-(Assumptions!$C$25+0.06*(1-1))-Assumptions!$C$27)-Assumptions!$C$28)*Assumptions!$C$31)+Assumptions!$C$28-Assumptions!$C$29-$L890*Assumptions!$C$30</f>
        <v>93.64280826</v>
      </c>
      <c r="R890" s="139">
        <f>($M890*(1-(Assumptions!$C$25+0.06*(1-$H890))-Assumptions!$C$27)-Assumptions!$C$28)-MAX(0,($M890*(1-(Assumptions!$C$25+0.06*(1-$H890))-Assumptions!$C$27)-Assumptions!$C$28)*Assumptions!$C$31)+Assumptions!$C$28-Assumptions!$C$29-$M890*Assumptions!$C$30</f>
        <v>100.3523056</v>
      </c>
      <c r="S890" s="139">
        <f>($N890*(1-(Assumptions!$C$25+0.06*(1-$I890))-Assumptions!$C$27)-Assumptions!$C$28)-MAX(0,($N890*(1-(Assumptions!$C$25+0.06*(1-$I890))-Assumptions!$C$27)-Assumptions!$C$28)*Assumptions!$C$31)+Assumptions!$C$28-Assumptions!$C$29-$N890*Assumptions!$C$30</f>
        <v>107.4522376</v>
      </c>
      <c r="T890" s="139">
        <f>($O890*(1-(Assumptions!$C$25+0.06*(1-$J890))-Assumptions!$C$27)-Assumptions!$C$28)-MAX(0,($O890*(1-(Assumptions!$C$25+0.06*(1-$J890))-Assumptions!$C$27)-Assumptions!$C$28)*Assumptions!$C$31)+Assumptions!$C$28-Assumptions!$C$29-$O890*Assumptions!$C$30</f>
        <v>114.9679476</v>
      </c>
      <c r="U890" s="139">
        <f>($P890*(1-(Assumptions!$C$25+0.06*(1-$K890))-Assumptions!$C$27)-Assumptions!$C$28)-MAX(0,($P890*(1-(Assumptions!$C$25+0.06*(1-$K890))-Assumptions!$C$27)-Assumptions!$C$28)*Assumptions!$C$31)+Assumptions!$C$28-Assumptions!$C$29-$P890*Assumptions!$C$30</f>
        <v>122.9264858</v>
      </c>
      <c r="V890" s="143">
        <f>(($Q890/(1+$D890)^1+$R890/(1+$D890)^2+$S890/(1+$D890)^3+$T890/(1+$D890)^4+$U890/(1+$D890)^5+$U890*(1+$E890)/($D890-$E890)/(1+$D890)^5)-Assumptions!$C$37)/Assumptions!$C$40/Assumptions!$C$38</f>
        <v>6.335387633</v>
      </c>
    </row>
    <row r="891" ht="12.0" customHeight="1">
      <c r="B891" s="139">
        <v>839.0</v>
      </c>
      <c r="C891" s="140">
        <f t="shared" si="6"/>
        <v>0.566605263</v>
      </c>
      <c r="D891" s="141">
        <f t="shared" si="7"/>
        <v>0.09940723092</v>
      </c>
      <c r="E891" s="141">
        <f t="shared" si="8"/>
        <v>0.01749953451</v>
      </c>
      <c r="F891" s="140">
        <f t="shared" si="9"/>
        <v>0.5517277762</v>
      </c>
      <c r="G891" s="141">
        <f t="shared" si="10"/>
        <v>0.06159419069</v>
      </c>
      <c r="H891" s="142">
        <f t="shared" si="11"/>
        <v>0</v>
      </c>
      <c r="I891" s="142">
        <f t="shared" si="12"/>
        <v>0</v>
      </c>
      <c r="J891" s="142">
        <f t="shared" si="13"/>
        <v>0</v>
      </c>
      <c r="K891" s="142">
        <f t="shared" si="14"/>
        <v>1</v>
      </c>
      <c r="L891" s="139">
        <f>Assumptions!$C$6*Assumptions!$C$7*(1+$G891-0.05*(1-1))^1+Assumptions!$C$6*Assumptions!$C$8*(1+Assumptions!$C$11)^1+Assumptions!$C$16*1+Assumptions!$C$6*Assumptions!$C$9*(1+Assumptions!$C$12)^1</f>
        <v>747.2006046</v>
      </c>
      <c r="M891" s="139">
        <f>Assumptions!$C$6*Assumptions!$C$7*(1+$G891-0.05*(1-$H891))^2+Assumptions!$C$6*Assumptions!$C$8*(1+Assumptions!$C$11)^2+Assumptions!$C$16*$H891+Assumptions!$C$6*Assumptions!$C$9*(1+Assumptions!$C$12)^2</f>
        <v>680.9158167</v>
      </c>
      <c r="N891" s="139">
        <f>Assumptions!$C$6*Assumptions!$C$7*(1+$G891-0.05*(1-$I891))^3+Assumptions!$C$6*Assumptions!$C$8*(1+Assumptions!$C$11)^3+Assumptions!$C$16*$I891+Assumptions!$C$6*Assumptions!$C$9*(1+Assumptions!$C$12)^3</f>
        <v>691.6387482</v>
      </c>
      <c r="O891" s="139">
        <f>Assumptions!$C$6*Assumptions!$C$7*(1+$G891-0.05*(1-$J891))^4+Assumptions!$C$6*Assumptions!$C$8*(1+Assumptions!$C$11)^4+Assumptions!$C$16*$J891+Assumptions!$C$6*Assumptions!$C$9*(1+Assumptions!$C$12)^4</f>
        <v>702.5425687</v>
      </c>
      <c r="P891" s="139">
        <f>Assumptions!$C$6*Assumptions!$C$7*(1+$G891-0.05*(1-$K891))^5+Assumptions!$C$6*Assumptions!$C$8*(1+Assumptions!$C$11)^5+Assumptions!$C$16*$K891+Assumptions!$C$6*Assumptions!$C$9*(1+Assumptions!$C$12)^5</f>
        <v>870.9039197</v>
      </c>
      <c r="Q891" s="139">
        <f>($L891*(1-(Assumptions!$C$25+0.06*(1-1))-Assumptions!$C$27)-Assumptions!$C$28)-MAX(0,($L891*(1-(Assumptions!$C$25+0.06*(1-1))-Assumptions!$C$27)-Assumptions!$C$28)*Assumptions!$C$31)+Assumptions!$C$28-Assumptions!$C$29-$L891*Assumptions!$C$30</f>
        <v>93.14812999</v>
      </c>
      <c r="R891" s="139">
        <f>($M891*(1-(Assumptions!$C$25+0.06*(1-$H891))-Assumptions!$C$27)-Assumptions!$C$28)-MAX(0,($M891*(1-(Assumptions!$C$25+0.06*(1-$H891))-Assumptions!$C$27)-Assumptions!$C$28)*Assumptions!$C$31)+Assumptions!$C$28-Assumptions!$C$29-$M891*Assumptions!$C$30</f>
        <v>36.61063784</v>
      </c>
      <c r="S891" s="139">
        <f>($N891*(1-(Assumptions!$C$25+0.06*(1-$I891))-Assumptions!$C$27)-Assumptions!$C$28)-MAX(0,($N891*(1-(Assumptions!$C$25+0.06*(1-$I891))-Assumptions!$C$27)-Assumptions!$C$28)*Assumptions!$C$31)+Assumptions!$C$28-Assumptions!$C$29-$N891*Assumptions!$C$30</f>
        <v>39.07691208</v>
      </c>
      <c r="T891" s="139">
        <f>($O891*(1-(Assumptions!$C$25+0.06*(1-$J891))-Assumptions!$C$27)-Assumptions!$C$28)-MAX(0,($O891*(1-(Assumptions!$C$25+0.06*(1-$J891))-Assumptions!$C$27)-Assumptions!$C$28)*Assumptions!$C$31)+Assumptions!$C$28-Assumptions!$C$29-$O891*Assumptions!$C$30</f>
        <v>41.58479079</v>
      </c>
      <c r="U891" s="139">
        <f>($P891*(1-(Assumptions!$C$25+0.06*(1-$K891))-Assumptions!$C$27)-Assumptions!$C$28)-MAX(0,($P891*(1-(Assumptions!$C$25+0.06*(1-$K891))-Assumptions!$C$27)-Assumptions!$C$28)*Assumptions!$C$31)+Assumptions!$C$28-Assumptions!$C$29-$P891*Assumptions!$C$30</f>
        <v>119.7443427</v>
      </c>
      <c r="V891" s="143">
        <f>(($Q891/(1+$D891)^1+$R891/(1+$D891)^2+$S891/(1+$D891)^3+$T891/(1+$D891)^4+$U891/(1+$D891)^5+$U891*(1+$E891)/($D891-$E891)/(1+$D891)^5)-Assumptions!$C$37)/Assumptions!$C$40/Assumptions!$C$38</f>
        <v>3.76047793</v>
      </c>
    </row>
    <row r="892" ht="12.0" customHeight="1">
      <c r="B892" s="139">
        <v>840.0</v>
      </c>
      <c r="C892" s="140">
        <f t="shared" si="6"/>
        <v>0.6013211608</v>
      </c>
      <c r="D892" s="141">
        <f t="shared" si="7"/>
        <v>0.1000447725</v>
      </c>
      <c r="E892" s="141">
        <f t="shared" si="8"/>
        <v>0.02033331509</v>
      </c>
      <c r="F892" s="140">
        <f t="shared" si="9"/>
        <v>0.4837704787</v>
      </c>
      <c r="G892" s="141">
        <f t="shared" si="10"/>
        <v>0.05950909795</v>
      </c>
      <c r="H892" s="142">
        <f t="shared" si="11"/>
        <v>0</v>
      </c>
      <c r="I892" s="142">
        <f t="shared" si="12"/>
        <v>1</v>
      </c>
      <c r="J892" s="142">
        <f t="shared" si="13"/>
        <v>1</v>
      </c>
      <c r="K892" s="142">
        <f t="shared" si="14"/>
        <v>1</v>
      </c>
      <c r="L892" s="139">
        <f>Assumptions!$C$6*Assumptions!$C$7*(1+$G892-0.05*(1-1))^1+Assumptions!$C$6*Assumptions!$C$8*(1+Assumptions!$C$11)^1+Assumptions!$C$16*1+Assumptions!$C$6*Assumptions!$C$9*(1+Assumptions!$C$12)^1</f>
        <v>746.4987624</v>
      </c>
      <c r="M892" s="139">
        <f>Assumptions!$C$6*Assumptions!$C$7*(1+$G892-0.05*(1-$H892))^2+Assumptions!$C$6*Assumptions!$C$8*(1+Assumptions!$C$11)^2+Assumptions!$C$16*$H892+Assumptions!$C$6*Assumptions!$C$9*(1+Assumptions!$C$12)^2</f>
        <v>679.4973211</v>
      </c>
      <c r="N892" s="139">
        <f>Assumptions!$C$6*Assumptions!$C$7*(1+$G892-0.05*(1-$I892))^3+Assumptions!$C$6*Assumptions!$C$8*(1+Assumptions!$C$11)^3+Assumptions!$C$16*$I892+Assumptions!$C$6*Assumptions!$C$9*(1+Assumptions!$C$12)^3</f>
        <v>803.5339277</v>
      </c>
      <c r="O892" s="139">
        <f>Assumptions!$C$6*Assumptions!$C$7*(1+$G892-0.05*(1-$J892))^4+Assumptions!$C$6*Assumptions!$C$8*(1+Assumptions!$C$11)^4+Assumptions!$C$16*$J892+Assumptions!$C$6*Assumptions!$C$9*(1+Assumptions!$C$12)^4</f>
        <v>834.2216493</v>
      </c>
      <c r="P892" s="139">
        <f>Assumptions!$C$6*Assumptions!$C$7*(1+$G892-0.05*(1-$K892))^5+Assumptions!$C$6*Assumptions!$C$8*(1+Assumptions!$C$11)^5+Assumptions!$C$16*$K892+Assumptions!$C$6*Assumptions!$C$9*(1+Assumptions!$C$12)^5</f>
        <v>866.4643833</v>
      </c>
      <c r="Q892" s="139">
        <f>($L892*(1-(Assumptions!$C$25+0.06*(1-1))-Assumptions!$C$27)-Assumptions!$C$28)-MAX(0,($L892*(1-(Assumptions!$C$25+0.06*(1-1))-Assumptions!$C$27)-Assumptions!$C$28)*Assumptions!$C$31)+Assumptions!$C$28-Assumptions!$C$29-$L892*Assumptions!$C$30</f>
        <v>92.99723391</v>
      </c>
      <c r="R892" s="139">
        <f>($M892*(1-(Assumptions!$C$25+0.06*(1-$H892))-Assumptions!$C$27)-Assumptions!$C$28)-MAX(0,($M892*(1-(Assumptions!$C$25+0.06*(1-$H892))-Assumptions!$C$27)-Assumptions!$C$28)*Assumptions!$C$31)+Assumptions!$C$28-Assumptions!$C$29-$M892*Assumptions!$C$30</f>
        <v>36.28438385</v>
      </c>
      <c r="S892" s="139">
        <f>($N892*(1-(Assumptions!$C$25+0.06*(1-$I892))-Assumptions!$C$27)-Assumptions!$C$28)-MAX(0,($N892*(1-(Assumptions!$C$25+0.06*(1-$I892))-Assumptions!$C$27)-Assumptions!$C$28)*Assumptions!$C$31)+Assumptions!$C$28-Assumptions!$C$29-$N892*Assumptions!$C$30</f>
        <v>105.2597945</v>
      </c>
      <c r="T892" s="139">
        <f>($O892*(1-(Assumptions!$C$25+0.06*(1-$J892))-Assumptions!$C$27)-Assumptions!$C$28)-MAX(0,($O892*(1-(Assumptions!$C$25+0.06*(1-$J892))-Assumptions!$C$27)-Assumptions!$C$28)*Assumptions!$C$31)+Assumptions!$C$28-Assumptions!$C$29-$O892*Assumptions!$C$30</f>
        <v>111.8576546</v>
      </c>
      <c r="U892" s="139">
        <f>($P892*(1-(Assumptions!$C$25+0.06*(1-$K892))-Assumptions!$C$27)-Assumptions!$C$28)-MAX(0,($P892*(1-(Assumptions!$C$25+0.06*(1-$K892))-Assumptions!$C$27)-Assumptions!$C$28)*Assumptions!$C$31)+Assumptions!$C$28-Assumptions!$C$29-$P892*Assumptions!$C$30</f>
        <v>118.7898424</v>
      </c>
      <c r="V892" s="143">
        <f>(($Q892/(1+$D892)^1+$R892/(1+$D892)^2+$S892/(1+$D892)^3+$T892/(1+$D892)^4+$U892/(1+$D892)^5+$U892*(1+$E892)/($D892-$E892)/(1+$D892)^5)-Assumptions!$C$37)/Assumptions!$C$40/Assumptions!$C$38</f>
        <v>4.65100156</v>
      </c>
    </row>
    <row r="893" ht="12.0" customHeight="1">
      <c r="B893" s="139">
        <v>841.0</v>
      </c>
      <c r="C893" s="140">
        <f t="shared" si="6"/>
        <v>0.3171501585</v>
      </c>
      <c r="D893" s="141">
        <f t="shared" si="7"/>
        <v>0.09536889115</v>
      </c>
      <c r="E893" s="141">
        <f t="shared" si="8"/>
        <v>0.01672298836</v>
      </c>
      <c r="F893" s="140">
        <f t="shared" si="9"/>
        <v>0.5017703924</v>
      </c>
      <c r="G893" s="141">
        <f t="shared" si="10"/>
        <v>0.06005315887</v>
      </c>
      <c r="H893" s="142">
        <f t="shared" si="11"/>
        <v>1</v>
      </c>
      <c r="I893" s="142">
        <f t="shared" si="12"/>
        <v>1</v>
      </c>
      <c r="J893" s="142">
        <f t="shared" si="13"/>
        <v>1</v>
      </c>
      <c r="K893" s="142">
        <f t="shared" si="14"/>
        <v>1</v>
      </c>
      <c r="L893" s="139">
        <f>Assumptions!$C$6*Assumptions!$C$7*(1+$G893-0.05*(1-1))^1+Assumptions!$C$6*Assumptions!$C$8*(1+Assumptions!$C$11)^1+Assumptions!$C$16*1+Assumptions!$C$6*Assumptions!$C$9*(1+Assumptions!$C$12)^1</f>
        <v>746.6818933</v>
      </c>
      <c r="M893" s="139">
        <f>Assumptions!$C$6*Assumptions!$C$7*(1+$G893-0.05*(1-$H893))^2+Assumptions!$C$6*Assumptions!$C$8*(1+Assumptions!$C$11)^2+Assumptions!$C$16*$H893+Assumptions!$C$6*Assumptions!$C$9*(1+Assumptions!$C$12)^2</f>
        <v>774.7070547</v>
      </c>
      <c r="N893" s="139">
        <f>Assumptions!$C$6*Assumptions!$C$7*(1+$G893-0.05*(1-$I893))^3+Assumptions!$C$6*Assumptions!$C$8*(1+Assumptions!$C$11)^3+Assumptions!$C$16*$I893+Assumptions!$C$6*Assumptions!$C$9*(1+Assumptions!$C$12)^3</f>
        <v>804.1509705</v>
      </c>
      <c r="O893" s="139">
        <f>Assumptions!$C$6*Assumptions!$C$7*(1+$G893-0.05*(1-$J893))^4+Assumptions!$C$6*Assumptions!$C$8*(1+Assumptions!$C$11)^4+Assumptions!$C$16*$J893+Assumptions!$C$6*Assumptions!$C$9*(1+Assumptions!$C$12)^4</f>
        <v>835.0935564</v>
      </c>
      <c r="P893" s="139">
        <f>Assumptions!$C$6*Assumptions!$C$7*(1+$G893-0.05*(1-$K893))^5+Assumptions!$C$6*Assumptions!$C$8*(1+Assumptions!$C$11)^5+Assumptions!$C$16*$K893+Assumptions!$C$6*Assumptions!$C$9*(1+Assumptions!$C$12)^5</f>
        <v>867.6194217</v>
      </c>
      <c r="Q893" s="139">
        <f>($L893*(1-(Assumptions!$C$25+0.06*(1-1))-Assumptions!$C$27)-Assumptions!$C$28)-MAX(0,($L893*(1-(Assumptions!$C$25+0.06*(1-1))-Assumptions!$C$27)-Assumptions!$C$28)*Assumptions!$C$31)+Assumptions!$C$28-Assumptions!$C$29-$L893*Assumptions!$C$30</f>
        <v>93.03660705</v>
      </c>
      <c r="R893" s="139">
        <f>($M893*(1-(Assumptions!$C$25+0.06*(1-$H893))-Assumptions!$C$27)-Assumptions!$C$28)-MAX(0,($M893*(1-(Assumptions!$C$25+0.06*(1-$H893))-Assumptions!$C$27)-Assumptions!$C$28)*Assumptions!$C$31)+Assumptions!$C$28-Assumptions!$C$29-$M893*Assumptions!$C$30</f>
        <v>99.06201676</v>
      </c>
      <c r="S893" s="139">
        <f>($N893*(1-(Assumptions!$C$25+0.06*(1-$I893))-Assumptions!$C$27)-Assumptions!$C$28)-MAX(0,($N893*(1-(Assumptions!$C$25+0.06*(1-$I893))-Assumptions!$C$27)-Assumptions!$C$28)*Assumptions!$C$31)+Assumptions!$C$28-Assumptions!$C$29-$N893*Assumptions!$C$30</f>
        <v>105.3924587</v>
      </c>
      <c r="T893" s="139">
        <f>($O893*(1-(Assumptions!$C$25+0.06*(1-$J893))-Assumptions!$C$27)-Assumptions!$C$28)-MAX(0,($O893*(1-(Assumptions!$C$25+0.06*(1-$J893))-Assumptions!$C$27)-Assumptions!$C$28)*Assumptions!$C$31)+Assumptions!$C$28-Assumptions!$C$29-$O893*Assumptions!$C$30</f>
        <v>112.0451146</v>
      </c>
      <c r="U893" s="139">
        <f>($P893*(1-(Assumptions!$C$25+0.06*(1-$K893))-Assumptions!$C$27)-Assumptions!$C$28)-MAX(0,($P893*(1-(Assumptions!$C$25+0.06*(1-$K893))-Assumptions!$C$27)-Assumptions!$C$28)*Assumptions!$C$31)+Assumptions!$C$28-Assumptions!$C$29-$P893*Assumptions!$C$30</f>
        <v>119.0381757</v>
      </c>
      <c r="V893" s="143">
        <f>(($Q893/(1+$D893)^1+$R893/(1+$D893)^2+$S893/(1+$D893)^3+$T893/(1+$D893)^4+$U893/(1+$D893)^5+$U893*(1+$E893)/($D893-$E893)/(1+$D893)^5)-Assumptions!$C$37)/Assumptions!$C$40/Assumptions!$C$38</f>
        <v>5.347457134</v>
      </c>
    </row>
    <row r="894" ht="12.0" customHeight="1">
      <c r="B894" s="139">
        <v>842.0</v>
      </c>
      <c r="C894" s="140">
        <f t="shared" si="6"/>
        <v>0.3100495915</v>
      </c>
      <c r="D894" s="141">
        <f t="shared" si="7"/>
        <v>0.09525216131</v>
      </c>
      <c r="E894" s="141">
        <f t="shared" si="8"/>
        <v>0.02158118505</v>
      </c>
      <c r="F894" s="140">
        <f t="shared" si="9"/>
        <v>0.1410685356</v>
      </c>
      <c r="G894" s="141">
        <f t="shared" si="10"/>
        <v>0.04593497299</v>
      </c>
      <c r="H894" s="142">
        <f t="shared" si="11"/>
        <v>1</v>
      </c>
      <c r="I894" s="142">
        <f t="shared" si="12"/>
        <v>1</v>
      </c>
      <c r="J894" s="142">
        <f t="shared" si="13"/>
        <v>0</v>
      </c>
      <c r="K894" s="142">
        <f t="shared" si="14"/>
        <v>0</v>
      </c>
      <c r="L894" s="139">
        <f>Assumptions!$C$6*Assumptions!$C$7*(1+$G894-0.05*(1-1))^1+Assumptions!$C$6*Assumptions!$C$8*(1+Assumptions!$C$11)^1+Assumptions!$C$16*1+Assumptions!$C$6*Assumptions!$C$9*(1+Assumptions!$C$12)^1</f>
        <v>741.9297119</v>
      </c>
      <c r="M894" s="139">
        <f>Assumptions!$C$6*Assumptions!$C$7*(1+$G894-0.05*(1-$H894))^2+Assumptions!$C$6*Assumptions!$C$8*(1+Assumptions!$C$11)^2+Assumptions!$C$16*$H894+Assumptions!$C$6*Assumptions!$C$9*(1+Assumptions!$C$12)^2</f>
        <v>764.6990171</v>
      </c>
      <c r="N894" s="139">
        <f>Assumptions!$C$6*Assumptions!$C$7*(1+$G894-0.05*(1-$I894))^3+Assumptions!$C$6*Assumptions!$C$8*(1+Assumptions!$C$11)^3+Assumptions!$C$16*$I894+Assumptions!$C$6*Assumptions!$C$9*(1+Assumptions!$C$12)^3</f>
        <v>788.3431274</v>
      </c>
      <c r="O894" s="139">
        <f>Assumptions!$C$6*Assumptions!$C$7*(1+$G894-0.05*(1-$J894))^4+Assumptions!$C$6*Assumptions!$C$8*(1+Assumptions!$C$11)^4+Assumptions!$C$16*$J894+Assumptions!$C$6*Assumptions!$C$9*(1+Assumptions!$C$12)^4</f>
        <v>681.2186906</v>
      </c>
      <c r="P894" s="139">
        <f>Assumptions!$C$6*Assumptions!$C$7*(1+$G894-0.05*(1-$K894))^5+Assumptions!$C$6*Assumptions!$C$8*(1+Assumptions!$C$11)^5+Assumptions!$C$16*$K894+Assumptions!$C$6*Assumptions!$C$9*(1+Assumptions!$C$12)^5</f>
        <v>686.8736869</v>
      </c>
      <c r="Q894" s="139">
        <f>($L894*(1-(Assumptions!$C$25+0.06*(1-1))-Assumptions!$C$27)-Assumptions!$C$28)-MAX(0,($L894*(1-(Assumptions!$C$25+0.06*(1-1))-Assumptions!$C$27)-Assumptions!$C$28)*Assumptions!$C$31)+Assumptions!$C$28-Assumptions!$C$29-$L894*Assumptions!$C$30</f>
        <v>92.01488806</v>
      </c>
      <c r="R894" s="139">
        <f>($M894*(1-(Assumptions!$C$25+0.06*(1-$H894))-Assumptions!$C$27)-Assumptions!$C$28)-MAX(0,($M894*(1-(Assumptions!$C$25+0.06*(1-$H894))-Assumptions!$C$27)-Assumptions!$C$28)*Assumptions!$C$31)+Assumptions!$C$28-Assumptions!$C$29-$M894*Assumptions!$C$30</f>
        <v>96.91028868</v>
      </c>
      <c r="S894" s="139">
        <f>($N894*(1-(Assumptions!$C$25+0.06*(1-$I894))-Assumptions!$C$27)-Assumptions!$C$28)-MAX(0,($N894*(1-(Assumptions!$C$25+0.06*(1-$I894))-Assumptions!$C$27)-Assumptions!$C$28)*Assumptions!$C$31)+Assumptions!$C$28-Assumptions!$C$29-$N894*Assumptions!$C$30</f>
        <v>101.9937724</v>
      </c>
      <c r="T894" s="139">
        <f>($O894*(1-(Assumptions!$C$25+0.06*(1-$J894))-Assumptions!$C$27)-Assumptions!$C$28)-MAX(0,($O894*(1-(Assumptions!$C$25+0.06*(1-$J894))-Assumptions!$C$27)-Assumptions!$C$28)*Assumptions!$C$31)+Assumptions!$C$28-Assumptions!$C$29-$O894*Assumptions!$C$30</f>
        <v>36.68029884</v>
      </c>
      <c r="U894" s="139">
        <f>($P894*(1-(Assumptions!$C$25+0.06*(1-$K894))-Assumptions!$C$27)-Assumptions!$C$28)-MAX(0,($P894*(1-(Assumptions!$C$25+0.06*(1-$K894))-Assumptions!$C$27)-Assumptions!$C$28)*Assumptions!$C$31)+Assumptions!$C$28-Assumptions!$C$29-$P894*Assumptions!$C$30</f>
        <v>37.98094799</v>
      </c>
      <c r="V894" s="143">
        <f>(($Q894/(1+$D894)^1+$R894/(1+$D894)^2+$S894/(1+$D894)^3+$T894/(1+$D894)^4+$U894/(1+$D894)^5+$U894*(1+$E894)/($D894-$E894)/(1+$D894)^5)-Assumptions!$C$37)/Assumptions!$C$40/Assumptions!$C$38</f>
        <v>-0.5112200493</v>
      </c>
    </row>
    <row r="895" ht="12.0" customHeight="1">
      <c r="B895" s="139">
        <v>843.0</v>
      </c>
      <c r="C895" s="140">
        <f t="shared" si="6"/>
        <v>0.7527892753</v>
      </c>
      <c r="D895" s="141">
        <f t="shared" si="7"/>
        <v>0.1032235312</v>
      </c>
      <c r="E895" s="141">
        <f t="shared" si="8"/>
        <v>0.02552260132</v>
      </c>
      <c r="F895" s="140">
        <f t="shared" si="9"/>
        <v>0.0117719217</v>
      </c>
      <c r="G895" s="141">
        <f t="shared" si="10"/>
        <v>0.03460320096</v>
      </c>
      <c r="H895" s="142">
        <f t="shared" si="11"/>
        <v>1</v>
      </c>
      <c r="I895" s="142">
        <f t="shared" si="12"/>
        <v>1</v>
      </c>
      <c r="J895" s="142">
        <f t="shared" si="13"/>
        <v>1</v>
      </c>
      <c r="K895" s="142">
        <f t="shared" si="14"/>
        <v>0</v>
      </c>
      <c r="L895" s="139">
        <f>Assumptions!$C$6*Assumptions!$C$7*(1+$G895-0.05*(1-1))^1+Assumptions!$C$6*Assumptions!$C$8*(1+Assumptions!$C$11)^1+Assumptions!$C$16*1+Assumptions!$C$6*Assumptions!$C$9*(1+Assumptions!$C$12)^1</f>
        <v>738.1154374</v>
      </c>
      <c r="M895" s="139">
        <f>Assumptions!$C$6*Assumptions!$C$7*(1+$G895-0.05*(1-$H895))^2+Assumptions!$C$6*Assumptions!$C$8*(1+Assumptions!$C$11)^2+Assumptions!$C$16*$H895+Assumptions!$C$6*Assumptions!$C$9*(1+Assumptions!$C$12)^2</f>
        <v>756.7632735</v>
      </c>
      <c r="N895" s="139">
        <f>Assumptions!$C$6*Assumptions!$C$7*(1+$G895-0.05*(1-$I895))^3+Assumptions!$C$6*Assumptions!$C$8*(1+Assumptions!$C$11)^3+Assumptions!$C$16*$I895+Assumptions!$C$6*Assumptions!$C$9*(1+Assumptions!$C$12)^3</f>
        <v>775.9600418</v>
      </c>
      <c r="O895" s="139">
        <f>Assumptions!$C$6*Assumptions!$C$7*(1+$G895-0.05*(1-$J895))^4+Assumptions!$C$6*Assumptions!$C$8*(1+Assumptions!$C$11)^4+Assumptions!$C$16*$J895+Assumptions!$C$6*Assumptions!$C$9*(1+Assumptions!$C$12)^4</f>
        <v>795.7228103</v>
      </c>
      <c r="P895" s="139">
        <f>Assumptions!$C$6*Assumptions!$C$7*(1+$G895-0.05*(1-$K895))^5+Assumptions!$C$6*Assumptions!$C$8*(1+Assumptions!$C$11)^5+Assumptions!$C$16*$K895+Assumptions!$C$6*Assumptions!$C$9*(1+Assumptions!$C$12)^5</f>
        <v>668.5326761</v>
      </c>
      <c r="Q895" s="139">
        <f>($L895*(1-(Assumptions!$C$25+0.06*(1-1))-Assumptions!$C$27)-Assumptions!$C$28)-MAX(0,($L895*(1-(Assumptions!$C$25+0.06*(1-1))-Assumptions!$C$27)-Assumptions!$C$28)*Assumptions!$C$31)+Assumptions!$C$28-Assumptions!$C$29-$L895*Assumptions!$C$30</f>
        <v>91.19481905</v>
      </c>
      <c r="R895" s="139">
        <f>($M895*(1-(Assumptions!$C$25+0.06*(1-$H895))-Assumptions!$C$27)-Assumptions!$C$28)-MAX(0,($M895*(1-(Assumptions!$C$25+0.06*(1-$H895))-Assumptions!$C$27)-Assumptions!$C$28)*Assumptions!$C$31)+Assumptions!$C$28-Assumptions!$C$29-$M895*Assumptions!$C$30</f>
        <v>95.2041038</v>
      </c>
      <c r="S895" s="139">
        <f>($N895*(1-(Assumptions!$C$25+0.06*(1-$I895))-Assumptions!$C$27)-Assumptions!$C$28)-MAX(0,($N895*(1-(Assumptions!$C$25+0.06*(1-$I895))-Assumptions!$C$27)-Assumptions!$C$28)*Assumptions!$C$31)+Assumptions!$C$28-Assumptions!$C$29-$N895*Assumptions!$C$30</f>
        <v>99.33140899</v>
      </c>
      <c r="T895" s="139">
        <f>($O895*(1-(Assumptions!$C$25+0.06*(1-$J895))-Assumptions!$C$27)-Assumptions!$C$28)-MAX(0,($O895*(1-(Assumptions!$C$25+0.06*(1-$J895))-Assumptions!$C$27)-Assumptions!$C$28)*Assumptions!$C$31)+Assumptions!$C$28-Assumptions!$C$29-$O895*Assumptions!$C$30</f>
        <v>103.5804042</v>
      </c>
      <c r="U895" s="139">
        <f>($P895*(1-(Assumptions!$C$25+0.06*(1-$K895))-Assumptions!$C$27)-Assumptions!$C$28)-MAX(0,($P895*(1-(Assumptions!$C$25+0.06*(1-$K895))-Assumptions!$C$27)-Assumptions!$C$28)*Assumptions!$C$31)+Assumptions!$C$28-Assumptions!$C$29-$P895*Assumptions!$C$30</f>
        <v>33.76251551</v>
      </c>
      <c r="V895" s="143">
        <f>(($Q895/(1+$D895)^1+$R895/(1+$D895)^2+$S895/(1+$D895)^3+$T895/(1+$D895)^4+$U895/(1+$D895)^5+$U895*(1+$E895)/($D895-$E895)/(1+$D895)^5)-Assumptions!$C$37)/Assumptions!$C$40/Assumptions!$C$38</f>
        <v>-0.7303479954</v>
      </c>
    </row>
    <row r="896" ht="12.0" customHeight="1">
      <c r="B896" s="139">
        <v>844.0</v>
      </c>
      <c r="C896" s="140">
        <f t="shared" si="6"/>
        <v>0.5040527478</v>
      </c>
      <c r="D896" s="141">
        <f t="shared" si="7"/>
        <v>0.09831987984</v>
      </c>
      <c r="E896" s="141">
        <f t="shared" si="8"/>
        <v>0.02977076465</v>
      </c>
      <c r="F896" s="140">
        <f t="shared" si="9"/>
        <v>0.7988692519</v>
      </c>
      <c r="G896" s="141">
        <f t="shared" si="10"/>
        <v>0.07097277354</v>
      </c>
      <c r="H896" s="142">
        <f t="shared" si="11"/>
        <v>1</v>
      </c>
      <c r="I896" s="142">
        <f t="shared" si="12"/>
        <v>1</v>
      </c>
      <c r="J896" s="142">
        <f t="shared" si="13"/>
        <v>1</v>
      </c>
      <c r="K896" s="142">
        <f t="shared" si="14"/>
        <v>1</v>
      </c>
      <c r="L896" s="139">
        <f>Assumptions!$C$6*Assumptions!$C$7*(1+$G896-0.05*(1-1))^1+Assumptions!$C$6*Assumptions!$C$8*(1+Assumptions!$C$11)^1+Assumptions!$C$16*1+Assumptions!$C$6*Assumptions!$C$9*(1+Assumptions!$C$12)^1</f>
        <v>750.3574356</v>
      </c>
      <c r="M896" s="139">
        <f>Assumptions!$C$6*Assumptions!$C$7*(1+$G896-0.05*(1-$H896))^2+Assumptions!$C$6*Assumptions!$C$8*(1+Assumptions!$C$11)^2+Assumptions!$C$16*$H896+Assumptions!$C$6*Assumptions!$C$9*(1+Assumptions!$C$12)^2</f>
        <v>782.5397306</v>
      </c>
      <c r="N896" s="139">
        <f>Assumptions!$C$6*Assumptions!$C$7*(1+$G896-0.05*(1-$I896))^3+Assumptions!$C$6*Assumptions!$C$8*(1+Assumptions!$C$11)^3+Assumptions!$C$16*$I896+Assumptions!$C$6*Assumptions!$C$9*(1+Assumptions!$C$12)^3</f>
        <v>816.6698067</v>
      </c>
      <c r="O896" s="139">
        <f>Assumptions!$C$6*Assumptions!$C$7*(1+$G896-0.05*(1-$J896))^4+Assumptions!$C$6*Assumptions!$C$8*(1+Assumptions!$C$11)^4+Assumptions!$C$16*$J896+Assumptions!$C$6*Assumptions!$C$9*(1+Assumptions!$C$12)^4</f>
        <v>852.8791775</v>
      </c>
      <c r="P896" s="139">
        <f>Assumptions!$C$6*Assumptions!$C$7*(1+$G896-0.05*(1-$K896))^5+Assumptions!$C$6*Assumptions!$C$8*(1+Assumptions!$C$11)^5+Assumptions!$C$16*$K896+Assumptions!$C$6*Assumptions!$C$9*(1+Assumptions!$C$12)^5</f>
        <v>891.3085561</v>
      </c>
      <c r="Q896" s="139">
        <f>($L896*(1-(Assumptions!$C$25+0.06*(1-1))-Assumptions!$C$27)-Assumptions!$C$28)-MAX(0,($L896*(1-(Assumptions!$C$25+0.06*(1-1))-Assumptions!$C$27)-Assumptions!$C$28)*Assumptions!$C$31)+Assumptions!$C$28-Assumptions!$C$29-$L896*Assumptions!$C$30</f>
        <v>93.82684865</v>
      </c>
      <c r="R896" s="139">
        <f>($M896*(1-(Assumptions!$C$25+0.06*(1-$H896))-Assumptions!$C$27)-Assumptions!$C$28)-MAX(0,($M896*(1-(Assumptions!$C$25+0.06*(1-$H896))-Assumptions!$C$27)-Assumptions!$C$28)*Assumptions!$C$31)+Assumptions!$C$28-Assumptions!$C$29-$M896*Assumptions!$C$30</f>
        <v>100.7460421</v>
      </c>
      <c r="S896" s="139">
        <f>($N896*(1-(Assumptions!$C$25+0.06*(1-$I896))-Assumptions!$C$27)-Assumptions!$C$28)-MAX(0,($N896*(1-(Assumptions!$C$25+0.06*(1-$I896))-Assumptions!$C$27)-Assumptions!$C$28)*Assumptions!$C$31)+Assumptions!$C$28-Assumptions!$C$29-$N896*Assumptions!$C$30</f>
        <v>108.0840084</v>
      </c>
      <c r="T896" s="139">
        <f>($O896*(1-(Assumptions!$C$25+0.06*(1-$J896))-Assumptions!$C$27)-Assumptions!$C$28)-MAX(0,($O896*(1-(Assumptions!$C$25+0.06*(1-$J896))-Assumptions!$C$27)-Assumptions!$C$28)*Assumptions!$C$31)+Assumptions!$C$28-Assumptions!$C$29-$O896*Assumptions!$C$30</f>
        <v>115.8690232</v>
      </c>
      <c r="U896" s="139">
        <f>($P896*(1-(Assumptions!$C$25+0.06*(1-$K896))-Assumptions!$C$27)-Assumptions!$C$28)-MAX(0,($P896*(1-(Assumptions!$C$25+0.06*(1-$K896))-Assumptions!$C$27)-Assumptions!$C$28)*Assumptions!$C$31)+Assumptions!$C$28-Assumptions!$C$29-$P896*Assumptions!$C$30</f>
        <v>124.1313396</v>
      </c>
      <c r="V896" s="143">
        <f>(($Q896/(1+$D896)^1+$R896/(1+$D896)^2+$S896/(1+$D896)^3+$T896/(1+$D896)^4+$U896/(1+$D896)^5+$U896*(1+$E896)/($D896-$E896)/(1+$D896)^5)-Assumptions!$C$37)/Assumptions!$C$40/Assumptions!$C$38</f>
        <v>6.88980493</v>
      </c>
    </row>
    <row r="897" ht="12.0" customHeight="1">
      <c r="B897" s="139">
        <v>845.0</v>
      </c>
      <c r="C897" s="140">
        <f t="shared" si="6"/>
        <v>0.2180681057</v>
      </c>
      <c r="D897" s="141">
        <f t="shared" si="7"/>
        <v>0.09359796998</v>
      </c>
      <c r="E897" s="141">
        <f t="shared" si="8"/>
        <v>0.01376698</v>
      </c>
      <c r="F897" s="140">
        <f t="shared" si="9"/>
        <v>0.07367750271</v>
      </c>
      <c r="G897" s="141">
        <f t="shared" si="10"/>
        <v>0.04151605422</v>
      </c>
      <c r="H897" s="142">
        <f t="shared" si="11"/>
        <v>1</v>
      </c>
      <c r="I897" s="142">
        <f t="shared" si="12"/>
        <v>1</v>
      </c>
      <c r="J897" s="142">
        <f t="shared" si="13"/>
        <v>0</v>
      </c>
      <c r="K897" s="142">
        <f t="shared" si="14"/>
        <v>1</v>
      </c>
      <c r="L897" s="139">
        <f>Assumptions!$C$6*Assumptions!$C$7*(1+$G897-0.05*(1-1))^1+Assumptions!$C$6*Assumptions!$C$8*(1+Assumptions!$C$11)^1+Assumptions!$C$16*1+Assumptions!$C$6*Assumptions!$C$9*(1+Assumptions!$C$12)^1</f>
        <v>740.4423039</v>
      </c>
      <c r="M897" s="139">
        <f>Assumptions!$C$6*Assumptions!$C$7*(1+$G897-0.05*(1-$H897))^2+Assumptions!$C$6*Assumptions!$C$8*(1+Assumptions!$C$11)^2+Assumptions!$C$16*$H897+Assumptions!$C$6*Assumptions!$C$9*(1+Assumptions!$C$12)^2</f>
        <v>761.5941257</v>
      </c>
      <c r="N897" s="139">
        <f>Assumptions!$C$6*Assumptions!$C$7*(1+$G897-0.05*(1-$I897))^3+Assumptions!$C$6*Assumptions!$C$8*(1+Assumptions!$C$11)^3+Assumptions!$C$16*$I897+Assumptions!$C$6*Assumptions!$C$9*(1+Assumptions!$C$12)^3</f>
        <v>783.4821385</v>
      </c>
      <c r="O897" s="139">
        <f>Assumptions!$C$6*Assumptions!$C$7*(1+$G897-0.05*(1-$J897))^4+Assumptions!$C$6*Assumptions!$C$8*(1+Assumptions!$C$11)^4+Assumptions!$C$16*$J897+Assumptions!$C$6*Assumptions!$C$9*(1+Assumptions!$C$12)^4</f>
        <v>675.3803209</v>
      </c>
      <c r="P897" s="139">
        <f>Assumptions!$C$6*Assumptions!$C$7*(1+$G897-0.05*(1-$K897))^5+Assumptions!$C$6*Assumptions!$C$8*(1+Assumptions!$C$11)^5+Assumptions!$C$16*$K897+Assumptions!$C$6*Assumptions!$C$9*(1+Assumptions!$C$12)^5</f>
        <v>829.5787305</v>
      </c>
      <c r="Q897" s="139">
        <f>($L897*(1-(Assumptions!$C$25+0.06*(1-1))-Assumptions!$C$27)-Assumptions!$C$28)-MAX(0,($L897*(1-(Assumptions!$C$25+0.06*(1-1))-Assumptions!$C$27)-Assumptions!$C$28)*Assumptions!$C$31)+Assumptions!$C$28-Assumptions!$C$29-$L897*Assumptions!$C$30</f>
        <v>91.69509533</v>
      </c>
      <c r="R897" s="139">
        <f>($M897*(1-(Assumptions!$C$25+0.06*(1-$H897))-Assumptions!$C$27)-Assumptions!$C$28)-MAX(0,($M897*(1-(Assumptions!$C$25+0.06*(1-$H897))-Assumptions!$C$27)-Assumptions!$C$28)*Assumptions!$C$31)+Assumptions!$C$28-Assumptions!$C$29-$M897*Assumptions!$C$30</f>
        <v>96.24273702</v>
      </c>
      <c r="S897" s="139">
        <f>($N897*(1-(Assumptions!$C$25+0.06*(1-$I897))-Assumptions!$C$27)-Assumptions!$C$28)-MAX(0,($N897*(1-(Assumptions!$C$25+0.06*(1-$I897))-Assumptions!$C$27)-Assumptions!$C$28)*Assumptions!$C$31)+Assumptions!$C$28-Assumptions!$C$29-$N897*Assumptions!$C$30</f>
        <v>100.9486598</v>
      </c>
      <c r="T897" s="139">
        <f>($O897*(1-(Assumptions!$C$25+0.06*(1-$J897))-Assumptions!$C$27)-Assumptions!$C$28)-MAX(0,($O897*(1-(Assumptions!$C$25+0.06*(1-$J897))-Assumptions!$C$27)-Assumptions!$C$28)*Assumptions!$C$31)+Assumptions!$C$28-Assumptions!$C$29-$O897*Assumptions!$C$30</f>
        <v>35.33747382</v>
      </c>
      <c r="U897" s="139">
        <f>($P897*(1-(Assumptions!$C$25+0.06*(1-$K897))-Assumptions!$C$27)-Assumptions!$C$28)-MAX(0,($P897*(1-(Assumptions!$C$25+0.06*(1-$K897))-Assumptions!$C$27)-Assumptions!$C$28)*Assumptions!$C$31)+Assumptions!$C$28-Assumptions!$C$29-$P897*Assumptions!$C$30</f>
        <v>110.8594271</v>
      </c>
      <c r="V897" s="143">
        <f>(($Q897/(1+$D897)^1+$R897/(1+$D897)^2+$S897/(1+$D897)^3+$T897/(1+$D897)^4+$U897/(1+$D897)^5+$U897*(1+$E897)/($D897-$E897)/(1+$D897)^5)-Assumptions!$C$37)/Assumptions!$C$40/Assumptions!$C$38</f>
        <v>4.256293568</v>
      </c>
    </row>
    <row r="898" ht="12.0" customHeight="1">
      <c r="B898" s="139">
        <v>846.0</v>
      </c>
      <c r="C898" s="140">
        <f t="shared" si="6"/>
        <v>0.3711939847</v>
      </c>
      <c r="D898" s="141">
        <f t="shared" si="7"/>
        <v>0.09621760941</v>
      </c>
      <c r="E898" s="141">
        <f t="shared" si="8"/>
        <v>0.01858680291</v>
      </c>
      <c r="F898" s="140">
        <f t="shared" si="9"/>
        <v>0.2455191986</v>
      </c>
      <c r="G898" s="141">
        <f t="shared" si="10"/>
        <v>0.05102223959</v>
      </c>
      <c r="H898" s="142">
        <f t="shared" si="11"/>
        <v>1</v>
      </c>
      <c r="I898" s="142">
        <f t="shared" si="12"/>
        <v>1</v>
      </c>
      <c r="J898" s="142">
        <f t="shared" si="13"/>
        <v>1</v>
      </c>
      <c r="K898" s="142">
        <f t="shared" si="14"/>
        <v>1</v>
      </c>
      <c r="L898" s="139">
        <f>Assumptions!$C$6*Assumptions!$C$7*(1+$G898-0.05*(1-1))^1+Assumptions!$C$6*Assumptions!$C$8*(1+Assumptions!$C$11)^1+Assumptions!$C$16*1+Assumptions!$C$6*Assumptions!$C$9*(1+Assumptions!$C$12)^1</f>
        <v>743.6420858</v>
      </c>
      <c r="M898" s="139">
        <f>Assumptions!$C$6*Assumptions!$C$7*(1+$G898-0.05*(1-$H898))^2+Assumptions!$C$6*Assumptions!$C$8*(1+Assumptions!$C$11)^2+Assumptions!$C$16*$H898+Assumptions!$C$6*Assumptions!$C$9*(1+Assumptions!$C$12)^2</f>
        <v>768.289792</v>
      </c>
      <c r="N898" s="139">
        <f>Assumptions!$C$6*Assumptions!$C$7*(1+$G898-0.05*(1-$I898))^3+Assumptions!$C$6*Assumptions!$C$8*(1+Assumptions!$C$11)^3+Assumptions!$C$16*$I898+Assumptions!$C$6*Assumptions!$C$9*(1+Assumptions!$C$12)^3</f>
        <v>793.9904145</v>
      </c>
      <c r="O898" s="139">
        <f>Assumptions!$C$6*Assumptions!$C$7*(1+$G898-0.05*(1-$J898))^4+Assumptions!$C$6*Assumptions!$C$8*(1+Assumptions!$C$11)^4+Assumptions!$C$16*$J898+Assumptions!$C$6*Assumptions!$C$9*(1+Assumptions!$C$12)^4</f>
        <v>820.7935821</v>
      </c>
      <c r="P898" s="139">
        <f>Assumptions!$C$6*Assumptions!$C$7*(1+$G898-0.05*(1-$K898))^5+Assumptions!$C$6*Assumptions!$C$8*(1+Assumptions!$C$11)^5+Assumptions!$C$16*$K898+Assumptions!$C$6*Assumptions!$C$9*(1+Assumptions!$C$12)^5</f>
        <v>848.751374</v>
      </c>
      <c r="Q898" s="139">
        <f>($L898*(1-(Assumptions!$C$25+0.06*(1-1))-Assumptions!$C$27)-Assumptions!$C$28)-MAX(0,($L898*(1-(Assumptions!$C$25+0.06*(1-1))-Assumptions!$C$27)-Assumptions!$C$28)*Assumptions!$C$31)+Assumptions!$C$28-Assumptions!$C$29-$L898*Assumptions!$C$30</f>
        <v>92.38304846</v>
      </c>
      <c r="R898" s="139">
        <f>($M898*(1-(Assumptions!$C$25+0.06*(1-$H898))-Assumptions!$C$27)-Assumptions!$C$28)-MAX(0,($M898*(1-(Assumptions!$C$25+0.06*(1-$H898))-Assumptions!$C$27)-Assumptions!$C$28)*Assumptions!$C$31)+Assumptions!$C$28-Assumptions!$C$29-$M898*Assumptions!$C$30</f>
        <v>97.68230528</v>
      </c>
      <c r="S898" s="139">
        <f>($N898*(1-(Assumptions!$C$25+0.06*(1-$I898))-Assumptions!$C$27)-Assumptions!$C$28)-MAX(0,($N898*(1-(Assumptions!$C$25+0.06*(1-$I898))-Assumptions!$C$27)-Assumptions!$C$28)*Assumptions!$C$31)+Assumptions!$C$28-Assumptions!$C$29-$N898*Assumptions!$C$30</f>
        <v>103.2079391</v>
      </c>
      <c r="T898" s="139">
        <f>($O898*(1-(Assumptions!$C$25+0.06*(1-$J898))-Assumptions!$C$27)-Assumptions!$C$28)-MAX(0,($O898*(1-(Assumptions!$C$25+0.06*(1-$J898))-Assumptions!$C$27)-Assumptions!$C$28)*Assumptions!$C$31)+Assumptions!$C$28-Assumptions!$C$29-$O898*Assumptions!$C$30</f>
        <v>108.9706201</v>
      </c>
      <c r="U898" s="139">
        <f>($P898*(1-(Assumptions!$C$25+0.06*(1-$K898))-Assumptions!$C$27)-Assumptions!$C$28)-MAX(0,($P898*(1-(Assumptions!$C$25+0.06*(1-$K898))-Assumptions!$C$27)-Assumptions!$C$28)*Assumptions!$C$31)+Assumptions!$C$28-Assumptions!$C$29-$P898*Assumptions!$C$30</f>
        <v>114.9815454</v>
      </c>
      <c r="V898" s="143">
        <f>(($Q898/(1+$D898)^1+$R898/(1+$D898)^2+$S898/(1+$D898)^3+$T898/(1+$D898)^4+$U898/(1+$D898)^5+$U898*(1+$E898)/($D898-$E898)/(1+$D898)^5)-Assumptions!$C$37)/Assumptions!$C$40/Assumptions!$C$38</f>
        <v>5.098626278</v>
      </c>
    </row>
    <row r="899" ht="12.0" customHeight="1">
      <c r="B899" s="139">
        <v>847.0</v>
      </c>
      <c r="C899" s="140">
        <f t="shared" si="6"/>
        <v>0.7877887007</v>
      </c>
      <c r="D899" s="141">
        <f t="shared" si="7"/>
        <v>0.1040889717</v>
      </c>
      <c r="E899" s="141">
        <f t="shared" si="8"/>
        <v>0.02304526289</v>
      </c>
      <c r="F899" s="140">
        <f t="shared" si="9"/>
        <v>0.9789466847</v>
      </c>
      <c r="G899" s="141">
        <f t="shared" si="10"/>
        <v>0.08384402992</v>
      </c>
      <c r="H899" s="142">
        <f t="shared" si="11"/>
        <v>1</v>
      </c>
      <c r="I899" s="142">
        <f t="shared" si="12"/>
        <v>0</v>
      </c>
      <c r="J899" s="142">
        <f t="shared" si="13"/>
        <v>1</v>
      </c>
      <c r="K899" s="142">
        <f t="shared" si="14"/>
        <v>1</v>
      </c>
      <c r="L899" s="139">
        <f>Assumptions!$C$6*Assumptions!$C$7*(1+$G899-0.05*(1-1))^1+Assumptions!$C$6*Assumptions!$C$8*(1+Assumptions!$C$11)^1+Assumptions!$C$16*1+Assumptions!$C$6*Assumptions!$C$9*(1+Assumptions!$C$12)^1</f>
        <v>754.6899005</v>
      </c>
      <c r="M899" s="139">
        <f>Assumptions!$C$6*Assumptions!$C$7*(1+$G899-0.05*(1-$H899))^2+Assumptions!$C$6*Assumptions!$C$8*(1+Assumptions!$C$11)^2+Assumptions!$C$16*$H899+Assumptions!$C$6*Assumptions!$C$9*(1+Assumptions!$C$12)^2</f>
        <v>791.8753988</v>
      </c>
      <c r="N899" s="139">
        <f>Assumptions!$C$6*Assumptions!$C$7*(1+$G899-0.05*(1-$I899))^3+Assumptions!$C$6*Assumptions!$C$8*(1+Assumptions!$C$11)^3+Assumptions!$C$16*$I899+Assumptions!$C$6*Assumptions!$C$9*(1+Assumptions!$C$12)^3</f>
        <v>715.1400606</v>
      </c>
      <c r="O899" s="139">
        <f>Assumptions!$C$6*Assumptions!$C$7*(1+$G899-0.05*(1-$J899))^4+Assumptions!$C$6*Assumptions!$C$8*(1+Assumptions!$C$11)^4+Assumptions!$C$16*$J899+Assumptions!$C$6*Assumptions!$C$9*(1+Assumptions!$C$12)^4</f>
        <v>874.5538035</v>
      </c>
      <c r="P899" s="139">
        <f>Assumptions!$C$6*Assumptions!$C$7*(1+$G899-0.05*(1-$K899))^5+Assumptions!$C$6*Assumptions!$C$8*(1+Assumptions!$C$11)^5+Assumptions!$C$16*$K899+Assumptions!$C$6*Assumptions!$C$9*(1+Assumptions!$C$12)^5</f>
        <v>920.5001278</v>
      </c>
      <c r="Q899" s="139">
        <f>($L899*(1-(Assumptions!$C$25+0.06*(1-1))-Assumptions!$C$27)-Assumptions!$C$28)-MAX(0,($L899*(1-(Assumptions!$C$25+0.06*(1-1))-Assumptions!$C$27)-Assumptions!$C$28)*Assumptions!$C$31)+Assumptions!$C$28-Assumptions!$C$29-$L899*Assumptions!$C$30</f>
        <v>94.7583286</v>
      </c>
      <c r="R899" s="139">
        <f>($M899*(1-(Assumptions!$C$25+0.06*(1-$H899))-Assumptions!$C$27)-Assumptions!$C$28)-MAX(0,($M899*(1-(Assumptions!$C$25+0.06*(1-$H899))-Assumptions!$C$27)-Assumptions!$C$28)*Assumptions!$C$31)+Assumptions!$C$28-Assumptions!$C$29-$M899*Assumptions!$C$30</f>
        <v>102.7532107</v>
      </c>
      <c r="S899" s="139">
        <f>($N899*(1-(Assumptions!$C$25+0.06*(1-$I899))-Assumptions!$C$27)-Assumptions!$C$28)-MAX(0,($N899*(1-(Assumptions!$C$25+0.06*(1-$I899))-Assumptions!$C$27)-Assumptions!$C$28)*Assumptions!$C$31)+Assumptions!$C$28-Assumptions!$C$29-$N899*Assumptions!$C$30</f>
        <v>44.48221393</v>
      </c>
      <c r="T899" s="139">
        <f>($O899*(1-(Assumptions!$C$25+0.06*(1-$J899))-Assumptions!$C$27)-Assumptions!$C$28)-MAX(0,($O899*(1-(Assumptions!$C$25+0.06*(1-$J899))-Assumptions!$C$27)-Assumptions!$C$28)*Assumptions!$C$31)+Assumptions!$C$28-Assumptions!$C$29-$O899*Assumptions!$C$30</f>
        <v>120.5290678</v>
      </c>
      <c r="U899" s="139">
        <f>($P899*(1-(Assumptions!$C$25+0.06*(1-$K899))-Assumptions!$C$27)-Assumptions!$C$28)-MAX(0,($P899*(1-(Assumptions!$C$25+0.06*(1-$K899))-Assumptions!$C$27)-Assumptions!$C$28)*Assumptions!$C$31)+Assumptions!$C$28-Assumptions!$C$29-$P899*Assumptions!$C$30</f>
        <v>130.4075275</v>
      </c>
      <c r="V899" s="143">
        <f>(($Q899/(1+$D899)^1+$R899/(1+$D899)^2+$S899/(1+$D899)^3+$T899/(1+$D899)^4+$U899/(1+$D899)^5+$U899*(1+$E899)/($D899-$E899)/(1+$D899)^5)-Assumptions!$C$37)/Assumptions!$C$40/Assumptions!$C$38</f>
        <v>5.270988071</v>
      </c>
    </row>
    <row r="900" ht="12.0" customHeight="1">
      <c r="B900" s="139">
        <v>848.0</v>
      </c>
      <c r="C900" s="140">
        <f t="shared" si="6"/>
        <v>0.9719481086</v>
      </c>
      <c r="D900" s="141">
        <f t="shared" si="7"/>
        <v>0.1110329972</v>
      </c>
      <c r="E900" s="141">
        <f t="shared" si="8"/>
        <v>0.02405159094</v>
      </c>
      <c r="F900" s="140">
        <f t="shared" si="9"/>
        <v>0.9483178083</v>
      </c>
      <c r="G900" s="141">
        <f t="shared" si="10"/>
        <v>0.08035490047</v>
      </c>
      <c r="H900" s="142">
        <f t="shared" si="11"/>
        <v>0</v>
      </c>
      <c r="I900" s="142">
        <f t="shared" si="12"/>
        <v>1</v>
      </c>
      <c r="J900" s="142">
        <f t="shared" si="13"/>
        <v>1</v>
      </c>
      <c r="K900" s="142">
        <f t="shared" si="14"/>
        <v>0</v>
      </c>
      <c r="L900" s="139">
        <f>Assumptions!$C$6*Assumptions!$C$7*(1+$G900-0.05*(1-1))^1+Assumptions!$C$6*Assumptions!$C$8*(1+Assumptions!$C$11)^1+Assumptions!$C$16*1+Assumptions!$C$6*Assumptions!$C$9*(1+Assumptions!$C$12)^1</f>
        <v>753.5154595</v>
      </c>
      <c r="M900" s="139">
        <f>Assumptions!$C$6*Assumptions!$C$7*(1+$G900-0.05*(1-$H900))^2+Assumptions!$C$6*Assumptions!$C$8*(1+Assumptions!$C$11)^2+Assumptions!$C$16*$H900+Assumptions!$C$6*Assumptions!$C$9*(1+Assumptions!$C$12)^2</f>
        <v>693.810429</v>
      </c>
      <c r="N900" s="139">
        <f>Assumptions!$C$6*Assumptions!$C$7*(1+$G900-0.05*(1-$I900))^3+Assumptions!$C$6*Assumptions!$C$8*(1+Assumptions!$C$11)^3+Assumptions!$C$16*$I900+Assumptions!$C$6*Assumptions!$C$9*(1+Assumptions!$C$12)^3</f>
        <v>827.6318765</v>
      </c>
      <c r="O900" s="139">
        <f>Assumptions!$C$6*Assumptions!$C$7*(1+$G900-0.05*(1-$J900))^4+Assumptions!$C$6*Assumptions!$C$8*(1+Assumptions!$C$11)^4+Assumptions!$C$16*$J900+Assumptions!$C$6*Assumptions!$C$9*(1+Assumptions!$C$12)^4</f>
        <v>868.6013795</v>
      </c>
      <c r="P900" s="139">
        <f>Assumptions!$C$6*Assumptions!$C$7*(1+$G900-0.05*(1-$K900))^5+Assumptions!$C$6*Assumptions!$C$8*(1+Assumptions!$C$11)^5+Assumptions!$C$16*$K900+Assumptions!$C$6*Assumptions!$C$9*(1+Assumptions!$C$12)^5</f>
        <v>747.9441122</v>
      </c>
      <c r="Q900" s="139">
        <f>($L900*(1-(Assumptions!$C$25+0.06*(1-1))-Assumptions!$C$27)-Assumptions!$C$28)-MAX(0,($L900*(1-(Assumptions!$C$25+0.06*(1-1))-Assumptions!$C$27)-Assumptions!$C$28)*Assumptions!$C$31)+Assumptions!$C$28-Assumptions!$C$29-$L900*Assumptions!$C$30</f>
        <v>94.50582379</v>
      </c>
      <c r="R900" s="139">
        <f>($M900*(1-(Assumptions!$C$25+0.06*(1-$H900))-Assumptions!$C$27)-Assumptions!$C$28)-MAX(0,($M900*(1-(Assumptions!$C$25+0.06*(1-$H900))-Assumptions!$C$27)-Assumptions!$C$28)*Assumptions!$C$31)+Assumptions!$C$28-Assumptions!$C$29-$M900*Assumptions!$C$30</f>
        <v>39.57639866</v>
      </c>
      <c r="S900" s="139">
        <f>($N900*(1-(Assumptions!$C$25+0.06*(1-$I900))-Assumptions!$C$27)-Assumptions!$C$28)-MAX(0,($N900*(1-(Assumptions!$C$25+0.06*(1-$I900))-Assumptions!$C$27)-Assumptions!$C$28)*Assumptions!$C$31)+Assumptions!$C$28-Assumptions!$C$29-$N900*Assumptions!$C$30</f>
        <v>110.4408534</v>
      </c>
      <c r="T900" s="139">
        <f>($O900*(1-(Assumptions!$C$25+0.06*(1-$J900))-Assumptions!$C$27)-Assumptions!$C$28)-MAX(0,($O900*(1-(Assumptions!$C$25+0.06*(1-$J900))-Assumptions!$C$27)-Assumptions!$C$28)*Assumptions!$C$31)+Assumptions!$C$28-Assumptions!$C$29-$O900*Assumptions!$C$30</f>
        <v>119.2492966</v>
      </c>
      <c r="U900" s="139">
        <f>($P900*(1-(Assumptions!$C$25+0.06*(1-$K900))-Assumptions!$C$27)-Assumptions!$C$28)-MAX(0,($P900*(1-(Assumptions!$C$25+0.06*(1-$K900))-Assumptions!$C$27)-Assumptions!$C$28)*Assumptions!$C$31)+Assumptions!$C$28-Assumptions!$C$29-$P900*Assumptions!$C$30</f>
        <v>52.0271458</v>
      </c>
      <c r="V900" s="143">
        <f>(($Q900/(1+$D900)^1+$R900/(1+$D900)^2+$S900/(1+$D900)^3+$T900/(1+$D900)^4+$U900/(1+$D900)^5+$U900*(1+$E900)/($D900-$E900)/(1+$D900)^5)-Assumptions!$C$37)/Assumptions!$C$40/Assumptions!$C$38</f>
        <v>-0.1813396486</v>
      </c>
    </row>
    <row r="901" ht="12.0" customHeight="1">
      <c r="B901" s="139">
        <v>849.0</v>
      </c>
      <c r="C901" s="140">
        <f t="shared" si="6"/>
        <v>0.5419607569</v>
      </c>
      <c r="D901" s="141">
        <f t="shared" si="7"/>
        <v>0.09897002759</v>
      </c>
      <c r="E901" s="141">
        <f t="shared" si="8"/>
        <v>0.01049487074</v>
      </c>
      <c r="F901" s="140">
        <f t="shared" si="9"/>
        <v>0.03310121331</v>
      </c>
      <c r="G901" s="141">
        <f t="shared" si="10"/>
        <v>0.03771894967</v>
      </c>
      <c r="H901" s="142">
        <f t="shared" si="11"/>
        <v>1</v>
      </c>
      <c r="I901" s="142">
        <f t="shared" si="12"/>
        <v>0</v>
      </c>
      <c r="J901" s="142">
        <f t="shared" si="13"/>
        <v>0</v>
      </c>
      <c r="K901" s="142">
        <f t="shared" si="14"/>
        <v>0</v>
      </c>
      <c r="L901" s="139">
        <f>Assumptions!$C$6*Assumptions!$C$7*(1+$G901-0.05*(1-1))^1+Assumptions!$C$6*Assumptions!$C$8*(1+Assumptions!$C$11)^1+Assumptions!$C$16*1+Assumptions!$C$6*Assumptions!$C$9*(1+Assumptions!$C$12)^1</f>
        <v>739.1641985</v>
      </c>
      <c r="M901" s="139">
        <f>Assumptions!$C$6*Assumptions!$C$7*(1+$G901-0.05*(1-$H901))^2+Assumptions!$C$6*Assumptions!$C$8*(1+Assumptions!$C$11)^2+Assumptions!$C$16*$H901+Assumptions!$C$6*Assumptions!$C$9*(1+Assumptions!$C$12)^2</f>
        <v>758.9366442</v>
      </c>
      <c r="N901" s="139">
        <f>Assumptions!$C$6*Assumptions!$C$7*(1+$G901-0.05*(1-$I901))^3+Assumptions!$C$6*Assumptions!$C$8*(1+Assumptions!$C$11)^3+Assumptions!$C$16*$I901+Assumptions!$C$6*Assumptions!$C$9*(1+Assumptions!$C$12)^3</f>
        <v>667.5449414</v>
      </c>
      <c r="O901" s="139">
        <f>Assumptions!$C$6*Assumptions!$C$7*(1+$G901-0.05*(1-$J901))^4+Assumptions!$C$6*Assumptions!$C$8*(1+Assumptions!$C$11)^4+Assumptions!$C$16*$J901+Assumptions!$C$6*Assumptions!$C$9*(1+Assumptions!$C$12)^4</f>
        <v>670.4254727</v>
      </c>
      <c r="P901" s="139">
        <f>Assumptions!$C$6*Assumptions!$C$7*(1+$G901-0.05*(1-$K901))^5+Assumptions!$C$6*Assumptions!$C$8*(1+Assumptions!$C$11)^5+Assumptions!$C$16*$K901+Assumptions!$C$6*Assumptions!$C$9*(1+Assumptions!$C$12)^5</f>
        <v>673.4922017</v>
      </c>
      <c r="Q901" s="139">
        <f>($L901*(1-(Assumptions!$C$25+0.06*(1-1))-Assumptions!$C$27)-Assumptions!$C$28)-MAX(0,($L901*(1-(Assumptions!$C$25+0.06*(1-1))-Assumptions!$C$27)-Assumptions!$C$28)*Assumptions!$C$31)+Assumptions!$C$28-Assumptions!$C$29-$L901*Assumptions!$C$30</f>
        <v>91.42030267</v>
      </c>
      <c r="R901" s="139">
        <f>($M901*(1-(Assumptions!$C$25+0.06*(1-$H901))-Assumptions!$C$27)-Assumptions!$C$28)-MAX(0,($M901*(1-(Assumptions!$C$25+0.06*(1-$H901))-Assumptions!$C$27)-Assumptions!$C$28)*Assumptions!$C$31)+Assumptions!$C$28-Assumptions!$C$29-$M901*Assumptions!$C$30</f>
        <v>95.6713785</v>
      </c>
      <c r="S901" s="139">
        <f>($N901*(1-(Assumptions!$C$25+0.06*(1-$I901))-Assumptions!$C$27)-Assumptions!$C$28)-MAX(0,($N901*(1-(Assumptions!$C$25+0.06*(1-$I901))-Assumptions!$C$27)-Assumptions!$C$28)*Assumptions!$C$31)+Assumptions!$C$28-Assumptions!$C$29-$N901*Assumptions!$C$30</f>
        <v>33.53533652</v>
      </c>
      <c r="T901" s="139">
        <f>($O901*(1-(Assumptions!$C$25+0.06*(1-$J901))-Assumptions!$C$27)-Assumptions!$C$28)-MAX(0,($O901*(1-(Assumptions!$C$25+0.06*(1-$J901))-Assumptions!$C$27)-Assumptions!$C$28)*Assumptions!$C$31)+Assumptions!$C$28-Assumptions!$C$29-$O901*Assumptions!$C$30</f>
        <v>34.19785871</v>
      </c>
      <c r="U901" s="139">
        <f>($P901*(1-(Assumptions!$C$25+0.06*(1-$K901))-Assumptions!$C$27)-Assumptions!$C$28)-MAX(0,($P901*(1-(Assumptions!$C$25+0.06*(1-$K901))-Assumptions!$C$27)-Assumptions!$C$28)*Assumptions!$C$31)+Assumptions!$C$28-Assumptions!$C$29-$P901*Assumptions!$C$30</f>
        <v>34.90320639</v>
      </c>
      <c r="V901" s="143">
        <f>(($Q901/(1+$D901)^1+$R901/(1+$D901)^2+$S901/(1+$D901)^3+$T901/(1+$D901)^4+$U901/(1+$D901)^5+$U901*(1+$E901)/($D901-$E901)/(1+$D901)^5)-Assumptions!$C$37)/Assumptions!$C$40/Assumptions!$C$38</f>
        <v>-1.639823248</v>
      </c>
    </row>
    <row r="902" ht="12.0" customHeight="1">
      <c r="B902" s="139">
        <v>850.0</v>
      </c>
      <c r="C902" s="140">
        <f t="shared" si="6"/>
        <v>0.7083384508</v>
      </c>
      <c r="D902" s="141">
        <f t="shared" si="7"/>
        <v>0.1022085134</v>
      </c>
      <c r="E902" s="141">
        <f t="shared" si="8"/>
        <v>0.01746879515</v>
      </c>
      <c r="F902" s="140">
        <f t="shared" si="9"/>
        <v>0.7978520604</v>
      </c>
      <c r="G902" s="141">
        <f t="shared" si="10"/>
        <v>0.07092472041</v>
      </c>
      <c r="H902" s="142">
        <f t="shared" si="11"/>
        <v>1</v>
      </c>
      <c r="I902" s="142">
        <f t="shared" si="12"/>
        <v>1</v>
      </c>
      <c r="J902" s="142">
        <f t="shared" si="13"/>
        <v>0</v>
      </c>
      <c r="K902" s="142">
        <f t="shared" si="14"/>
        <v>0</v>
      </c>
      <c r="L902" s="139">
        <f>Assumptions!$C$6*Assumptions!$C$7*(1+$G902-0.05*(1-1))^1+Assumptions!$C$6*Assumptions!$C$8*(1+Assumptions!$C$11)^1+Assumptions!$C$16*1+Assumptions!$C$6*Assumptions!$C$9*(1+Assumptions!$C$12)^1</f>
        <v>750.3412609</v>
      </c>
      <c r="M902" s="139">
        <f>Assumptions!$C$6*Assumptions!$C$7*(1+$G902-0.05*(1-$H902))^2+Assumptions!$C$6*Assumptions!$C$8*(1+Assumptions!$C$11)^2+Assumptions!$C$16*$H902+Assumptions!$C$6*Assumptions!$C$9*(1+Assumptions!$C$12)^2</f>
        <v>782.5050861</v>
      </c>
      <c r="N902" s="139">
        <f>Assumptions!$C$6*Assumptions!$C$7*(1+$G902-0.05*(1-$I902))^3+Assumptions!$C$6*Assumptions!$C$8*(1+Assumptions!$C$11)^3+Assumptions!$C$16*$I902+Assumptions!$C$6*Assumptions!$C$9*(1+Assumptions!$C$12)^3</f>
        <v>816.614153</v>
      </c>
      <c r="O902" s="139">
        <f>Assumptions!$C$6*Assumptions!$C$7*(1+$G902-0.05*(1-$J902))^4+Assumptions!$C$6*Assumptions!$C$8*(1+Assumptions!$C$11)^4+Assumptions!$C$16*$J902+Assumptions!$C$6*Assumptions!$C$9*(1+Assumptions!$C$12)^4</f>
        <v>715.7282736</v>
      </c>
      <c r="P902" s="139">
        <f>Assumptions!$C$6*Assumptions!$C$7*(1+$G902-0.05*(1-$K902))^5+Assumptions!$C$6*Assumptions!$C$8*(1+Assumptions!$C$11)^5+Assumptions!$C$16*$K902+Assumptions!$C$6*Assumptions!$C$9*(1+Assumptions!$C$12)^5</f>
        <v>730.3809813</v>
      </c>
      <c r="Q902" s="139">
        <f>($L902*(1-(Assumptions!$C$25+0.06*(1-1))-Assumptions!$C$27)-Assumptions!$C$28)-MAX(0,($L902*(1-(Assumptions!$C$25+0.06*(1-1))-Assumptions!$C$27)-Assumptions!$C$28)*Assumptions!$C$31)+Assumptions!$C$28-Assumptions!$C$29-$L902*Assumptions!$C$30</f>
        <v>93.82337109</v>
      </c>
      <c r="R902" s="139">
        <f>($M902*(1-(Assumptions!$C$25+0.06*(1-$H902))-Assumptions!$C$27)-Assumptions!$C$28)-MAX(0,($M902*(1-(Assumptions!$C$25+0.06*(1-$H902))-Assumptions!$C$27)-Assumptions!$C$28)*Assumptions!$C$31)+Assumptions!$C$28-Assumptions!$C$29-$M902*Assumptions!$C$30</f>
        <v>100.7385935</v>
      </c>
      <c r="S902" s="139">
        <f>($N902*(1-(Assumptions!$C$25+0.06*(1-$I902))-Assumptions!$C$27)-Assumptions!$C$28)-MAX(0,($N902*(1-(Assumptions!$C$25+0.06*(1-$I902))-Assumptions!$C$27)-Assumptions!$C$28)*Assumptions!$C$31)+Assumptions!$C$28-Assumptions!$C$29-$N902*Assumptions!$C$30</f>
        <v>108.0720429</v>
      </c>
      <c r="T902" s="139">
        <f>($O902*(1-(Assumptions!$C$25+0.06*(1-$J902))-Assumptions!$C$27)-Assumptions!$C$28)-MAX(0,($O902*(1-(Assumptions!$C$25+0.06*(1-$J902))-Assumptions!$C$27)-Assumptions!$C$28)*Assumptions!$C$31)+Assumptions!$C$28-Assumptions!$C$29-$O902*Assumptions!$C$30</f>
        <v>44.61750293</v>
      </c>
      <c r="U902" s="139">
        <f>($P902*(1-(Assumptions!$C$25+0.06*(1-$K902))-Assumptions!$C$27)-Assumptions!$C$28)-MAX(0,($P902*(1-(Assumptions!$C$25+0.06*(1-$K902))-Assumptions!$C$27)-Assumptions!$C$28)*Assumptions!$C$31)+Assumptions!$C$28-Assumptions!$C$29-$P902*Assumptions!$C$30</f>
        <v>47.98762571</v>
      </c>
      <c r="V902" s="143">
        <f>(($Q902/(1+$D902)^1+$R902/(1+$D902)^2+$S902/(1+$D902)^3+$T902/(1+$D902)^4+$U902/(1+$D902)^5+$U902*(1+$E902)/($D902-$E902)/(1+$D902)^5)-Assumptions!$C$37)/Assumptions!$C$40/Assumptions!$C$38</f>
        <v>-0.226466369</v>
      </c>
    </row>
    <row r="903" ht="12.0" customHeight="1">
      <c r="B903" s="139">
        <v>851.0</v>
      </c>
      <c r="C903" s="140">
        <f t="shared" si="6"/>
        <v>0.3665814291</v>
      </c>
      <c r="D903" s="141">
        <f t="shared" si="7"/>
        <v>0.09614769503</v>
      </c>
      <c r="E903" s="141">
        <f t="shared" si="8"/>
        <v>0.02330340012</v>
      </c>
      <c r="F903" s="140">
        <f t="shared" si="9"/>
        <v>0.04189963735</v>
      </c>
      <c r="G903" s="141">
        <f t="shared" si="10"/>
        <v>0.03868443131</v>
      </c>
      <c r="H903" s="142">
        <f t="shared" si="11"/>
        <v>1</v>
      </c>
      <c r="I903" s="142">
        <f t="shared" si="12"/>
        <v>1</v>
      </c>
      <c r="J903" s="142">
        <f t="shared" si="13"/>
        <v>1</v>
      </c>
      <c r="K903" s="142">
        <f t="shared" si="14"/>
        <v>0</v>
      </c>
      <c r="L903" s="139">
        <f>Assumptions!$C$6*Assumptions!$C$7*(1+$G903-0.05*(1-1))^1+Assumptions!$C$6*Assumptions!$C$8*(1+Assumptions!$C$11)^1+Assumptions!$C$16*1+Assumptions!$C$6*Assumptions!$C$9*(1+Assumptions!$C$12)^1</f>
        <v>739.4891796</v>
      </c>
      <c r="M903" s="139">
        <f>Assumptions!$C$6*Assumptions!$C$7*(1+$G903-0.05*(1-$H903))^2+Assumptions!$C$6*Assumptions!$C$8*(1+Assumptions!$C$11)^2+Assumptions!$C$16*$H903+Assumptions!$C$6*Assumptions!$C$9*(1+Assumptions!$C$12)^2</f>
        <v>759.6114361</v>
      </c>
      <c r="N903" s="139">
        <f>Assumptions!$C$6*Assumptions!$C$7*(1+$G903-0.05*(1-$I903))^3+Assumptions!$C$6*Assumptions!$C$8*(1+Assumptions!$C$11)^3+Assumptions!$C$16*$I903+Assumptions!$C$6*Assumptions!$C$9*(1+Assumptions!$C$12)^3</f>
        <v>780.3888427</v>
      </c>
      <c r="O903" s="139">
        <f>Assumptions!$C$6*Assumptions!$C$7*(1+$G903-0.05*(1-$J903))^4+Assumptions!$C$6*Assumptions!$C$8*(1+Assumptions!$C$11)^4+Assumptions!$C$16*$J903+Assumptions!$C$6*Assumptions!$C$9*(1+Assumptions!$C$12)^4</f>
        <v>801.8442782</v>
      </c>
      <c r="P903" s="139">
        <f>Assumptions!$C$6*Assumptions!$C$7*(1+$G903-0.05*(1-$K903))^5+Assumptions!$C$6*Assumptions!$C$8*(1+Assumptions!$C$11)^5+Assumptions!$C$16*$K903+Assumptions!$C$6*Assumptions!$C$9*(1+Assumptions!$C$12)^5</f>
        <v>675.04177</v>
      </c>
      <c r="Q903" s="139">
        <f>($L903*(1-(Assumptions!$C$25+0.06*(1-1))-Assumptions!$C$27)-Assumptions!$C$28)-MAX(0,($L903*(1-(Assumptions!$C$25+0.06*(1-1))-Assumptions!$C$27)-Assumptions!$C$28)*Assumptions!$C$31)+Assumptions!$C$28-Assumptions!$C$29-$L903*Assumptions!$C$30</f>
        <v>91.49017361</v>
      </c>
      <c r="R903" s="139">
        <f>($M903*(1-(Assumptions!$C$25+0.06*(1-$H903))-Assumptions!$C$27)-Assumptions!$C$28)-MAX(0,($M903*(1-(Assumptions!$C$25+0.06*(1-$H903))-Assumptions!$C$27)-Assumptions!$C$28)*Assumptions!$C$31)+Assumptions!$C$28-Assumptions!$C$29-$M903*Assumptions!$C$30</f>
        <v>95.81645876</v>
      </c>
      <c r="S903" s="139">
        <f>($N903*(1-(Assumptions!$C$25+0.06*(1-$I903))-Assumptions!$C$27)-Assumptions!$C$28)-MAX(0,($N903*(1-(Assumptions!$C$25+0.06*(1-$I903))-Assumptions!$C$27)-Assumptions!$C$28)*Assumptions!$C$31)+Assumptions!$C$28-Assumptions!$C$29-$N903*Assumptions!$C$30</f>
        <v>100.2836012</v>
      </c>
      <c r="T903" s="139">
        <f>($O903*(1-(Assumptions!$C$25+0.06*(1-$J903))-Assumptions!$C$27)-Assumptions!$C$28)-MAX(0,($O903*(1-(Assumptions!$C$25+0.06*(1-$J903))-Assumptions!$C$27)-Assumptions!$C$28)*Assumptions!$C$31)+Assumptions!$C$28-Assumptions!$C$29-$O903*Assumptions!$C$30</f>
        <v>104.8965198</v>
      </c>
      <c r="U903" s="139">
        <f>($P903*(1-(Assumptions!$C$25+0.06*(1-$K903))-Assumptions!$C$27)-Assumptions!$C$28)-MAX(0,($P903*(1-(Assumptions!$C$25+0.06*(1-$K903))-Assumptions!$C$27)-Assumptions!$C$28)*Assumptions!$C$31)+Assumptions!$C$28-Assumptions!$C$29-$P903*Assumptions!$C$30</f>
        <v>35.2596071</v>
      </c>
      <c r="V903" s="143">
        <f>(($Q903/(1+$D903)^1+$R903/(1+$D903)^2+$S903/(1+$D903)^3+$T903/(1+$D903)^4+$U903/(1+$D903)^5+$U903*(1+$E903)/($D903-$E903)/(1+$D903)^5)-Assumptions!$C$37)/Assumptions!$C$40/Assumptions!$C$38</f>
        <v>-0.3465873406</v>
      </c>
    </row>
    <row r="904" ht="12.0" customHeight="1">
      <c r="B904" s="139">
        <v>852.0</v>
      </c>
      <c r="C904" s="140">
        <f t="shared" si="6"/>
        <v>0.2205174272</v>
      </c>
      <c r="D904" s="141">
        <f t="shared" si="7"/>
        <v>0.09364612097</v>
      </c>
      <c r="E904" s="141">
        <f t="shared" si="8"/>
        <v>0.02683374889</v>
      </c>
      <c r="F904" s="140">
        <f t="shared" si="9"/>
        <v>0.3319409321</v>
      </c>
      <c r="G904" s="141">
        <f t="shared" si="10"/>
        <v>0.0544436838</v>
      </c>
      <c r="H904" s="142">
        <f t="shared" si="11"/>
        <v>1</v>
      </c>
      <c r="I904" s="142">
        <f t="shared" si="12"/>
        <v>1</v>
      </c>
      <c r="J904" s="142">
        <f t="shared" si="13"/>
        <v>1</v>
      </c>
      <c r="K904" s="142">
        <f t="shared" si="14"/>
        <v>0</v>
      </c>
      <c r="L904" s="139">
        <f>Assumptions!$C$6*Assumptions!$C$7*(1+$G904-0.05*(1-1))^1+Assumptions!$C$6*Assumptions!$C$8*(1+Assumptions!$C$11)^1+Assumptions!$C$16*1+Assumptions!$C$6*Assumptions!$C$9*(1+Assumptions!$C$12)^1</f>
        <v>744.793744</v>
      </c>
      <c r="M904" s="139">
        <f>Assumptions!$C$6*Assumptions!$C$7*(1+$G904-0.05*(1-$H904))^2+Assumptions!$C$6*Assumptions!$C$8*(1+Assumptions!$C$11)^2+Assumptions!$C$16*$H904+Assumptions!$C$6*Assumptions!$C$9*(1+Assumptions!$C$12)^2</f>
        <v>770.7145689</v>
      </c>
      <c r="N904" s="139">
        <f>Assumptions!$C$6*Assumptions!$C$7*(1+$G904-0.05*(1-$I904))^3+Assumptions!$C$6*Assumptions!$C$8*(1+Assumptions!$C$11)^3+Assumptions!$C$16*$I904+Assumptions!$C$6*Assumptions!$C$9*(1+Assumptions!$C$12)^3</f>
        <v>797.8193817</v>
      </c>
      <c r="O904" s="139">
        <f>Assumptions!$C$6*Assumptions!$C$7*(1+$G904-0.05*(1-$J904))^4+Assumptions!$C$6*Assumptions!$C$8*(1+Assumptions!$C$11)^4+Assumptions!$C$16*$J904+Assumptions!$C$6*Assumptions!$C$9*(1+Assumptions!$C$12)^4</f>
        <v>826.1680983</v>
      </c>
      <c r="P904" s="139">
        <f>Assumptions!$C$6*Assumptions!$C$7*(1+$G904-0.05*(1-$K904))^5+Assumptions!$C$6*Assumptions!$C$8*(1+Assumptions!$C$11)^5+Assumptions!$C$16*$K904+Assumptions!$C$6*Assumptions!$C$9*(1+Assumptions!$C$12)^5</f>
        <v>701.2052137</v>
      </c>
      <c r="Q904" s="139">
        <f>($L904*(1-(Assumptions!$C$25+0.06*(1-1))-Assumptions!$C$27)-Assumptions!$C$28)-MAX(0,($L904*(1-(Assumptions!$C$25+0.06*(1-1))-Assumptions!$C$27)-Assumptions!$C$28)*Assumptions!$C$31)+Assumptions!$C$28-Assumptions!$C$29-$L904*Assumptions!$C$30</f>
        <v>92.63065495</v>
      </c>
      <c r="R904" s="139">
        <f>($M904*(1-(Assumptions!$C$25+0.06*(1-$H904))-Assumptions!$C$27)-Assumptions!$C$28)-MAX(0,($M904*(1-(Assumptions!$C$25+0.06*(1-$H904))-Assumptions!$C$27)-Assumptions!$C$28)*Assumptions!$C$31)+Assumptions!$C$28-Assumptions!$C$29-$M904*Assumptions!$C$30</f>
        <v>98.20363232</v>
      </c>
      <c r="S904" s="139">
        <f>($N904*(1-(Assumptions!$C$25+0.06*(1-$I904))-Assumptions!$C$27)-Assumptions!$C$28)-MAX(0,($N904*(1-(Assumptions!$C$25+0.06*(1-$I904))-Assumptions!$C$27)-Assumptions!$C$28)*Assumptions!$C$31)+Assumptions!$C$28-Assumptions!$C$29-$N904*Assumptions!$C$30</f>
        <v>104.0311671</v>
      </c>
      <c r="T904" s="139">
        <f>($O904*(1-(Assumptions!$C$25+0.06*(1-$J904))-Assumptions!$C$27)-Assumptions!$C$28)-MAX(0,($O904*(1-(Assumptions!$C$25+0.06*(1-$J904))-Assumptions!$C$27)-Assumptions!$C$28)*Assumptions!$C$31)+Assumptions!$C$28-Assumptions!$C$29-$O904*Assumptions!$C$30</f>
        <v>110.1261411</v>
      </c>
      <c r="U904" s="139">
        <f>($P904*(1-(Assumptions!$C$25+0.06*(1-$K904))-Assumptions!$C$27)-Assumptions!$C$28)-MAX(0,($P904*(1-(Assumptions!$C$25+0.06*(1-$K904))-Assumptions!$C$27)-Assumptions!$C$28)*Assumptions!$C$31)+Assumptions!$C$28-Assumptions!$C$29-$P904*Assumptions!$C$30</f>
        <v>41.27719916</v>
      </c>
      <c r="V904" s="143">
        <f>(($Q904/(1+$D904)^1+$R904/(1+$D904)^2+$S904/(1+$D904)^3+$T904/(1+$D904)^4+$U904/(1+$D904)^5+$U904*(1+$E904)/($D904-$E904)/(1+$D904)^5)-Assumptions!$C$37)/Assumptions!$C$40/Assumptions!$C$38</f>
        <v>0.4953887293</v>
      </c>
    </row>
    <row r="905" ht="12.0" customHeight="1">
      <c r="B905" s="139">
        <v>853.0</v>
      </c>
      <c r="C905" s="140">
        <f t="shared" si="6"/>
        <v>0.2691853804</v>
      </c>
      <c r="D905" s="141">
        <f t="shared" si="7"/>
        <v>0.09455268779</v>
      </c>
      <c r="E905" s="141">
        <f t="shared" si="8"/>
        <v>0.01319137832</v>
      </c>
      <c r="F905" s="140">
        <f t="shared" si="9"/>
        <v>0.8009089162</v>
      </c>
      <c r="G905" s="141">
        <f t="shared" si="10"/>
        <v>0.07106949682</v>
      </c>
      <c r="H905" s="142">
        <f t="shared" si="11"/>
        <v>1</v>
      </c>
      <c r="I905" s="142">
        <f t="shared" si="12"/>
        <v>0</v>
      </c>
      <c r="J905" s="142">
        <f t="shared" si="13"/>
        <v>0</v>
      </c>
      <c r="K905" s="142">
        <f t="shared" si="14"/>
        <v>0</v>
      </c>
      <c r="L905" s="139">
        <f>Assumptions!$C$6*Assumptions!$C$7*(1+$G905-0.05*(1-1))^1+Assumptions!$C$6*Assumptions!$C$8*(1+Assumptions!$C$11)^1+Assumptions!$C$16*1+Assumptions!$C$6*Assumptions!$C$9*(1+Assumptions!$C$12)^1</f>
        <v>750.3899926</v>
      </c>
      <c r="M905" s="139">
        <f>Assumptions!$C$6*Assumptions!$C$7*(1+$G905-0.05*(1-$H905))^2+Assumptions!$C$6*Assumptions!$C$8*(1+Assumptions!$C$11)^2+Assumptions!$C$16*$H905+Assumptions!$C$6*Assumptions!$C$9*(1+Assumptions!$C$12)^2</f>
        <v>782.6094692</v>
      </c>
      <c r="N905" s="139">
        <f>Assumptions!$C$6*Assumptions!$C$7*(1+$G905-0.05*(1-$I905))^3+Assumptions!$C$6*Assumptions!$C$8*(1+Assumptions!$C$11)^3+Assumptions!$C$16*$I905+Assumptions!$C$6*Assumptions!$C$9*(1+Assumptions!$C$12)^3</f>
        <v>701.5220675</v>
      </c>
      <c r="O905" s="139">
        <f>Assumptions!$C$6*Assumptions!$C$7*(1+$G905-0.05*(1-$J905))^4+Assumptions!$C$6*Assumptions!$C$8*(1+Assumptions!$C$11)^4+Assumptions!$C$16*$J905+Assumptions!$C$6*Assumptions!$C$9*(1+Assumptions!$C$12)^4</f>
        <v>715.9357389</v>
      </c>
      <c r="P905" s="139">
        <f>Assumptions!$C$6*Assumptions!$C$7*(1+$G905-0.05*(1-$K905))^5+Assumptions!$C$6*Assumptions!$C$8*(1+Assumptions!$C$11)^5+Assumptions!$C$16*$K905+Assumptions!$C$6*Assumptions!$C$9*(1+Assumptions!$C$12)^5</f>
        <v>730.6457582</v>
      </c>
      <c r="Q905" s="139">
        <f>($L905*(1-(Assumptions!$C$25+0.06*(1-1))-Assumptions!$C$27)-Assumptions!$C$28)-MAX(0,($L905*(1-(Assumptions!$C$25+0.06*(1-1))-Assumptions!$C$27)-Assumptions!$C$28)*Assumptions!$C$31)+Assumptions!$C$28-Assumptions!$C$29-$L905*Assumptions!$C$30</f>
        <v>93.83384842</v>
      </c>
      <c r="R905" s="139">
        <f>($M905*(1-(Assumptions!$C$25+0.06*(1-$H905))-Assumptions!$C$27)-Assumptions!$C$28)-MAX(0,($M905*(1-(Assumptions!$C$25+0.06*(1-$H905))-Assumptions!$C$27)-Assumptions!$C$28)*Assumptions!$C$31)+Assumptions!$C$28-Assumptions!$C$29-$M905*Assumptions!$C$30</f>
        <v>100.7610359</v>
      </c>
      <c r="S905" s="139">
        <f>($N905*(1-(Assumptions!$C$25+0.06*(1-$I905))-Assumptions!$C$27)-Assumptions!$C$28)-MAX(0,($N905*(1-(Assumptions!$C$25+0.06*(1-$I905))-Assumptions!$C$27)-Assumptions!$C$28)*Assumptions!$C$31)+Assumptions!$C$28-Assumptions!$C$29-$N905*Assumptions!$C$30</f>
        <v>41.35007553</v>
      </c>
      <c r="T905" s="139">
        <f>($O905*(1-(Assumptions!$C$25+0.06*(1-$J905))-Assumptions!$C$27)-Assumptions!$C$28)-MAX(0,($O905*(1-(Assumptions!$C$25+0.06*(1-$J905))-Assumptions!$C$27)-Assumptions!$C$28)*Assumptions!$C$31)+Assumptions!$C$28-Assumptions!$C$29-$O905*Assumptions!$C$30</f>
        <v>44.66521995</v>
      </c>
      <c r="U905" s="139">
        <f>($P905*(1-(Assumptions!$C$25+0.06*(1-$K905))-Assumptions!$C$27)-Assumptions!$C$28)-MAX(0,($P905*(1-(Assumptions!$C$25+0.06*(1-$K905))-Assumptions!$C$27)-Assumptions!$C$28)*Assumptions!$C$31)+Assumptions!$C$28-Assumptions!$C$29-$P905*Assumptions!$C$30</f>
        <v>48.04852438</v>
      </c>
      <c r="V905" s="143">
        <f>(($Q905/(1+$D905)^1+$R905/(1+$D905)^2+$S905/(1+$D905)^3+$T905/(1+$D905)^4+$U905/(1+$D905)^5+$U905*(1+$E905)/($D905-$E905)/(1+$D905)^5)-Assumptions!$C$37)/Assumptions!$C$40/Assumptions!$C$38</f>
        <v>-0.372773003</v>
      </c>
    </row>
    <row r="906" ht="12.0" customHeight="1">
      <c r="B906" s="139">
        <v>854.0</v>
      </c>
      <c r="C906" s="140">
        <f t="shared" si="6"/>
        <v>0.7399052132</v>
      </c>
      <c r="D906" s="141">
        <f t="shared" si="7"/>
        <v>0.1029205474</v>
      </c>
      <c r="E906" s="141">
        <f t="shared" si="8"/>
        <v>0.01912350065</v>
      </c>
      <c r="F906" s="140">
        <f t="shared" si="9"/>
        <v>0.6057068711</v>
      </c>
      <c r="G906" s="141">
        <f t="shared" si="10"/>
        <v>0.06335928619</v>
      </c>
      <c r="H906" s="142">
        <f t="shared" si="11"/>
        <v>1</v>
      </c>
      <c r="I906" s="142">
        <f t="shared" si="12"/>
        <v>1</v>
      </c>
      <c r="J906" s="142">
        <f t="shared" si="13"/>
        <v>1</v>
      </c>
      <c r="K906" s="142">
        <f t="shared" si="14"/>
        <v>1</v>
      </c>
      <c r="L906" s="139">
        <f>Assumptions!$C$6*Assumptions!$C$7*(1+$G906-0.05*(1-1))^1+Assumptions!$C$6*Assumptions!$C$8*(1+Assumptions!$C$11)^1+Assumptions!$C$16*1+Assumptions!$C$6*Assumptions!$C$9*(1+Assumptions!$C$12)^1</f>
        <v>747.7947357</v>
      </c>
      <c r="M906" s="139">
        <f>Assumptions!$C$6*Assumptions!$C$7*(1+$G906-0.05*(1-$H906))^2+Assumptions!$C$6*Assumptions!$C$8*(1+Assumptions!$C$11)^2+Assumptions!$C$16*$H906+Assumptions!$C$6*Assumptions!$C$9*(1+Assumptions!$C$12)^2</f>
        <v>777.0700782</v>
      </c>
      <c r="N906" s="139">
        <f>Assumptions!$C$6*Assumptions!$C$7*(1+$G906-0.05*(1-$I906))^3+Assumptions!$C$6*Assumptions!$C$8*(1+Assumptions!$C$11)^3+Assumptions!$C$16*$I906+Assumptions!$C$6*Assumptions!$C$9*(1+Assumptions!$C$12)^3</f>
        <v>807.9142287</v>
      </c>
      <c r="O906" s="139">
        <f>Assumptions!$C$6*Assumptions!$C$7*(1+$G906-0.05*(1-$J906))^4+Assumptions!$C$6*Assumptions!$C$8*(1+Assumptions!$C$11)^4+Assumptions!$C$16*$J906+Assumptions!$C$6*Assumptions!$C$9*(1+Assumptions!$C$12)^4</f>
        <v>840.4208646</v>
      </c>
      <c r="P906" s="139">
        <f>Assumptions!$C$6*Assumptions!$C$7*(1+$G906-0.05*(1-$K906))^5+Assumptions!$C$6*Assumptions!$C$8*(1+Assumptions!$C$11)^5+Assumptions!$C$16*$K906+Assumptions!$C$6*Assumptions!$C$9*(1+Assumptions!$C$12)^5</f>
        <v>874.6894842</v>
      </c>
      <c r="Q906" s="139">
        <f>($L906*(1-(Assumptions!$C$25+0.06*(1-1))-Assumptions!$C$27)-Assumptions!$C$28)-MAX(0,($L906*(1-(Assumptions!$C$25+0.06*(1-1))-Assumptions!$C$27)-Assumptions!$C$28)*Assumptions!$C$31)+Assumptions!$C$28-Assumptions!$C$29-$L906*Assumptions!$C$30</f>
        <v>93.27586818</v>
      </c>
      <c r="R906" s="139">
        <f>($M906*(1-(Assumptions!$C$25+0.06*(1-$H906))-Assumptions!$C$27)-Assumptions!$C$28)-MAX(0,($M906*(1-(Assumptions!$C$25+0.06*(1-$H906))-Assumptions!$C$27)-Assumptions!$C$28)*Assumptions!$C$31)+Assumptions!$C$28-Assumptions!$C$29-$M906*Assumptions!$C$30</f>
        <v>99.57006682</v>
      </c>
      <c r="S906" s="139">
        <f>($N906*(1-(Assumptions!$C$25+0.06*(1-$I906))-Assumptions!$C$27)-Assumptions!$C$28)-MAX(0,($N906*(1-(Assumptions!$C$25+0.06*(1-$I906))-Assumptions!$C$27)-Assumptions!$C$28)*Assumptions!$C$31)+Assumptions!$C$28-Assumptions!$C$29-$N906*Assumptions!$C$30</f>
        <v>106.2015592</v>
      </c>
      <c r="T906" s="139">
        <f>($O906*(1-(Assumptions!$C$25+0.06*(1-$J906))-Assumptions!$C$27)-Assumptions!$C$28)-MAX(0,($O906*(1-(Assumptions!$C$25+0.06*(1-$J906))-Assumptions!$C$27)-Assumptions!$C$28)*Assumptions!$C$31)+Assumptions!$C$28-Assumptions!$C$29-$O906*Assumptions!$C$30</f>
        <v>113.1904859</v>
      </c>
      <c r="U906" s="139">
        <f>($P906*(1-(Assumptions!$C$25+0.06*(1-$K906))-Assumptions!$C$27)-Assumptions!$C$28)-MAX(0,($P906*(1-(Assumptions!$C$25+0.06*(1-$K906))-Assumptions!$C$27)-Assumptions!$C$28)*Assumptions!$C$31)+Assumptions!$C$28-Assumptions!$C$29-$P906*Assumptions!$C$30</f>
        <v>120.5582391</v>
      </c>
      <c r="V906" s="143">
        <f>(($Q906/(1+$D906)^1+$R906/(1+$D906)^2+$S906/(1+$D906)^3+$T906/(1+$D906)^4+$U906/(1+$D906)^5+$U906*(1+$E906)/($D906-$E906)/(1+$D906)^5)-Assumptions!$C$37)/Assumptions!$C$40/Assumptions!$C$38</f>
        <v>4.703131089</v>
      </c>
    </row>
    <row r="907" ht="12.0" customHeight="1">
      <c r="B907" s="139">
        <v>855.0</v>
      </c>
      <c r="C907" s="140">
        <f t="shared" si="6"/>
        <v>0.7642725872</v>
      </c>
      <c r="D907" s="141">
        <f t="shared" si="7"/>
        <v>0.1035003009</v>
      </c>
      <c r="E907" s="141">
        <f t="shared" si="8"/>
        <v>0.0223115918</v>
      </c>
      <c r="F907" s="140">
        <f t="shared" si="9"/>
        <v>0.8575996567</v>
      </c>
      <c r="G907" s="141">
        <f t="shared" si="10"/>
        <v>0.07398998383</v>
      </c>
      <c r="H907" s="142">
        <f t="shared" si="11"/>
        <v>1</v>
      </c>
      <c r="I907" s="142">
        <f t="shared" si="12"/>
        <v>1</v>
      </c>
      <c r="J907" s="142">
        <f t="shared" si="13"/>
        <v>1</v>
      </c>
      <c r="K907" s="142">
        <f t="shared" si="14"/>
        <v>1</v>
      </c>
      <c r="L907" s="139">
        <f>Assumptions!$C$6*Assumptions!$C$7*(1+$G907-0.05*(1-1))^1+Assumptions!$C$6*Assumptions!$C$8*(1+Assumptions!$C$11)^1+Assumptions!$C$16*1+Assumptions!$C$6*Assumptions!$C$9*(1+Assumptions!$C$12)^1</f>
        <v>751.3730286</v>
      </c>
      <c r="M907" s="139">
        <f>Assumptions!$C$6*Assumptions!$C$7*(1+$G907-0.05*(1-$H907))^2+Assumptions!$C$6*Assumptions!$C$8*(1+Assumptions!$C$11)^2+Assumptions!$C$16*$H907+Assumptions!$C$6*Assumptions!$C$9*(1+Assumptions!$C$12)^2</f>
        <v>784.7181398</v>
      </c>
      <c r="N907" s="139">
        <f>Assumptions!$C$6*Assumptions!$C$7*(1+$G907-0.05*(1-$I907))^3+Assumptions!$C$6*Assumptions!$C$8*(1+Assumptions!$C$11)^3+Assumptions!$C$16*$I907+Assumptions!$C$6*Assumptions!$C$9*(1+Assumptions!$C$12)^3</f>
        <v>820.1742639</v>
      </c>
      <c r="O907" s="139">
        <f>Assumptions!$C$6*Assumptions!$C$7*(1+$G907-0.05*(1-$J907))^4+Assumptions!$C$6*Assumptions!$C$8*(1+Assumptions!$C$11)^4+Assumptions!$C$16*$J907+Assumptions!$C$6*Assumptions!$C$9*(1+Assumptions!$C$12)^4</f>
        <v>857.8904708</v>
      </c>
      <c r="P907" s="139">
        <f>Assumptions!$C$6*Assumptions!$C$7*(1+$G907-0.05*(1-$K907))^5+Assumptions!$C$6*Assumptions!$C$8*(1+Assumptions!$C$11)^5+Assumptions!$C$16*$K907+Assumptions!$C$6*Assumptions!$C$9*(1+Assumptions!$C$12)^5</f>
        <v>898.0267178</v>
      </c>
      <c r="Q907" s="139">
        <f>($L907*(1-(Assumptions!$C$25+0.06*(1-1))-Assumptions!$C$27)-Assumptions!$C$28)-MAX(0,($L907*(1-(Assumptions!$C$25+0.06*(1-1))-Assumptions!$C$27)-Assumptions!$C$28)*Assumptions!$C$31)+Assumptions!$C$28-Assumptions!$C$29-$L907*Assumptions!$C$30</f>
        <v>94.04520114</v>
      </c>
      <c r="R907" s="139">
        <f>($M907*(1-(Assumptions!$C$25+0.06*(1-$H907))-Assumptions!$C$27)-Assumptions!$C$28)-MAX(0,($M907*(1-(Assumptions!$C$25+0.06*(1-$H907))-Assumptions!$C$27)-Assumptions!$C$28)*Assumptions!$C$31)+Assumptions!$C$28-Assumptions!$C$29-$M907*Assumptions!$C$30</f>
        <v>101.2144001</v>
      </c>
      <c r="S907" s="139">
        <f>($N907*(1-(Assumptions!$C$25+0.06*(1-$I907))-Assumptions!$C$27)-Assumptions!$C$28)-MAX(0,($N907*(1-(Assumptions!$C$25+0.06*(1-$I907))-Assumptions!$C$27)-Assumptions!$C$28)*Assumptions!$C$31)+Assumptions!$C$28-Assumptions!$C$29-$N907*Assumptions!$C$30</f>
        <v>108.8374667</v>
      </c>
      <c r="T907" s="139">
        <f>($O907*(1-(Assumptions!$C$25+0.06*(1-$J907))-Assumptions!$C$27)-Assumptions!$C$28)-MAX(0,($O907*(1-(Assumptions!$C$25+0.06*(1-$J907))-Assumptions!$C$27)-Assumptions!$C$28)*Assumptions!$C$31)+Assumptions!$C$28-Assumptions!$C$29-$O907*Assumptions!$C$30</f>
        <v>116.9464512</v>
      </c>
      <c r="U907" s="139">
        <f>($P907*(1-(Assumptions!$C$25+0.06*(1-$K907))-Assumptions!$C$27)-Assumptions!$C$28)-MAX(0,($P907*(1-(Assumptions!$C$25+0.06*(1-$K907))-Assumptions!$C$27)-Assumptions!$C$28)*Assumptions!$C$31)+Assumptions!$C$28-Assumptions!$C$29-$P907*Assumptions!$C$30</f>
        <v>125.5757443</v>
      </c>
      <c r="V907" s="143">
        <f>(($Q907/(1+$D907)^1+$R907/(1+$D907)^2+$S907/(1+$D907)^3+$T907/(1+$D907)^4+$U907/(1+$D907)^5+$U907*(1+$E907)/($D907-$E907)/(1+$D907)^5)-Assumptions!$C$37)/Assumptions!$C$40/Assumptions!$C$38</f>
        <v>5.303513398</v>
      </c>
    </row>
    <row r="908" ht="12.0" customHeight="1">
      <c r="B908" s="139">
        <v>856.0</v>
      </c>
      <c r="C908" s="140">
        <f t="shared" si="6"/>
        <v>0.7599870227</v>
      </c>
      <c r="D908" s="141">
        <f t="shared" si="7"/>
        <v>0.1033962385</v>
      </c>
      <c r="E908" s="141">
        <f t="shared" si="8"/>
        <v>0.02961838419</v>
      </c>
      <c r="F908" s="140">
        <f t="shared" si="9"/>
        <v>0.431577341</v>
      </c>
      <c r="G908" s="141">
        <f t="shared" si="10"/>
        <v>0.05787183549</v>
      </c>
      <c r="H908" s="142">
        <f t="shared" si="11"/>
        <v>1</v>
      </c>
      <c r="I908" s="142">
        <f t="shared" si="12"/>
        <v>1</v>
      </c>
      <c r="J908" s="142">
        <f t="shared" si="13"/>
        <v>1</v>
      </c>
      <c r="K908" s="142">
        <f t="shared" si="14"/>
        <v>1</v>
      </c>
      <c r="L908" s="139">
        <f>Assumptions!$C$6*Assumptions!$C$7*(1+$G908-0.05*(1-1))^1+Assumptions!$C$6*Assumptions!$C$8*(1+Assumptions!$C$11)^1+Assumptions!$C$16*1+Assumptions!$C$6*Assumptions!$C$9*(1+Assumptions!$C$12)^1</f>
        <v>745.9476598</v>
      </c>
      <c r="M908" s="139">
        <f>Assumptions!$C$6*Assumptions!$C$7*(1+$G908-0.05*(1-$H908))^2+Assumptions!$C$6*Assumptions!$C$8*(1+Assumptions!$C$11)^2+Assumptions!$C$16*$H908+Assumptions!$C$6*Assumptions!$C$9*(1+Assumptions!$C$12)^2</f>
        <v>773.1520033</v>
      </c>
      <c r="N908" s="139">
        <f>Assumptions!$C$6*Assumptions!$C$7*(1+$G908-0.05*(1-$I908))^3+Assumptions!$C$6*Assumptions!$C$8*(1+Assumptions!$C$11)^3+Assumptions!$C$16*$I908+Assumptions!$C$6*Assumptions!$C$9*(1+Assumptions!$C$12)^3</f>
        <v>801.680858</v>
      </c>
      <c r="O908" s="139">
        <f>Assumptions!$C$6*Assumptions!$C$7*(1+$G908-0.05*(1-$J908))^4+Assumptions!$C$6*Assumptions!$C$8*(1+Assumptions!$C$11)^4+Assumptions!$C$16*$J908+Assumptions!$C$6*Assumptions!$C$9*(1+Assumptions!$C$12)^4</f>
        <v>831.6058786</v>
      </c>
      <c r="P908" s="139">
        <f>Assumptions!$C$6*Assumptions!$C$7*(1+$G908-0.05*(1-$K908))^5+Assumptions!$C$6*Assumptions!$C$8*(1+Assumptions!$C$11)^5+Assumptions!$C$16*$K908+Assumptions!$C$6*Assumptions!$C$9*(1+Assumptions!$C$12)^5</f>
        <v>863.0027669</v>
      </c>
      <c r="Q908" s="139">
        <f>($L908*(1-(Assumptions!$C$25+0.06*(1-1))-Assumptions!$C$27)-Assumptions!$C$28)-MAX(0,($L908*(1-(Assumptions!$C$25+0.06*(1-1))-Assumptions!$C$27)-Assumptions!$C$28)*Assumptions!$C$31)+Assumptions!$C$28-Assumptions!$C$29-$L908*Assumptions!$C$30</f>
        <v>92.87874686</v>
      </c>
      <c r="R908" s="139">
        <f>($M908*(1-(Assumptions!$C$25+0.06*(1-$H908))-Assumptions!$C$27)-Assumptions!$C$28)-MAX(0,($M908*(1-(Assumptions!$C$25+0.06*(1-$H908))-Assumptions!$C$27)-Assumptions!$C$28)*Assumptions!$C$31)+Assumptions!$C$28-Assumptions!$C$29-$M908*Assumptions!$C$30</f>
        <v>98.72768071</v>
      </c>
      <c r="S908" s="139">
        <f>($N908*(1-(Assumptions!$C$25+0.06*(1-$I908))-Assumptions!$C$27)-Assumptions!$C$28)-MAX(0,($N908*(1-(Assumptions!$C$25+0.06*(1-$I908))-Assumptions!$C$27)-Assumptions!$C$28)*Assumptions!$C$31)+Assumptions!$C$28-Assumptions!$C$29-$N908*Assumptions!$C$30</f>
        <v>104.8613845</v>
      </c>
      <c r="T908" s="139">
        <f>($O908*(1-(Assumptions!$C$25+0.06*(1-$J908))-Assumptions!$C$27)-Assumptions!$C$28)-MAX(0,($O908*(1-(Assumptions!$C$25+0.06*(1-$J908))-Assumptions!$C$27)-Assumptions!$C$28)*Assumptions!$C$31)+Assumptions!$C$28-Assumptions!$C$29-$O908*Assumptions!$C$30</f>
        <v>111.2952639</v>
      </c>
      <c r="U908" s="139">
        <f>($P908*(1-(Assumptions!$C$25+0.06*(1-$K908))-Assumptions!$C$27)-Assumptions!$C$28)-MAX(0,($P908*(1-(Assumptions!$C$25+0.06*(1-$K908))-Assumptions!$C$27)-Assumptions!$C$28)*Assumptions!$C$31)+Assumptions!$C$28-Assumptions!$C$29-$P908*Assumptions!$C$30</f>
        <v>118.0455949</v>
      </c>
      <c r="V908" s="143">
        <f>(($Q908/(1+$D908)^1+$R908/(1+$D908)^2+$S908/(1+$D908)^3+$T908/(1+$D908)^4+$U908/(1+$D908)^5+$U908*(1+$E908)/($D908-$E908)/(1+$D908)^5)-Assumptions!$C$37)/Assumptions!$C$40/Assumptions!$C$38</f>
        <v>5.510756491</v>
      </c>
    </row>
    <row r="909" ht="12.0" customHeight="1">
      <c r="B909" s="139">
        <v>857.0</v>
      </c>
      <c r="C909" s="140">
        <f t="shared" si="6"/>
        <v>0.6638151597</v>
      </c>
      <c r="D909" s="141">
        <f t="shared" si="7"/>
        <v>0.1012668396</v>
      </c>
      <c r="E909" s="141">
        <f t="shared" si="8"/>
        <v>0.02504885502</v>
      </c>
      <c r="F909" s="140">
        <f t="shared" si="9"/>
        <v>0.9804405786</v>
      </c>
      <c r="G909" s="141">
        <f t="shared" si="10"/>
        <v>0.08406645482</v>
      </c>
      <c r="H909" s="142">
        <f t="shared" si="11"/>
        <v>1</v>
      </c>
      <c r="I909" s="142">
        <f t="shared" si="12"/>
        <v>1</v>
      </c>
      <c r="J909" s="142">
        <f t="shared" si="13"/>
        <v>1</v>
      </c>
      <c r="K909" s="142">
        <f t="shared" si="14"/>
        <v>1</v>
      </c>
      <c r="L909" s="139">
        <f>Assumptions!$C$6*Assumptions!$C$7*(1+$G909-0.05*(1-1))^1+Assumptions!$C$6*Assumptions!$C$8*(1+Assumptions!$C$11)^1+Assumptions!$C$16*1+Assumptions!$C$6*Assumptions!$C$9*(1+Assumptions!$C$12)^1</f>
        <v>754.7647687</v>
      </c>
      <c r="M909" s="139">
        <f>Assumptions!$C$6*Assumptions!$C$7*(1+$G909-0.05*(1-$H909))^2+Assumptions!$C$6*Assumptions!$C$8*(1+Assumptions!$C$11)^2+Assumptions!$C$16*$H909+Assumptions!$C$6*Assumptions!$C$9*(1+Assumptions!$C$12)^2</f>
        <v>792.0377064</v>
      </c>
      <c r="N909" s="139">
        <f>Assumptions!$C$6*Assumptions!$C$7*(1+$G909-0.05*(1-$I909))^3+Assumptions!$C$6*Assumptions!$C$8*(1+Assumptions!$C$11)^3+Assumptions!$C$16*$I909+Assumptions!$C$6*Assumptions!$C$9*(1+Assumptions!$C$12)^3</f>
        <v>832.0213784</v>
      </c>
      <c r="O909" s="139">
        <f>Assumptions!$C$6*Assumptions!$C$7*(1+$G909-0.05*(1-$J909))^4+Assumptions!$C$6*Assumptions!$C$8*(1+Assumptions!$C$11)^4+Assumptions!$C$16*$J909+Assumptions!$C$6*Assumptions!$C$9*(1+Assumptions!$C$12)^4</f>
        <v>874.9352131</v>
      </c>
      <c r="P909" s="139">
        <f>Assumptions!$C$6*Assumptions!$C$7*(1+$G909-0.05*(1-$K909))^5+Assumptions!$C$6*Assumptions!$C$8*(1+Assumptions!$C$11)^5+Assumptions!$C$16*$K909+Assumptions!$C$6*Assumptions!$C$9*(1+Assumptions!$C$12)^5</f>
        <v>921.0169164</v>
      </c>
      <c r="Q909" s="139">
        <f>($L909*(1-(Assumptions!$C$25+0.06*(1-1))-Assumptions!$C$27)-Assumptions!$C$28)-MAX(0,($L909*(1-(Assumptions!$C$25+0.06*(1-1))-Assumptions!$C$27)-Assumptions!$C$28)*Assumptions!$C$31)+Assumptions!$C$28-Assumptions!$C$29-$L909*Assumptions!$C$30</f>
        <v>94.77442527</v>
      </c>
      <c r="R909" s="139">
        <f>($M909*(1-(Assumptions!$C$25+0.06*(1-$H909))-Assumptions!$C$27)-Assumptions!$C$28)-MAX(0,($M909*(1-(Assumptions!$C$25+0.06*(1-$H909))-Assumptions!$C$27)-Assumptions!$C$28)*Assumptions!$C$31)+Assumptions!$C$28-Assumptions!$C$29-$M909*Assumptions!$C$30</f>
        <v>102.7881069</v>
      </c>
      <c r="S909" s="139">
        <f>($N909*(1-(Assumptions!$C$25+0.06*(1-$I909))-Assumptions!$C$27)-Assumptions!$C$28)-MAX(0,($N909*(1-(Assumptions!$C$25+0.06*(1-$I909))-Assumptions!$C$27)-Assumptions!$C$28)*Assumptions!$C$31)+Assumptions!$C$28-Assumptions!$C$29-$N909*Assumptions!$C$30</f>
        <v>111.3845964</v>
      </c>
      <c r="T909" s="139">
        <f>($O909*(1-(Assumptions!$C$25+0.06*(1-$J909))-Assumptions!$C$27)-Assumptions!$C$28)-MAX(0,($O909*(1-(Assumptions!$C$25+0.06*(1-$J909))-Assumptions!$C$27)-Assumptions!$C$28)*Assumptions!$C$31)+Assumptions!$C$28-Assumptions!$C$29-$O909*Assumptions!$C$30</f>
        <v>120.6110708</v>
      </c>
      <c r="U909" s="139">
        <f>($P909*(1-(Assumptions!$C$25+0.06*(1-$K909))-Assumptions!$C$27)-Assumptions!$C$28)-MAX(0,($P909*(1-(Assumptions!$C$25+0.06*(1-$K909))-Assumptions!$C$27)-Assumptions!$C$28)*Assumptions!$C$31)+Assumptions!$C$28-Assumptions!$C$29-$P909*Assumptions!$C$30</f>
        <v>130.518637</v>
      </c>
      <c r="V909" s="143">
        <f>(($Q909/(1+$D909)^1+$R909/(1+$D909)^2+$S909/(1+$D909)^3+$T909/(1+$D909)^4+$U909/(1+$D909)^5+$U909*(1+$E909)/($D909-$E909)/(1+$D909)^5)-Assumptions!$C$37)/Assumptions!$C$40/Assumptions!$C$38</f>
        <v>6.31150429</v>
      </c>
    </row>
    <row r="910" ht="12.0" customHeight="1">
      <c r="B910" s="139">
        <v>858.0</v>
      </c>
      <c r="C910" s="140">
        <f t="shared" si="6"/>
        <v>0.8367721625</v>
      </c>
      <c r="D910" s="141">
        <f t="shared" si="7"/>
        <v>0.1054307358</v>
      </c>
      <c r="E910" s="141">
        <f t="shared" si="8"/>
        <v>0.01778527216</v>
      </c>
      <c r="F910" s="140">
        <f t="shared" si="9"/>
        <v>0.3655800695</v>
      </c>
      <c r="G910" s="141">
        <f t="shared" si="10"/>
        <v>0.05565237075</v>
      </c>
      <c r="H910" s="142">
        <f t="shared" si="11"/>
        <v>0</v>
      </c>
      <c r="I910" s="142">
        <f t="shared" si="12"/>
        <v>1</v>
      </c>
      <c r="J910" s="142">
        <f t="shared" si="13"/>
        <v>0</v>
      </c>
      <c r="K910" s="142">
        <f t="shared" si="14"/>
        <v>0</v>
      </c>
      <c r="L910" s="139">
        <f>Assumptions!$C$6*Assumptions!$C$7*(1+$G910-0.05*(1-1))^1+Assumptions!$C$6*Assumptions!$C$8*(1+Assumptions!$C$11)^1+Assumptions!$C$16*1+Assumptions!$C$6*Assumptions!$C$9*(1+Assumptions!$C$12)^1</f>
        <v>745.200588</v>
      </c>
      <c r="M910" s="139">
        <f>Assumptions!$C$6*Assumptions!$C$7*(1+$G910-0.05*(1-$H910))^2+Assumptions!$C$6*Assumptions!$C$8*(1+Assumptions!$C$11)^2+Assumptions!$C$16*$H910+Assumptions!$C$6*Assumptions!$C$9*(1+Assumptions!$C$12)^2</f>
        <v>676.8812901</v>
      </c>
      <c r="N910" s="139">
        <f>Assumptions!$C$6*Assumptions!$C$7*(1+$G910-0.05*(1-$I910))^3+Assumptions!$C$6*Assumptions!$C$8*(1+Assumptions!$C$11)^3+Assumptions!$C$16*$I910+Assumptions!$C$6*Assumptions!$C$9*(1+Assumptions!$C$12)^3</f>
        <v>799.1779883</v>
      </c>
      <c r="O910" s="139">
        <f>Assumptions!$C$6*Assumptions!$C$7*(1+$G910-0.05*(1-$J910))^4+Assumptions!$C$6*Assumptions!$C$8*(1+Assumptions!$C$11)^4+Assumptions!$C$16*$J910+Assumptions!$C$6*Assumptions!$C$9*(1+Assumptions!$C$12)^4</f>
        <v>694.3336808</v>
      </c>
      <c r="P910" s="139">
        <f>Assumptions!$C$6*Assumptions!$C$7*(1+$G910-0.05*(1-$K910))^5+Assumptions!$C$6*Assumptions!$C$8*(1+Assumptions!$C$11)^5+Assumptions!$C$16*$K910+Assumptions!$C$6*Assumptions!$C$9*(1+Assumptions!$C$12)^5</f>
        <v>703.2808226</v>
      </c>
      <c r="Q910" s="139">
        <f>($L910*(1-(Assumptions!$C$25+0.06*(1-1))-Assumptions!$C$27)-Assumptions!$C$28)-MAX(0,($L910*(1-(Assumptions!$C$25+0.06*(1-1))-Assumptions!$C$27)-Assumptions!$C$28)*Assumptions!$C$31)+Assumptions!$C$28-Assumptions!$C$29-$L910*Assumptions!$C$30</f>
        <v>92.71812642</v>
      </c>
      <c r="R910" s="139">
        <f>($M910*(1-(Assumptions!$C$25+0.06*(1-$H910))-Assumptions!$C$27)-Assumptions!$C$28)-MAX(0,($M910*(1-(Assumptions!$C$25+0.06*(1-$H910))-Assumptions!$C$27)-Assumptions!$C$28)*Assumptions!$C$31)+Assumptions!$C$28-Assumptions!$C$29-$M910*Assumptions!$C$30</f>
        <v>35.68269673</v>
      </c>
      <c r="S910" s="139">
        <f>($N910*(1-(Assumptions!$C$25+0.06*(1-$I910))-Assumptions!$C$27)-Assumptions!$C$28)-MAX(0,($N910*(1-(Assumptions!$C$25+0.06*(1-$I910))-Assumptions!$C$27)-Assumptions!$C$28)*Assumptions!$C$31)+Assumptions!$C$28-Assumptions!$C$29-$N910*Assumptions!$C$30</f>
        <v>104.3232675</v>
      </c>
      <c r="T910" s="139">
        <f>($O910*(1-(Assumptions!$C$25+0.06*(1-$J910))-Assumptions!$C$27)-Assumptions!$C$28)-MAX(0,($O910*(1-(Assumptions!$C$25+0.06*(1-$J910))-Assumptions!$C$27)-Assumptions!$C$28)*Assumptions!$C$31)+Assumptions!$C$28-Assumptions!$C$29-$O910*Assumptions!$C$30</f>
        <v>39.69674659</v>
      </c>
      <c r="U910" s="139">
        <f>($P910*(1-(Assumptions!$C$25+0.06*(1-$K910))-Assumptions!$C$27)-Assumptions!$C$28)-MAX(0,($P910*(1-(Assumptions!$C$25+0.06*(1-$K910))-Assumptions!$C$27)-Assumptions!$C$28)*Assumptions!$C$31)+Assumptions!$C$28-Assumptions!$C$29-$P910*Assumptions!$C$30</f>
        <v>41.75458921</v>
      </c>
      <c r="V910" s="143">
        <f>(($Q910/(1+$D910)^1+$R910/(1+$D910)^2+$S910/(1+$D910)^3+$T910/(1+$D910)^4+$U910/(1+$D910)^5+$U910*(1+$E910)/($D910-$E910)/(1+$D910)^5)-Assumptions!$C$37)/Assumptions!$C$40/Assumptions!$C$38</f>
        <v>-1.215599499</v>
      </c>
    </row>
    <row r="911" ht="12.0" customHeight="1">
      <c r="B911" s="139">
        <v>859.0</v>
      </c>
      <c r="C911" s="140">
        <f t="shared" si="6"/>
        <v>0.7592938665</v>
      </c>
      <c r="D911" s="141">
        <f t="shared" si="7"/>
        <v>0.1033794948</v>
      </c>
      <c r="E911" s="141">
        <f t="shared" si="8"/>
        <v>0.02356600004</v>
      </c>
      <c r="F911" s="140">
        <f t="shared" si="9"/>
        <v>0.8450326328</v>
      </c>
      <c r="G911" s="141">
        <f t="shared" si="10"/>
        <v>0.07329846531</v>
      </c>
      <c r="H911" s="142">
        <f t="shared" si="11"/>
        <v>1</v>
      </c>
      <c r="I911" s="142">
        <f t="shared" si="12"/>
        <v>1</v>
      </c>
      <c r="J911" s="142">
        <f t="shared" si="13"/>
        <v>1</v>
      </c>
      <c r="K911" s="142">
        <f t="shared" si="14"/>
        <v>1</v>
      </c>
      <c r="L911" s="139">
        <f>Assumptions!$C$6*Assumptions!$C$7*(1+$G911-0.05*(1-1))^1+Assumptions!$C$6*Assumptions!$C$8*(1+Assumptions!$C$11)^1+Assumptions!$C$16*1+Assumptions!$C$6*Assumptions!$C$9*(1+Assumptions!$C$12)^1</f>
        <v>751.1402634</v>
      </c>
      <c r="M911" s="139">
        <f>Assumptions!$C$6*Assumptions!$C$7*(1+$G911-0.05*(1-$H911))^2+Assumptions!$C$6*Assumptions!$C$8*(1+Assumptions!$C$11)^2+Assumptions!$C$16*$H911+Assumptions!$C$6*Assumptions!$C$9*(1+Assumptions!$C$12)^2</f>
        <v>784.2183259</v>
      </c>
      <c r="N911" s="139">
        <f>Assumptions!$C$6*Assumptions!$C$7*(1+$G911-0.05*(1-$I911))^3+Assumptions!$C$6*Assumptions!$C$8*(1+Assumptions!$C$11)^3+Assumptions!$C$16*$I911+Assumptions!$C$6*Assumptions!$C$9*(1+Assumptions!$C$12)^3</f>
        <v>819.3693304</v>
      </c>
      <c r="O911" s="139">
        <f>Assumptions!$C$6*Assumptions!$C$7*(1+$G911-0.05*(1-$J911))^4+Assumptions!$C$6*Assumptions!$C$8*(1+Assumptions!$C$11)^4+Assumptions!$C$16*$J911+Assumptions!$C$6*Assumptions!$C$9*(1+Assumptions!$C$12)^4</f>
        <v>856.7381879</v>
      </c>
      <c r="P911" s="139">
        <f>Assumptions!$C$6*Assumptions!$C$7*(1+$G911-0.05*(1-$K911))^5+Assumptions!$C$6*Assumptions!$C$8*(1+Assumptions!$C$11)^5+Assumptions!$C$16*$K911+Assumptions!$C$6*Assumptions!$C$9*(1+Assumptions!$C$12)^5</f>
        <v>896.4802902</v>
      </c>
      <c r="Q911" s="139">
        <f>($L911*(1-(Assumptions!$C$25+0.06*(1-1))-Assumptions!$C$27)-Assumptions!$C$28)-MAX(0,($L911*(1-(Assumptions!$C$25+0.06*(1-1))-Assumptions!$C$27)-Assumptions!$C$28)*Assumptions!$C$31)+Assumptions!$C$28-Assumptions!$C$29-$L911*Assumptions!$C$30</f>
        <v>93.99515664</v>
      </c>
      <c r="R911" s="139">
        <f>($M911*(1-(Assumptions!$C$25+0.06*(1-$H911))-Assumptions!$C$27)-Assumptions!$C$28)-MAX(0,($M911*(1-(Assumptions!$C$25+0.06*(1-$H911))-Assumptions!$C$27)-Assumptions!$C$28)*Assumptions!$C$31)+Assumptions!$C$28-Assumptions!$C$29-$M911*Assumptions!$C$30</f>
        <v>101.1069401</v>
      </c>
      <c r="S911" s="139">
        <f>($N911*(1-(Assumptions!$C$25+0.06*(1-$I911))-Assumptions!$C$27)-Assumptions!$C$28)-MAX(0,($N911*(1-(Assumptions!$C$25+0.06*(1-$I911))-Assumptions!$C$27)-Assumptions!$C$28)*Assumptions!$C$31)+Assumptions!$C$28-Assumptions!$C$29-$N911*Assumptions!$C$30</f>
        <v>108.664406</v>
      </c>
      <c r="T911" s="139">
        <f>($O911*(1-(Assumptions!$C$25+0.06*(1-$J911))-Assumptions!$C$27)-Assumptions!$C$28)-MAX(0,($O911*(1-(Assumptions!$C$25+0.06*(1-$J911))-Assumptions!$C$27)-Assumptions!$C$28)*Assumptions!$C$31)+Assumptions!$C$28-Assumptions!$C$29-$O911*Assumptions!$C$30</f>
        <v>116.6987104</v>
      </c>
      <c r="U911" s="139">
        <f>($P911*(1-(Assumptions!$C$25+0.06*(1-$K911))-Assumptions!$C$27)-Assumptions!$C$28)-MAX(0,($P911*(1-(Assumptions!$C$25+0.06*(1-$K911))-Assumptions!$C$27)-Assumptions!$C$28)*Assumptions!$C$31)+Assumptions!$C$28-Assumptions!$C$29-$P911*Assumptions!$C$30</f>
        <v>125.2432624</v>
      </c>
      <c r="V911" s="143">
        <f>(($Q911/(1+$D911)^1+$R911/(1+$D911)^2+$S911/(1+$D911)^3+$T911/(1+$D911)^4+$U911/(1+$D911)^5+$U911*(1+$E911)/($D911-$E911)/(1+$D911)^5)-Assumptions!$C$37)/Assumptions!$C$40/Assumptions!$C$38</f>
        <v>5.422805105</v>
      </c>
    </row>
    <row r="912" ht="12.0" customHeight="1">
      <c r="B912" s="139">
        <v>860.0</v>
      </c>
      <c r="C912" s="140">
        <f t="shared" si="6"/>
        <v>0.4093202851</v>
      </c>
      <c r="D912" s="141">
        <f t="shared" si="7"/>
        <v>0.09679639266</v>
      </c>
      <c r="E912" s="141">
        <f t="shared" si="8"/>
        <v>0.01869670099</v>
      </c>
      <c r="F912" s="140">
        <f t="shared" si="9"/>
        <v>0.1979225248</v>
      </c>
      <c r="G912" s="141">
        <f t="shared" si="10"/>
        <v>0.04887486542</v>
      </c>
      <c r="H912" s="142">
        <f t="shared" si="11"/>
        <v>1</v>
      </c>
      <c r="I912" s="142">
        <f t="shared" si="12"/>
        <v>1</v>
      </c>
      <c r="J912" s="142">
        <f t="shared" si="13"/>
        <v>1</v>
      </c>
      <c r="K912" s="142">
        <f t="shared" si="14"/>
        <v>0</v>
      </c>
      <c r="L912" s="139">
        <f>Assumptions!$C$6*Assumptions!$C$7*(1+$G912-0.05*(1-1))^1+Assumptions!$C$6*Assumptions!$C$8*(1+Assumptions!$C$11)^1+Assumptions!$C$16*1+Assumptions!$C$6*Assumptions!$C$9*(1+Assumptions!$C$12)^1</f>
        <v>742.9192797</v>
      </c>
      <c r="M912" s="139">
        <f>Assumptions!$C$6*Assumptions!$C$7*(1+$G912-0.05*(1-$H912))^2+Assumptions!$C$6*Assumptions!$C$8*(1+Assumptions!$C$11)^2+Assumptions!$C$16*$H912+Assumptions!$C$6*Assumptions!$C$9*(1+Assumptions!$C$12)^2</f>
        <v>766.7719735</v>
      </c>
      <c r="N912" s="139">
        <f>Assumptions!$C$6*Assumptions!$C$7*(1+$G912-0.05*(1-$I912))^3+Assumptions!$C$6*Assumptions!$C$8*(1+Assumptions!$C$11)^3+Assumptions!$C$16*$I912+Assumptions!$C$6*Assumptions!$C$9*(1+Assumptions!$C$12)^3</f>
        <v>791.5999666</v>
      </c>
      <c r="O912" s="139">
        <f>Assumptions!$C$6*Assumptions!$C$7*(1+$G912-0.05*(1-$J912))^4+Assumptions!$C$6*Assumptions!$C$8*(1+Assumptions!$C$11)^4+Assumptions!$C$16*$J912+Assumptions!$C$6*Assumptions!$C$9*(1+Assumptions!$C$12)^4</f>
        <v>817.4471167</v>
      </c>
      <c r="P912" s="139">
        <f>Assumptions!$C$6*Assumptions!$C$7*(1+$G912-0.05*(1-$K912))^5+Assumptions!$C$6*Assumptions!$C$8*(1+Assumptions!$C$11)^5+Assumptions!$C$16*$K912+Assumptions!$C$6*Assumptions!$C$9*(1+Assumptions!$C$12)^5</f>
        <v>691.7703866</v>
      </c>
      <c r="Q912" s="139">
        <f>($L912*(1-(Assumptions!$C$25+0.06*(1-1))-Assumptions!$C$27)-Assumptions!$C$28)-MAX(0,($L912*(1-(Assumptions!$C$25+0.06*(1-1))-Assumptions!$C$27)-Assumptions!$C$28)*Assumptions!$C$31)+Assumptions!$C$28-Assumptions!$C$29-$L912*Assumptions!$C$30</f>
        <v>92.22764514</v>
      </c>
      <c r="R912" s="139">
        <f>($M912*(1-(Assumptions!$C$25+0.06*(1-$H912))-Assumptions!$C$27)-Assumptions!$C$28)-MAX(0,($M912*(1-(Assumptions!$C$25+0.06*(1-$H912))-Assumptions!$C$27)-Assumptions!$C$28)*Assumptions!$C$31)+Assumptions!$C$28-Assumptions!$C$29-$M912*Assumptions!$C$30</f>
        <v>97.3559743</v>
      </c>
      <c r="S912" s="139">
        <f>($N912*(1-(Assumptions!$C$25+0.06*(1-$I912))-Assumptions!$C$27)-Assumptions!$C$28)-MAX(0,($N912*(1-(Assumptions!$C$25+0.06*(1-$I912))-Assumptions!$C$27)-Assumptions!$C$28)*Assumptions!$C$31)+Assumptions!$C$28-Assumptions!$C$29-$N912*Assumptions!$C$30</f>
        <v>102.6939928</v>
      </c>
      <c r="T912" s="139">
        <f>($O912*(1-(Assumptions!$C$25+0.06*(1-$J912))-Assumptions!$C$27)-Assumptions!$C$28)-MAX(0,($O912*(1-(Assumptions!$C$25+0.06*(1-$J912))-Assumptions!$C$27)-Assumptions!$C$28)*Assumptions!$C$31)+Assumptions!$C$28-Assumptions!$C$29-$O912*Assumptions!$C$30</f>
        <v>108.2511301</v>
      </c>
      <c r="U912" s="139">
        <f>($P912*(1-(Assumptions!$C$25+0.06*(1-$K912))-Assumptions!$C$27)-Assumptions!$C$28)-MAX(0,($P912*(1-(Assumptions!$C$25+0.06*(1-$K912))-Assumptions!$C$27)-Assumptions!$C$28)*Assumptions!$C$31)+Assumptions!$C$28-Assumptions!$C$29-$P912*Assumptions!$C$30</f>
        <v>39.10718891</v>
      </c>
      <c r="V912" s="143">
        <f>(($Q912/(1+$D912)^1+$R912/(1+$D912)^2+$S912/(1+$D912)^3+$T912/(1+$D912)^4+$U912/(1+$D912)^5+$U912*(1+$E912)/($D912-$E912)/(1+$D912)^5)-Assumptions!$C$37)/Assumptions!$C$40/Assumptions!$C$38</f>
        <v>-0.2186810578</v>
      </c>
    </row>
    <row r="913" ht="12.0" customHeight="1">
      <c r="B913" s="139">
        <v>861.0</v>
      </c>
      <c r="C913" s="140">
        <f t="shared" si="6"/>
        <v>0.8269698131</v>
      </c>
      <c r="D913" s="141">
        <f t="shared" si="7"/>
        <v>0.1051475924</v>
      </c>
      <c r="E913" s="141">
        <f t="shared" si="8"/>
        <v>0.02332448598</v>
      </c>
      <c r="F913" s="140">
        <f t="shared" si="9"/>
        <v>0.4809572641</v>
      </c>
      <c r="G913" s="141">
        <f t="shared" si="10"/>
        <v>0.05942317242</v>
      </c>
      <c r="H913" s="142">
        <f t="shared" si="11"/>
        <v>1</v>
      </c>
      <c r="I913" s="142">
        <f t="shared" si="12"/>
        <v>1</v>
      </c>
      <c r="J913" s="142">
        <f t="shared" si="13"/>
        <v>1</v>
      </c>
      <c r="K913" s="142">
        <f t="shared" si="14"/>
        <v>1</v>
      </c>
      <c r="L913" s="139">
        <f>Assumptions!$C$6*Assumptions!$C$7*(1+$G913-0.05*(1-1))^1+Assumptions!$C$6*Assumptions!$C$8*(1+Assumptions!$C$11)^1+Assumptions!$C$16*1+Assumptions!$C$6*Assumptions!$C$9*(1+Assumptions!$C$12)^1</f>
        <v>746.4698398</v>
      </c>
      <c r="M913" s="139">
        <f>Assumptions!$C$6*Assumptions!$C$7*(1+$G913-0.05*(1-$H913))^2+Assumptions!$C$6*Assumptions!$C$8*(1+Assumptions!$C$11)^2+Assumptions!$C$16*$H913+Assumptions!$C$6*Assumptions!$C$9*(1+Assumptions!$C$12)^2</f>
        <v>774.2576125</v>
      </c>
      <c r="N913" s="139">
        <f>Assumptions!$C$6*Assumptions!$C$7*(1+$G913-0.05*(1-$I913))^3+Assumptions!$C$6*Assumptions!$C$8*(1+Assumptions!$C$11)^3+Assumptions!$C$16*$I913+Assumptions!$C$6*Assumptions!$C$9*(1+Assumptions!$C$12)^3</f>
        <v>803.4365338</v>
      </c>
      <c r="O913" s="139">
        <f>Assumptions!$C$6*Assumptions!$C$7*(1+$G913-0.05*(1-$J913))^4+Assumptions!$C$6*Assumptions!$C$8*(1+Assumptions!$C$11)^4+Assumptions!$C$16*$J913+Assumptions!$C$6*Assumptions!$C$9*(1+Assumptions!$C$12)^4</f>
        <v>834.0840686</v>
      </c>
      <c r="P913" s="139">
        <f>Assumptions!$C$6*Assumptions!$C$7*(1+$G913-0.05*(1-$K913))^5+Assumptions!$C$6*Assumptions!$C$8*(1+Assumptions!$C$11)^5+Assumptions!$C$16*$K913+Assumptions!$C$6*Assumptions!$C$9*(1+Assumptions!$C$12)^5</f>
        <v>866.2821807</v>
      </c>
      <c r="Q913" s="139">
        <f>($L913*(1-(Assumptions!$C$25+0.06*(1-1))-Assumptions!$C$27)-Assumptions!$C$28)-MAX(0,($L913*(1-(Assumptions!$C$25+0.06*(1-1))-Assumptions!$C$27)-Assumptions!$C$28)*Assumptions!$C$31)+Assumptions!$C$28-Assumptions!$C$29-$L913*Assumptions!$C$30</f>
        <v>92.99101557</v>
      </c>
      <c r="R913" s="139">
        <f>($M913*(1-(Assumptions!$C$25+0.06*(1-$H913))-Assumptions!$C$27)-Assumptions!$C$28)-MAX(0,($M913*(1-(Assumptions!$C$25+0.06*(1-$H913))-Assumptions!$C$27)-Assumptions!$C$28)*Assumptions!$C$31)+Assumptions!$C$28-Assumptions!$C$29-$M913*Assumptions!$C$30</f>
        <v>98.96538668</v>
      </c>
      <c r="S913" s="139">
        <f>($N913*(1-(Assumptions!$C$25+0.06*(1-$I913))-Assumptions!$C$27)-Assumptions!$C$28)-MAX(0,($N913*(1-(Assumptions!$C$25+0.06*(1-$I913))-Assumptions!$C$27)-Assumptions!$C$28)*Assumptions!$C$31)+Assumptions!$C$28-Assumptions!$C$29-$N913*Assumptions!$C$30</f>
        <v>105.2388548</v>
      </c>
      <c r="T913" s="139">
        <f>($O913*(1-(Assumptions!$C$25+0.06*(1-$J913))-Assumptions!$C$27)-Assumptions!$C$28)-MAX(0,($O913*(1-(Assumptions!$C$25+0.06*(1-$J913))-Assumptions!$C$27)-Assumptions!$C$28)*Assumptions!$C$31)+Assumptions!$C$28-Assumptions!$C$29-$O913*Assumptions!$C$30</f>
        <v>111.8280748</v>
      </c>
      <c r="U913" s="139">
        <f>($P913*(1-(Assumptions!$C$25+0.06*(1-$K913))-Assumptions!$C$27)-Assumptions!$C$28)-MAX(0,($P913*(1-(Assumptions!$C$25+0.06*(1-$K913))-Assumptions!$C$27)-Assumptions!$C$28)*Assumptions!$C$31)+Assumptions!$C$28-Assumptions!$C$29-$P913*Assumptions!$C$30</f>
        <v>118.7506688</v>
      </c>
      <c r="V913" s="143">
        <f>(($Q913/(1+$D913)^1+$R913/(1+$D913)^2+$S913/(1+$D913)^3+$T913/(1+$D913)^4+$U913/(1+$D913)^5+$U913*(1+$E913)/($D913-$E913)/(1+$D913)^5)-Assumptions!$C$37)/Assumptions!$C$40/Assumptions!$C$38</f>
        <v>4.677164082</v>
      </c>
    </row>
    <row r="914" ht="12.0" customHeight="1">
      <c r="B914" s="139">
        <v>862.0</v>
      </c>
      <c r="C914" s="140">
        <f t="shared" si="6"/>
        <v>0.6360608436</v>
      </c>
      <c r="D914" s="141">
        <f t="shared" si="7"/>
        <v>0.1007111979</v>
      </c>
      <c r="E914" s="141">
        <f t="shared" si="8"/>
        <v>0.01870806269</v>
      </c>
      <c r="F914" s="140">
        <f t="shared" si="9"/>
        <v>0.3409506018</v>
      </c>
      <c r="G914" s="141">
        <f t="shared" si="10"/>
        <v>0.05477319284</v>
      </c>
      <c r="H914" s="142">
        <f t="shared" si="11"/>
        <v>1</v>
      </c>
      <c r="I914" s="142">
        <f t="shared" si="12"/>
        <v>0</v>
      </c>
      <c r="J914" s="142">
        <f t="shared" si="13"/>
        <v>1</v>
      </c>
      <c r="K914" s="142">
        <f t="shared" si="14"/>
        <v>1</v>
      </c>
      <c r="L914" s="139">
        <f>Assumptions!$C$6*Assumptions!$C$7*(1+$G914-0.05*(1-1))^1+Assumptions!$C$6*Assumptions!$C$8*(1+Assumptions!$C$11)^1+Assumptions!$C$16*1+Assumptions!$C$6*Assumptions!$C$9*(1+Assumptions!$C$12)^1</f>
        <v>744.9046567</v>
      </c>
      <c r="M914" s="139">
        <f>Assumptions!$C$6*Assumptions!$C$7*(1+$G914-0.05*(1-$H914))^2+Assumptions!$C$6*Assumptions!$C$8*(1+Assumptions!$C$11)^2+Assumptions!$C$16*$H914+Assumptions!$C$6*Assumptions!$C$9*(1+Assumptions!$C$12)^2</f>
        <v>770.948508</v>
      </c>
      <c r="N914" s="139">
        <f>Assumptions!$C$6*Assumptions!$C$7*(1+$G914-0.05*(1-$I914))^3+Assumptions!$C$6*Assumptions!$C$8*(1+Assumptions!$C$11)^3+Assumptions!$C$16*$I914+Assumptions!$C$6*Assumptions!$C$9*(1+Assumptions!$C$12)^3</f>
        <v>684.6376806</v>
      </c>
      <c r="O914" s="139">
        <f>Assumptions!$C$6*Assumptions!$C$7*(1+$G914-0.05*(1-$J914))^4+Assumptions!$C$6*Assumptions!$C$8*(1+Assumptions!$C$11)^4+Assumptions!$C$16*$J914+Assumptions!$C$6*Assumptions!$C$9*(1+Assumptions!$C$12)^4</f>
        <v>826.6884718</v>
      </c>
      <c r="P914" s="139">
        <f>Assumptions!$C$6*Assumptions!$C$7*(1+$G914-0.05*(1-$K914))^5+Assumptions!$C$6*Assumptions!$C$8*(1+Assumptions!$C$11)^5+Assumptions!$C$16*$K914+Assumptions!$C$6*Assumptions!$C$9*(1+Assumptions!$C$12)^5</f>
        <v>856.5097934</v>
      </c>
      <c r="Q914" s="139">
        <f>($L914*(1-(Assumptions!$C$25+0.06*(1-1))-Assumptions!$C$27)-Assumptions!$C$28)-MAX(0,($L914*(1-(Assumptions!$C$25+0.06*(1-1))-Assumptions!$C$27)-Assumptions!$C$28)*Assumptions!$C$31)+Assumptions!$C$28-Assumptions!$C$29-$L914*Assumptions!$C$30</f>
        <v>92.65450119</v>
      </c>
      <c r="R914" s="139">
        <f>($M914*(1-(Assumptions!$C$25+0.06*(1-$H914))-Assumptions!$C$27)-Assumptions!$C$28)-MAX(0,($M914*(1-(Assumptions!$C$25+0.06*(1-$H914))-Assumptions!$C$27)-Assumptions!$C$28)*Assumptions!$C$31)+Assumptions!$C$28-Assumptions!$C$29-$M914*Assumptions!$C$30</f>
        <v>98.25392921</v>
      </c>
      <c r="S914" s="139">
        <f>($N914*(1-(Assumptions!$C$25+0.06*(1-$I914))-Assumptions!$C$27)-Assumptions!$C$28)-MAX(0,($N914*(1-(Assumptions!$C$25+0.06*(1-$I914))-Assumptions!$C$27)-Assumptions!$C$28)*Assumptions!$C$31)+Assumptions!$C$28-Assumptions!$C$29-$N914*Assumptions!$C$30</f>
        <v>37.46666653</v>
      </c>
      <c r="T914" s="139">
        <f>($O914*(1-(Assumptions!$C$25+0.06*(1-$J914))-Assumptions!$C$27)-Assumptions!$C$28)-MAX(0,($O914*(1-(Assumptions!$C$25+0.06*(1-$J914))-Assumptions!$C$27)-Assumptions!$C$28)*Assumptions!$C$31)+Assumptions!$C$28-Assumptions!$C$29-$O914*Assumptions!$C$30</f>
        <v>110.2380214</v>
      </c>
      <c r="U914" s="139">
        <f>($P914*(1-(Assumptions!$C$25+0.06*(1-$K914))-Assumptions!$C$27)-Assumptions!$C$28)-MAX(0,($P914*(1-(Assumptions!$C$25+0.06*(1-$K914))-Assumptions!$C$27)-Assumptions!$C$28)*Assumptions!$C$31)+Assumptions!$C$28-Assumptions!$C$29-$P914*Assumptions!$C$30</f>
        <v>116.6496056</v>
      </c>
      <c r="V914" s="143">
        <f>(($Q914/(1+$D914)^1+$R914/(1+$D914)^2+$S914/(1+$D914)^3+$T914/(1+$D914)^4+$U914/(1+$D914)^5+$U914*(1+$E914)/($D914-$E914)/(1+$D914)^5)-Assumptions!$C$37)/Assumptions!$C$40/Assumptions!$C$38</f>
        <v>4.259772334</v>
      </c>
    </row>
    <row r="915" ht="12.0" customHeight="1">
      <c r="B915" s="139">
        <v>863.0</v>
      </c>
      <c r="C915" s="140">
        <f t="shared" si="6"/>
        <v>0.06583548931</v>
      </c>
      <c r="D915" s="141">
        <f t="shared" si="7"/>
        <v>0.08972421749</v>
      </c>
      <c r="E915" s="141">
        <f t="shared" si="8"/>
        <v>0.02323098363</v>
      </c>
      <c r="F915" s="140">
        <f t="shared" si="9"/>
        <v>0.5781934057</v>
      </c>
      <c r="G915" s="141">
        <f t="shared" si="10"/>
        <v>0.06244547461</v>
      </c>
      <c r="H915" s="142">
        <f t="shared" si="11"/>
        <v>0</v>
      </c>
      <c r="I915" s="142">
        <f t="shared" si="12"/>
        <v>1</v>
      </c>
      <c r="J915" s="142">
        <f t="shared" si="13"/>
        <v>1</v>
      </c>
      <c r="K915" s="142">
        <f t="shared" si="14"/>
        <v>0</v>
      </c>
      <c r="L915" s="139">
        <f>Assumptions!$C$6*Assumptions!$C$7*(1+$G915-0.05*(1-1))^1+Assumptions!$C$6*Assumptions!$C$8*(1+Assumptions!$C$11)^1+Assumptions!$C$16*1+Assumptions!$C$6*Assumptions!$C$9*(1+Assumptions!$C$12)^1</f>
        <v>747.4871468</v>
      </c>
      <c r="M915" s="139">
        <f>Assumptions!$C$6*Assumptions!$C$7*(1+$G915-0.05*(1-$H915))^2+Assumptions!$C$6*Assumptions!$C$8*(1+Assumptions!$C$11)^2+Assumptions!$C$16*$H915+Assumptions!$C$6*Assumptions!$C$9*(1+Assumptions!$C$12)^2</f>
        <v>681.4957894</v>
      </c>
      <c r="N915" s="139">
        <f>Assumptions!$C$6*Assumptions!$C$7*(1+$G915-0.05*(1-$I915))^3+Assumptions!$C$6*Assumptions!$C$8*(1+Assumptions!$C$11)^3+Assumptions!$C$16*$I915+Assumptions!$C$6*Assumptions!$C$9*(1+Assumptions!$C$12)^3</f>
        <v>806.8717221</v>
      </c>
      <c r="O915" s="139">
        <f>Assumptions!$C$6*Assumptions!$C$7*(1+$G915-0.05*(1-$J915))^4+Assumptions!$C$6*Assumptions!$C$8*(1+Assumptions!$C$11)^4+Assumptions!$C$16*$J915+Assumptions!$C$6*Assumptions!$C$9*(1+Assumptions!$C$12)^4</f>
        <v>838.9434207</v>
      </c>
      <c r="P915" s="139">
        <f>Assumptions!$C$6*Assumptions!$C$7*(1+$G915-0.05*(1-$K915))^5+Assumptions!$C$6*Assumptions!$C$8*(1+Assumptions!$C$11)^5+Assumptions!$C$16*$K915+Assumptions!$C$6*Assumptions!$C$9*(1+Assumptions!$C$12)^5</f>
        <v>715.1333538</v>
      </c>
      <c r="Q915" s="139">
        <f>($L915*(1-(Assumptions!$C$25+0.06*(1-1))-Assumptions!$C$27)-Assumptions!$C$28)-MAX(0,($L915*(1-(Assumptions!$C$25+0.06*(1-1))-Assumptions!$C$27)-Assumptions!$C$28)*Assumptions!$C$31)+Assumptions!$C$28-Assumptions!$C$29-$L915*Assumptions!$C$30</f>
        <v>93.20973655</v>
      </c>
      <c r="R915" s="139">
        <f>($M915*(1-(Assumptions!$C$25+0.06*(1-$H915))-Assumptions!$C$27)-Assumptions!$C$28)-MAX(0,($M915*(1-(Assumptions!$C$25+0.06*(1-$H915))-Assumptions!$C$27)-Assumptions!$C$28)*Assumptions!$C$31)+Assumptions!$C$28-Assumptions!$C$29-$M915*Assumptions!$C$30</f>
        <v>36.74403157</v>
      </c>
      <c r="S915" s="139">
        <f>($N915*(1-(Assumptions!$C$25+0.06*(1-$I915))-Assumptions!$C$27)-Assumptions!$C$28)-MAX(0,($N915*(1-(Assumptions!$C$25+0.06*(1-$I915))-Assumptions!$C$27)-Assumptions!$C$28)*Assumptions!$C$31)+Assumptions!$C$28-Assumptions!$C$29-$N915*Assumptions!$C$30</f>
        <v>105.9774202</v>
      </c>
      <c r="T915" s="139">
        <f>($O915*(1-(Assumptions!$C$25+0.06*(1-$J915))-Assumptions!$C$27)-Assumptions!$C$28)-MAX(0,($O915*(1-(Assumptions!$C$25+0.06*(1-$J915))-Assumptions!$C$27)-Assumptions!$C$28)*Assumptions!$C$31)+Assumptions!$C$28-Assumptions!$C$29-$O915*Assumptions!$C$30</f>
        <v>112.8728355</v>
      </c>
      <c r="U915" s="139">
        <f>($P915*(1-(Assumptions!$C$25+0.06*(1-$K915))-Assumptions!$C$27)-Assumptions!$C$28)-MAX(0,($P915*(1-(Assumptions!$C$25+0.06*(1-$K915))-Assumptions!$C$27)-Assumptions!$C$28)*Assumptions!$C$31)+Assumptions!$C$28-Assumptions!$C$29-$P915*Assumptions!$C$30</f>
        <v>44.48067136</v>
      </c>
      <c r="V915" s="143">
        <f>(($Q915/(1+$D915)^1+$R915/(1+$D915)^2+$S915/(1+$D915)^3+$T915/(1+$D915)^4+$U915/(1+$D915)^5+$U915*(1+$E915)/($D915-$E915)/(1+$D915)^5)-Assumptions!$C$37)/Assumptions!$C$40/Assumptions!$C$38</f>
        <v>0.4768052904</v>
      </c>
    </row>
    <row r="916" ht="12.0" customHeight="1">
      <c r="B916" s="139">
        <v>864.0</v>
      </c>
      <c r="C916" s="140">
        <f t="shared" si="6"/>
        <v>0.4149072731</v>
      </c>
      <c r="D916" s="141">
        <f t="shared" si="7"/>
        <v>0.09688268729</v>
      </c>
      <c r="E916" s="141">
        <f t="shared" si="8"/>
        <v>0.01121779561</v>
      </c>
      <c r="F916" s="140">
        <f t="shared" si="9"/>
        <v>0.06120507738</v>
      </c>
      <c r="G916" s="141">
        <f t="shared" si="10"/>
        <v>0.04049614878</v>
      </c>
      <c r="H916" s="142">
        <f t="shared" si="11"/>
        <v>1</v>
      </c>
      <c r="I916" s="142">
        <f t="shared" si="12"/>
        <v>0</v>
      </c>
      <c r="J916" s="142">
        <f t="shared" si="13"/>
        <v>1</v>
      </c>
      <c r="K916" s="142">
        <f t="shared" si="14"/>
        <v>1</v>
      </c>
      <c r="L916" s="139">
        <f>Assumptions!$C$6*Assumptions!$C$7*(1+$G916-0.05*(1-1))^1+Assumptions!$C$6*Assumptions!$C$8*(1+Assumptions!$C$11)^1+Assumptions!$C$16*1+Assumptions!$C$6*Assumptions!$C$9*(1+Assumptions!$C$12)^1</f>
        <v>740.0990037</v>
      </c>
      <c r="M916" s="139">
        <f>Assumptions!$C$6*Assumptions!$C$7*(1+$G916-0.05*(1-$H916))^2+Assumptions!$C$6*Assumptions!$C$8*(1+Assumptions!$C$11)^2+Assumptions!$C$16*$H916+Assumptions!$C$6*Assumptions!$C$9*(1+Assumptions!$C$12)^2</f>
        <v>760.8793705</v>
      </c>
      <c r="N916" s="139">
        <f>Assumptions!$C$6*Assumptions!$C$7*(1+$G916-0.05*(1-$I916))^3+Assumptions!$C$6*Assumptions!$C$8*(1+Assumptions!$C$11)^3+Assumptions!$C$16*$I916+Assumptions!$C$6*Assumptions!$C$9*(1+Assumptions!$C$12)^3</f>
        <v>670.2885977</v>
      </c>
      <c r="O916" s="139">
        <f>Assumptions!$C$6*Assumptions!$C$7*(1+$G916-0.05*(1-$J916))^4+Assumptions!$C$6*Assumptions!$C$8*(1+Assumptions!$C$11)^4+Assumptions!$C$16*$J916+Assumptions!$C$6*Assumptions!$C$9*(1+Assumptions!$C$12)^4</f>
        <v>804.5849154</v>
      </c>
      <c r="P916" s="139">
        <f>Assumptions!$C$6*Assumptions!$C$7*(1+$G916-0.05*(1-$K916))^5+Assumptions!$C$6*Assumptions!$C$8*(1+Assumptions!$C$11)^5+Assumptions!$C$16*$K916+Assumptions!$C$6*Assumptions!$C$9*(1+Assumptions!$C$12)^5</f>
        <v>827.5628846</v>
      </c>
      <c r="Q916" s="139">
        <f>($L916*(1-(Assumptions!$C$25+0.06*(1-1))-Assumptions!$C$27)-Assumptions!$C$28)-MAX(0,($L916*(1-(Assumptions!$C$25+0.06*(1-1))-Assumptions!$C$27)-Assumptions!$C$28)*Assumptions!$C$31)+Assumptions!$C$28-Assumptions!$C$29-$L916*Assumptions!$C$30</f>
        <v>91.62128579</v>
      </c>
      <c r="R916" s="139">
        <f>($M916*(1-(Assumptions!$C$25+0.06*(1-$H916))-Assumptions!$C$27)-Assumptions!$C$28)-MAX(0,($M916*(1-(Assumptions!$C$25+0.06*(1-$H916))-Assumptions!$C$27)-Assumptions!$C$28)*Assumptions!$C$31)+Assumptions!$C$28-Assumptions!$C$29-$M916*Assumptions!$C$30</f>
        <v>96.08906466</v>
      </c>
      <c r="S916" s="139">
        <f>($N916*(1-(Assumptions!$C$25+0.06*(1-$I916))-Assumptions!$C$27)-Assumptions!$C$28)-MAX(0,($N916*(1-(Assumptions!$C$25+0.06*(1-$I916))-Assumptions!$C$27)-Assumptions!$C$28)*Assumptions!$C$31)+Assumptions!$C$28-Assumptions!$C$29-$N916*Assumptions!$C$30</f>
        <v>34.16637746</v>
      </c>
      <c r="T916" s="139">
        <f>($O916*(1-(Assumptions!$C$25+0.06*(1-$J916))-Assumptions!$C$27)-Assumptions!$C$28)-MAX(0,($O916*(1-(Assumptions!$C$25+0.06*(1-$J916))-Assumptions!$C$27)-Assumptions!$C$28)*Assumptions!$C$31)+Assumptions!$C$28-Assumptions!$C$29-$O916*Assumptions!$C$30</f>
        <v>105.4857568</v>
      </c>
      <c r="U916" s="139">
        <f>($P916*(1-(Assumptions!$C$25+0.06*(1-$K916))-Assumptions!$C$27)-Assumptions!$C$28)-MAX(0,($P916*(1-(Assumptions!$C$25+0.06*(1-$K916))-Assumptions!$C$27)-Assumptions!$C$28)*Assumptions!$C$31)+Assumptions!$C$28-Assumptions!$C$29-$P916*Assumptions!$C$30</f>
        <v>110.4260202</v>
      </c>
      <c r="V916" s="143">
        <f>(($Q916/(1+$D916)^1+$R916/(1+$D916)^2+$S916/(1+$D916)^3+$T916/(1+$D916)^4+$U916/(1+$D916)^5+$U916*(1+$E916)/($D916-$E916)/(1+$D916)^5)-Assumptions!$C$37)/Assumptions!$C$40/Assumptions!$C$38</f>
        <v>3.597164521</v>
      </c>
    </row>
    <row r="917" ht="12.0" customHeight="1">
      <c r="B917" s="139">
        <v>865.0</v>
      </c>
      <c r="C917" s="140">
        <f t="shared" si="6"/>
        <v>0.1920113219</v>
      </c>
      <c r="D917" s="141">
        <f t="shared" si="7"/>
        <v>0.0930679513</v>
      </c>
      <c r="E917" s="141">
        <f t="shared" si="8"/>
        <v>0.0238565125</v>
      </c>
      <c r="F917" s="140">
        <f t="shared" si="9"/>
        <v>0.1577839164</v>
      </c>
      <c r="G917" s="141">
        <f t="shared" si="10"/>
        <v>0.04685262738</v>
      </c>
      <c r="H917" s="142">
        <f t="shared" si="11"/>
        <v>1</v>
      </c>
      <c r="I917" s="142">
        <f t="shared" si="12"/>
        <v>1</v>
      </c>
      <c r="J917" s="142">
        <f t="shared" si="13"/>
        <v>0</v>
      </c>
      <c r="K917" s="142">
        <f t="shared" si="14"/>
        <v>1</v>
      </c>
      <c r="L917" s="139">
        <f>Assumptions!$C$6*Assumptions!$C$7*(1+$G917-0.05*(1-1))^1+Assumptions!$C$6*Assumptions!$C$8*(1+Assumptions!$C$11)^1+Assumptions!$C$16*1+Assumptions!$C$6*Assumptions!$C$9*(1+Assumptions!$C$12)^1</f>
        <v>742.2385944</v>
      </c>
      <c r="M917" s="139">
        <f>Assumptions!$C$6*Assumptions!$C$7*(1+$G917-0.05*(1-$H917))^2+Assumptions!$C$6*Assumptions!$C$8*(1+Assumptions!$C$11)^2+Assumptions!$C$16*$H917+Assumptions!$C$6*Assumptions!$C$9*(1+Assumptions!$C$12)^2</f>
        <v>765.3454425</v>
      </c>
      <c r="N917" s="139">
        <f>Assumptions!$C$6*Assumptions!$C$7*(1+$G917-0.05*(1-$I917))^3+Assumptions!$C$6*Assumptions!$C$8*(1+Assumptions!$C$11)^3+Assumptions!$C$16*$I917+Assumptions!$C$6*Assumptions!$C$9*(1+Assumptions!$C$12)^3</f>
        <v>789.3577508</v>
      </c>
      <c r="O917" s="139">
        <f>Assumptions!$C$6*Assumptions!$C$7*(1+$G917-0.05*(1-$J917))^4+Assumptions!$C$6*Assumptions!$C$8*(1+Assumptions!$C$11)^4+Assumptions!$C$16*$J917+Assumptions!$C$6*Assumptions!$C$9*(1+Assumptions!$C$12)^4</f>
        <v>682.4409022</v>
      </c>
      <c r="P917" s="139">
        <f>Assumptions!$C$6*Assumptions!$C$7*(1+$G917-0.05*(1-$K917))^5+Assumptions!$C$6*Assumptions!$C$8*(1+Assumptions!$C$11)^5+Assumptions!$C$16*$K917+Assumptions!$C$6*Assumptions!$C$9*(1+Assumptions!$C$12)^5</f>
        <v>840.2560186</v>
      </c>
      <c r="Q917" s="139">
        <f>($L917*(1-(Assumptions!$C$25+0.06*(1-1))-Assumptions!$C$27)-Assumptions!$C$28)-MAX(0,($L917*(1-(Assumptions!$C$25+0.06*(1-1))-Assumptions!$C$27)-Assumptions!$C$28)*Assumptions!$C$31)+Assumptions!$C$28-Assumptions!$C$29-$L917*Assumptions!$C$30</f>
        <v>92.08129779</v>
      </c>
      <c r="R917" s="139">
        <f>($M917*(1-(Assumptions!$C$25+0.06*(1-$H917))-Assumptions!$C$27)-Assumptions!$C$28)-MAX(0,($M917*(1-(Assumptions!$C$25+0.06*(1-$H917))-Assumptions!$C$27)-Assumptions!$C$28)*Assumptions!$C$31)+Assumptions!$C$28-Assumptions!$C$29-$M917*Assumptions!$C$30</f>
        <v>97.04927014</v>
      </c>
      <c r="S917" s="139">
        <f>($N917*(1-(Assumptions!$C$25+0.06*(1-$I917))-Assumptions!$C$27)-Assumptions!$C$28)-MAX(0,($N917*(1-(Assumptions!$C$25+0.06*(1-$I917))-Assumptions!$C$27)-Assumptions!$C$28)*Assumptions!$C$31)+Assumptions!$C$28-Assumptions!$C$29-$N917*Assumptions!$C$30</f>
        <v>102.2119164</v>
      </c>
      <c r="T917" s="139">
        <f>($O917*(1-(Assumptions!$C$25+0.06*(1-$J917))-Assumptions!$C$27)-Assumptions!$C$28)-MAX(0,($O917*(1-(Assumptions!$C$25+0.06*(1-$J917))-Assumptions!$C$27)-Assumptions!$C$28)*Assumptions!$C$31)+Assumptions!$C$28-Assumptions!$C$29-$O917*Assumptions!$C$30</f>
        <v>36.9614075</v>
      </c>
      <c r="U917" s="139">
        <f>($P917*(1-(Assumptions!$C$25+0.06*(1-$K917))-Assumptions!$C$27)-Assumptions!$C$28)-MAX(0,($P917*(1-(Assumptions!$C$25+0.06*(1-$K917))-Assumptions!$C$27)-Assumptions!$C$28)*Assumptions!$C$31)+Assumptions!$C$28-Assumptions!$C$29-$P917*Assumptions!$C$30</f>
        <v>113.155044</v>
      </c>
      <c r="V917" s="143">
        <f>(($Q917/(1+$D917)^1+$R917/(1+$D917)^2+$S917/(1+$D917)^3+$T917/(1+$D917)^4+$U917/(1+$D917)^5+$U917*(1+$E917)/($D917-$E917)/(1+$D917)^5)-Assumptions!$C$37)/Assumptions!$C$40/Assumptions!$C$38</f>
        <v>5.643762267</v>
      </c>
    </row>
    <row r="918" ht="12.0" customHeight="1">
      <c r="B918" s="139">
        <v>866.0</v>
      </c>
      <c r="C918" s="140">
        <f t="shared" si="6"/>
        <v>0.4250623187</v>
      </c>
      <c r="D918" s="141">
        <f t="shared" si="7"/>
        <v>0.09704060025</v>
      </c>
      <c r="E918" s="141">
        <f t="shared" si="8"/>
        <v>0.02765627022</v>
      </c>
      <c r="F918" s="140">
        <f t="shared" si="9"/>
        <v>0.03009954186</v>
      </c>
      <c r="G918" s="141">
        <f t="shared" si="10"/>
        <v>0.03736065047</v>
      </c>
      <c r="H918" s="142">
        <f t="shared" si="11"/>
        <v>1</v>
      </c>
      <c r="I918" s="142">
        <f t="shared" si="12"/>
        <v>1</v>
      </c>
      <c r="J918" s="142">
        <f t="shared" si="13"/>
        <v>1</v>
      </c>
      <c r="K918" s="142">
        <f t="shared" si="14"/>
        <v>1</v>
      </c>
      <c r="L918" s="139">
        <f>Assumptions!$C$6*Assumptions!$C$7*(1+$G918-0.05*(1-1))^1+Assumptions!$C$6*Assumptions!$C$8*(1+Assumptions!$C$11)^1+Assumptions!$C$16*1+Assumptions!$C$6*Assumptions!$C$9*(1+Assumptions!$C$12)^1</f>
        <v>739.0435949</v>
      </c>
      <c r="M918" s="139">
        <f>Assumptions!$C$6*Assumptions!$C$7*(1+$G918-0.05*(1-$H918))^2+Assumptions!$C$6*Assumptions!$C$8*(1+Assumptions!$C$11)^2+Assumptions!$C$16*$H918+Assumptions!$C$6*Assumptions!$C$9*(1+Assumptions!$C$12)^2</f>
        <v>758.6863823</v>
      </c>
      <c r="N918" s="139">
        <f>Assumptions!$C$6*Assumptions!$C$7*(1+$G918-0.05*(1-$I918))^3+Assumptions!$C$6*Assumptions!$C$8*(1+Assumptions!$C$11)^3+Assumptions!$C$16*$I918+Assumptions!$C$6*Assumptions!$C$9*(1+Assumptions!$C$12)^3</f>
        <v>778.9485025</v>
      </c>
      <c r="O918" s="139">
        <f>Assumptions!$C$6*Assumptions!$C$7*(1+$G918-0.05*(1-$J918))^4+Assumptions!$C$6*Assumptions!$C$8*(1+Assumptions!$C$11)^4+Assumptions!$C$16*$J918+Assumptions!$C$6*Assumptions!$C$9*(1+Assumptions!$C$12)^4</f>
        <v>799.8508036</v>
      </c>
      <c r="P918" s="139">
        <f>Assumptions!$C$6*Assumptions!$C$7*(1+$G918-0.05*(1-$K918))^5+Assumptions!$C$6*Assumptions!$C$8*(1+Assumptions!$C$11)^5+Assumptions!$C$16*$K918+Assumptions!$C$6*Assumptions!$C$9*(1+Assumptions!$C$12)^5</f>
        <v>821.4148665</v>
      </c>
      <c r="Q918" s="139">
        <f>($L918*(1-(Assumptions!$C$25+0.06*(1-1))-Assumptions!$C$27)-Assumptions!$C$28)-MAX(0,($L918*(1-(Assumptions!$C$25+0.06*(1-1))-Assumptions!$C$27)-Assumptions!$C$28)*Assumptions!$C$31)+Assumptions!$C$28-Assumptions!$C$29-$L918*Assumptions!$C$30</f>
        <v>91.39437291</v>
      </c>
      <c r="R918" s="139">
        <f>($M918*(1-(Assumptions!$C$25+0.06*(1-$H918))-Assumptions!$C$27)-Assumptions!$C$28)-MAX(0,($M918*(1-(Assumptions!$C$25+0.06*(1-$H918))-Assumptions!$C$27)-Assumptions!$C$28)*Assumptions!$C$31)+Assumptions!$C$28-Assumptions!$C$29-$M918*Assumptions!$C$30</f>
        <v>95.6175722</v>
      </c>
      <c r="S918" s="139">
        <f>($N918*(1-(Assumptions!$C$25+0.06*(1-$I918))-Assumptions!$C$27)-Assumptions!$C$28)-MAX(0,($N918*(1-(Assumptions!$C$25+0.06*(1-$I918))-Assumptions!$C$27)-Assumptions!$C$28)*Assumptions!$C$31)+Assumptions!$C$28-Assumptions!$C$29-$N918*Assumptions!$C$30</f>
        <v>99.97392804</v>
      </c>
      <c r="T918" s="139">
        <f>($O918*(1-(Assumptions!$C$25+0.06*(1-$J918))-Assumptions!$C$27)-Assumptions!$C$28)-MAX(0,($O918*(1-(Assumptions!$C$25+0.06*(1-$J918))-Assumptions!$C$27)-Assumptions!$C$28)*Assumptions!$C$31)+Assumptions!$C$28-Assumptions!$C$29-$O918*Assumptions!$C$30</f>
        <v>104.4679228</v>
      </c>
      <c r="U918" s="139">
        <f>($P918*(1-(Assumptions!$C$25+0.06*(1-$K918))-Assumptions!$C$27)-Assumptions!$C$28)-MAX(0,($P918*(1-(Assumptions!$C$25+0.06*(1-$K918))-Assumptions!$C$27)-Assumptions!$C$28)*Assumptions!$C$31)+Assumptions!$C$28-Assumptions!$C$29-$P918*Assumptions!$C$30</f>
        <v>109.1041963</v>
      </c>
      <c r="V918" s="143">
        <f>(($Q918/(1+$D918)^1+$R918/(1+$D918)^2+$S918/(1+$D918)^3+$T918/(1+$D918)^4+$U918/(1+$D918)^5+$U918*(1+$E918)/($D918-$E918)/(1+$D918)^5)-Assumptions!$C$37)/Assumptions!$C$40/Assumptions!$C$38</f>
        <v>5.498327078</v>
      </c>
    </row>
    <row r="919" ht="12.0" customHeight="1">
      <c r="B919" s="139">
        <v>867.0</v>
      </c>
      <c r="C919" s="140">
        <f t="shared" si="6"/>
        <v>0.6839885175</v>
      </c>
      <c r="D919" s="141">
        <f t="shared" si="7"/>
        <v>0.1016852547</v>
      </c>
      <c r="E919" s="141">
        <f t="shared" si="8"/>
        <v>0.02698679818</v>
      </c>
      <c r="F919" s="140">
        <f t="shared" si="9"/>
        <v>0.71263249</v>
      </c>
      <c r="G919" s="141">
        <f t="shared" si="10"/>
        <v>0.06725661595</v>
      </c>
      <c r="H919" s="142">
        <f t="shared" si="11"/>
        <v>0</v>
      </c>
      <c r="I919" s="142">
        <f t="shared" si="12"/>
        <v>1</v>
      </c>
      <c r="J919" s="142">
        <f t="shared" si="13"/>
        <v>0</v>
      </c>
      <c r="K919" s="142">
        <f t="shared" si="14"/>
        <v>1</v>
      </c>
      <c r="L919" s="139">
        <f>Assumptions!$C$6*Assumptions!$C$7*(1+$G919-0.05*(1-1))^1+Assumptions!$C$6*Assumptions!$C$8*(1+Assumptions!$C$11)^1+Assumptions!$C$16*1+Assumptions!$C$6*Assumptions!$C$9*(1+Assumptions!$C$12)^1</f>
        <v>749.1065769</v>
      </c>
      <c r="M919" s="139">
        <f>Assumptions!$C$6*Assumptions!$C$7*(1+$G919-0.05*(1-$H919))^2+Assumptions!$C$6*Assumptions!$C$8*(1+Assumptions!$C$11)^2+Assumptions!$C$16*$H919+Assumptions!$C$6*Assumptions!$C$9*(1+Assumptions!$C$12)^2</f>
        <v>684.7827502</v>
      </c>
      <c r="N919" s="139">
        <f>Assumptions!$C$6*Assumptions!$C$7*(1+$G919-0.05*(1-$I919))^3+Assumptions!$C$6*Assumptions!$C$8*(1+Assumptions!$C$11)^3+Assumptions!$C$16*$I919+Assumptions!$C$6*Assumptions!$C$9*(1+Assumptions!$C$12)^3</f>
        <v>812.3805847</v>
      </c>
      <c r="O919" s="139">
        <f>Assumptions!$C$6*Assumptions!$C$7*(1+$G919-0.05*(1-$J919))^4+Assumptions!$C$6*Assumptions!$C$8*(1+Assumptions!$C$11)^4+Assumptions!$C$16*$J919+Assumptions!$C$6*Assumptions!$C$9*(1+Assumptions!$C$12)^4</f>
        <v>710.5012354</v>
      </c>
      <c r="P919" s="139">
        <f>Assumptions!$C$6*Assumptions!$C$7*(1+$G919-0.05*(1-$K919))^5+Assumptions!$C$6*Assumptions!$C$8*(1+Assumptions!$C$11)^5+Assumptions!$C$16*$K919+Assumptions!$C$6*Assumptions!$C$9*(1+Assumptions!$C$12)^5</f>
        <v>883.1375025</v>
      </c>
      <c r="Q919" s="139">
        <f>($L919*(1-(Assumptions!$C$25+0.06*(1-1))-Assumptions!$C$27)-Assumptions!$C$28)-MAX(0,($L919*(1-(Assumptions!$C$25+0.06*(1-1))-Assumptions!$C$27)-Assumptions!$C$28)*Assumptions!$C$31)+Assumptions!$C$28-Assumptions!$C$29-$L919*Assumptions!$C$30</f>
        <v>93.55791404</v>
      </c>
      <c r="R919" s="139">
        <f>($M919*(1-(Assumptions!$C$25+0.06*(1-$H919))-Assumptions!$C$27)-Assumptions!$C$28)-MAX(0,($M919*(1-(Assumptions!$C$25+0.06*(1-$H919))-Assumptions!$C$27)-Assumptions!$C$28)*Assumptions!$C$31)+Assumptions!$C$28-Assumptions!$C$29-$M919*Assumptions!$C$30</f>
        <v>37.50003256</v>
      </c>
      <c r="S919" s="139">
        <f>($N919*(1-(Assumptions!$C$25+0.06*(1-$I919))-Assumptions!$C$27)-Assumptions!$C$28)-MAX(0,($N919*(1-(Assumptions!$C$25+0.06*(1-$I919))-Assumptions!$C$27)-Assumptions!$C$28)*Assumptions!$C$31)+Assumptions!$C$28-Assumptions!$C$29-$N919*Assumptions!$C$30</f>
        <v>107.1618257</v>
      </c>
      <c r="T919" s="139">
        <f>($O919*(1-(Assumptions!$C$25+0.06*(1-$J919))-Assumptions!$C$27)-Assumptions!$C$28)-MAX(0,($O919*(1-(Assumptions!$C$25+0.06*(1-$J919))-Assumptions!$C$27)-Assumptions!$C$28)*Assumptions!$C$31)+Assumptions!$C$28-Assumptions!$C$29-$O919*Assumptions!$C$30</f>
        <v>43.41528413</v>
      </c>
      <c r="U919" s="139">
        <f>($P919*(1-(Assumptions!$C$25+0.06*(1-$K919))-Assumptions!$C$27)-Assumptions!$C$28)-MAX(0,($P919*(1-(Assumptions!$C$25+0.06*(1-$K919))-Assumptions!$C$27)-Assumptions!$C$28)*Assumptions!$C$31)+Assumptions!$C$28-Assumptions!$C$29-$P919*Assumptions!$C$30</f>
        <v>122.374563</v>
      </c>
      <c r="V919" s="143">
        <f>(($Q919/(1+$D919)^1+$R919/(1+$D919)^2+$S919/(1+$D919)^3+$T919/(1+$D919)^4+$U919/(1+$D919)^5+$U919*(1+$E919)/($D919-$E919)/(1+$D919)^5)-Assumptions!$C$37)/Assumptions!$C$40/Assumptions!$C$38</f>
        <v>5.040184876</v>
      </c>
    </row>
    <row r="920" ht="12.0" customHeight="1">
      <c r="B920" s="139">
        <v>868.0</v>
      </c>
      <c r="C920" s="140">
        <f t="shared" si="6"/>
        <v>0.2672150874</v>
      </c>
      <c r="D920" s="141">
        <f t="shared" si="7"/>
        <v>0.0945176633</v>
      </c>
      <c r="E920" s="141">
        <f t="shared" si="8"/>
        <v>0.02806359925</v>
      </c>
      <c r="F920" s="140">
        <f t="shared" si="9"/>
        <v>0.8660203179</v>
      </c>
      <c r="G920" s="141">
        <f t="shared" si="10"/>
        <v>0.07447056254</v>
      </c>
      <c r="H920" s="142">
        <f t="shared" si="11"/>
        <v>1</v>
      </c>
      <c r="I920" s="142">
        <f t="shared" si="12"/>
        <v>0</v>
      </c>
      <c r="J920" s="142">
        <f t="shared" si="13"/>
        <v>0</v>
      </c>
      <c r="K920" s="142">
        <f t="shared" si="14"/>
        <v>0</v>
      </c>
      <c r="L920" s="139">
        <f>Assumptions!$C$6*Assumptions!$C$7*(1+$G920-0.05*(1-1))^1+Assumptions!$C$6*Assumptions!$C$8*(1+Assumptions!$C$11)^1+Assumptions!$C$16*1+Assumptions!$C$6*Assumptions!$C$9*(1+Assumptions!$C$12)^1</f>
        <v>751.5347914</v>
      </c>
      <c r="M920" s="139">
        <f>Assumptions!$C$6*Assumptions!$C$7*(1+$G920-0.05*(1-$H920))^2+Assumptions!$C$6*Assumptions!$C$8*(1+Assumptions!$C$11)^2+Assumptions!$C$16*$H920+Assumptions!$C$6*Assumptions!$C$9*(1+Assumptions!$C$12)^2</f>
        <v>785.0656808</v>
      </c>
      <c r="N920" s="139">
        <f>Assumptions!$C$6*Assumptions!$C$7*(1+$G920-0.05*(1-$I920))^3+Assumptions!$C$6*Assumptions!$C$8*(1+Assumptions!$C$11)^3+Assumptions!$C$16*$I920+Assumptions!$C$6*Assumptions!$C$9*(1+Assumptions!$C$12)^3</f>
        <v>705.1146503</v>
      </c>
      <c r="O920" s="139">
        <f>Assumptions!$C$6*Assumptions!$C$7*(1+$G920-0.05*(1-$J920))^4+Assumptions!$C$6*Assumptions!$C$8*(1+Assumptions!$C$11)^4+Assumptions!$C$16*$J920+Assumptions!$C$6*Assumptions!$C$9*(1+Assumptions!$C$12)^4</f>
        <v>720.8349292</v>
      </c>
      <c r="P920" s="139">
        <f>Assumptions!$C$6*Assumptions!$C$7*(1+$G920-0.05*(1-$K920))^5+Assumptions!$C$6*Assumptions!$C$8*(1+Assumptions!$C$11)^5+Assumptions!$C$16*$K920+Assumptions!$C$6*Assumptions!$C$9*(1+Assumptions!$C$12)^5</f>
        <v>736.9092067</v>
      </c>
      <c r="Q920" s="139">
        <f>($L920*(1-(Assumptions!$C$25+0.06*(1-1))-Assumptions!$C$27)-Assumptions!$C$28)-MAX(0,($L920*(1-(Assumptions!$C$25+0.06*(1-1))-Assumptions!$C$27)-Assumptions!$C$28)*Assumptions!$C$31)+Assumptions!$C$28-Assumptions!$C$29-$L920*Assumptions!$C$30</f>
        <v>94.07998014</v>
      </c>
      <c r="R920" s="139">
        <f>($M920*(1-(Assumptions!$C$25+0.06*(1-$H920))-Assumptions!$C$27)-Assumptions!$C$28)-MAX(0,($M920*(1-(Assumptions!$C$25+0.06*(1-$H920))-Assumptions!$C$27)-Assumptions!$C$28)*Assumptions!$C$31)+Assumptions!$C$28-Assumptions!$C$29-$M920*Assumptions!$C$30</f>
        <v>101.2891214</v>
      </c>
      <c r="S920" s="139">
        <f>($N920*(1-(Assumptions!$C$25+0.06*(1-$I920))-Assumptions!$C$27)-Assumptions!$C$28)-MAX(0,($N920*(1-(Assumptions!$C$25+0.06*(1-$I920))-Assumptions!$C$27)-Assumptions!$C$28)*Assumptions!$C$31)+Assumptions!$C$28-Assumptions!$C$29-$N920*Assumptions!$C$30</f>
        <v>42.17636956</v>
      </c>
      <c r="T920" s="139">
        <f>($O920*(1-(Assumptions!$C$25+0.06*(1-$J920))-Assumptions!$C$27)-Assumptions!$C$28)-MAX(0,($O920*(1-(Assumptions!$C$25+0.06*(1-$J920))-Assumptions!$C$27)-Assumptions!$C$28)*Assumptions!$C$31)+Assumptions!$C$28-Assumptions!$C$29-$O920*Assumptions!$C$30</f>
        <v>45.79203371</v>
      </c>
      <c r="U920" s="139">
        <f>($P920*(1-(Assumptions!$C$25+0.06*(1-$K920))-Assumptions!$C$27)-Assumptions!$C$28)-MAX(0,($P920*(1-(Assumptions!$C$25+0.06*(1-$K920))-Assumptions!$C$27)-Assumptions!$C$28)*Assumptions!$C$31)+Assumptions!$C$28-Assumptions!$C$29-$P920*Assumptions!$C$30</f>
        <v>49.48911754</v>
      </c>
      <c r="V920" s="143">
        <f>(($Q920/(1+$D920)^1+$R920/(1+$D920)^2+$S920/(1+$D920)^3+$T920/(1+$D920)^4+$U920/(1+$D920)^5+$U920*(1+$E920)/($D920-$E920)/(1+$D920)^5)-Assumptions!$C$37)/Assumptions!$C$40/Assumptions!$C$38</f>
        <v>0.4822584207</v>
      </c>
    </row>
    <row r="921" ht="12.0" customHeight="1">
      <c r="B921" s="139">
        <v>869.0</v>
      </c>
      <c r="C921" s="140">
        <f t="shared" si="6"/>
        <v>0.0854143327</v>
      </c>
      <c r="D921" s="141">
        <f t="shared" si="7"/>
        <v>0.09038102767</v>
      </c>
      <c r="E921" s="141">
        <f t="shared" si="8"/>
        <v>0.01654849678</v>
      </c>
      <c r="F921" s="140">
        <f t="shared" si="9"/>
        <v>0.3312371782</v>
      </c>
      <c r="G921" s="141">
        <f t="shared" si="10"/>
        <v>0.05441775831</v>
      </c>
      <c r="H921" s="142">
        <f t="shared" si="11"/>
        <v>1</v>
      </c>
      <c r="I921" s="142">
        <f t="shared" si="12"/>
        <v>0</v>
      </c>
      <c r="J921" s="142">
        <f t="shared" si="13"/>
        <v>1</v>
      </c>
      <c r="K921" s="142">
        <f t="shared" si="14"/>
        <v>0</v>
      </c>
      <c r="L921" s="139">
        <f>Assumptions!$C$6*Assumptions!$C$7*(1+$G921-0.05*(1-1))^1+Assumptions!$C$6*Assumptions!$C$8*(1+Assumptions!$C$11)^1+Assumptions!$C$16*1+Assumptions!$C$6*Assumptions!$C$9*(1+Assumptions!$C$12)^1</f>
        <v>744.7850174</v>
      </c>
      <c r="M921" s="139">
        <f>Assumptions!$C$6*Assumptions!$C$7*(1+$G921-0.05*(1-$H921))^2+Assumptions!$C$6*Assumptions!$C$8*(1+Assumptions!$C$11)^2+Assumptions!$C$16*$H921+Assumptions!$C$6*Assumptions!$C$9*(1+Assumptions!$C$12)^2</f>
        <v>770.6961659</v>
      </c>
      <c r="N921" s="139">
        <f>Assumptions!$C$6*Assumptions!$C$7*(1+$G921-0.05*(1-$I921))^3+Assumptions!$C$6*Assumptions!$C$8*(1+Assumptions!$C$11)^3+Assumptions!$C$16*$I921+Assumptions!$C$6*Assumptions!$C$9*(1+Assumptions!$C$12)^3</f>
        <v>684.2754564</v>
      </c>
      <c r="O921" s="139">
        <f>Assumptions!$C$6*Assumptions!$C$7*(1+$G921-0.05*(1-$J921))^4+Assumptions!$C$6*Assumptions!$C$8*(1+Assumptions!$C$11)^4+Assumptions!$C$16*$J921+Assumptions!$C$6*Assumptions!$C$9*(1+Assumptions!$C$12)^4</f>
        <v>826.1271764</v>
      </c>
      <c r="P921" s="139">
        <f>Assumptions!$C$6*Assumptions!$C$7*(1+$G921-0.05*(1-$K921))^5+Assumptions!$C$6*Assumptions!$C$8*(1+Assumptions!$C$11)^5+Assumptions!$C$16*$K921+Assumptions!$C$6*Assumptions!$C$9*(1+Assumptions!$C$12)^5</f>
        <v>701.1608027</v>
      </c>
      <c r="Q921" s="139">
        <f>($L921*(1-(Assumptions!$C$25+0.06*(1-1))-Assumptions!$C$27)-Assumptions!$C$28)-MAX(0,($L921*(1-(Assumptions!$C$25+0.06*(1-1))-Assumptions!$C$27)-Assumptions!$C$28)*Assumptions!$C$31)+Assumptions!$C$28-Assumptions!$C$29-$L921*Assumptions!$C$30</f>
        <v>92.62877875</v>
      </c>
      <c r="R921" s="139">
        <f>($M921*(1-(Assumptions!$C$25+0.06*(1-$H921))-Assumptions!$C$27)-Assumptions!$C$28)-MAX(0,($M921*(1-(Assumptions!$C$25+0.06*(1-$H921))-Assumptions!$C$27)-Assumptions!$C$28)*Assumptions!$C$31)+Assumptions!$C$28-Assumptions!$C$29-$M921*Assumptions!$C$30</f>
        <v>98.19967567</v>
      </c>
      <c r="S921" s="139">
        <f>($N921*(1-(Assumptions!$C$25+0.06*(1-$I921))-Assumptions!$C$27)-Assumptions!$C$28)-MAX(0,($N921*(1-(Assumptions!$C$25+0.06*(1-$I921))-Assumptions!$C$27)-Assumptions!$C$28)*Assumptions!$C$31)+Assumptions!$C$28-Assumptions!$C$29-$N921*Assumptions!$C$30</f>
        <v>37.38335497</v>
      </c>
      <c r="T921" s="139">
        <f>($O921*(1-(Assumptions!$C$25+0.06*(1-$J921))-Assumptions!$C$27)-Assumptions!$C$28)-MAX(0,($O921*(1-(Assumptions!$C$25+0.06*(1-$J921))-Assumptions!$C$27)-Assumptions!$C$28)*Assumptions!$C$31)+Assumptions!$C$28-Assumptions!$C$29-$O921*Assumptions!$C$30</f>
        <v>110.1173429</v>
      </c>
      <c r="U921" s="139">
        <f>($P921*(1-(Assumptions!$C$25+0.06*(1-$K921))-Assumptions!$C$27)-Assumptions!$C$28)-MAX(0,($P921*(1-(Assumptions!$C$25+0.06*(1-$K921))-Assumptions!$C$27)-Assumptions!$C$28)*Assumptions!$C$31)+Assumptions!$C$28-Assumptions!$C$29-$P921*Assumptions!$C$30</f>
        <v>41.26698462</v>
      </c>
      <c r="V921" s="143">
        <f>(($Q921/(1+$D921)^1+$R921/(1+$D921)^2+$S921/(1+$D921)^3+$T921/(1+$D921)^4+$U921/(1+$D921)^5+$U921*(1+$E921)/($D921-$E921)/(1+$D921)^5)-Assumptions!$C$37)/Assumptions!$C$40/Assumptions!$C$38</f>
        <v>-0.1717811321</v>
      </c>
    </row>
    <row r="922" ht="12.0" customHeight="1">
      <c r="B922" s="139">
        <v>870.0</v>
      </c>
      <c r="C922" s="140">
        <f t="shared" si="6"/>
        <v>0.5484567005</v>
      </c>
      <c r="D922" s="141">
        <f t="shared" si="7"/>
        <v>0.09908410257</v>
      </c>
      <c r="E922" s="141">
        <f t="shared" si="8"/>
        <v>0.01021325883</v>
      </c>
      <c r="F922" s="140">
        <f t="shared" si="9"/>
        <v>0.7963099958</v>
      </c>
      <c r="G922" s="141">
        <f t="shared" si="10"/>
        <v>0.07085210175</v>
      </c>
      <c r="H922" s="142">
        <f t="shared" si="11"/>
        <v>1</v>
      </c>
      <c r="I922" s="142">
        <f t="shared" si="12"/>
        <v>1</v>
      </c>
      <c r="J922" s="142">
        <f t="shared" si="13"/>
        <v>0</v>
      </c>
      <c r="K922" s="142">
        <f t="shared" si="14"/>
        <v>0</v>
      </c>
      <c r="L922" s="139">
        <f>Assumptions!$C$6*Assumptions!$C$7*(1+$G922-0.05*(1-1))^1+Assumptions!$C$6*Assumptions!$C$8*(1+Assumptions!$C$11)^1+Assumptions!$C$16*1+Assumptions!$C$6*Assumptions!$C$9*(1+Assumptions!$C$12)^1</f>
        <v>750.3168174</v>
      </c>
      <c r="M922" s="139">
        <f>Assumptions!$C$6*Assumptions!$C$7*(1+$G922-0.05*(1-$H922))^2+Assumptions!$C$6*Assumptions!$C$8*(1+Assumptions!$C$11)^2+Assumptions!$C$16*$H922+Assumptions!$C$6*Assumptions!$C$9*(1+Assumptions!$C$12)^2</f>
        <v>782.4527337</v>
      </c>
      <c r="N922" s="139">
        <f>Assumptions!$C$6*Assumptions!$C$7*(1+$G922-0.05*(1-$I922))^3+Assumptions!$C$6*Assumptions!$C$8*(1+Assumptions!$C$11)^3+Assumptions!$C$16*$I922+Assumptions!$C$6*Assumptions!$C$9*(1+Assumptions!$C$12)^3</f>
        <v>816.5300576</v>
      </c>
      <c r="O922" s="139">
        <f>Assumptions!$C$6*Assumptions!$C$7*(1+$G922-0.05*(1-$J922))^4+Assumptions!$C$6*Assumptions!$C$8*(1+Assumptions!$C$11)^4+Assumptions!$C$16*$J922+Assumptions!$C$6*Assumptions!$C$9*(1+Assumptions!$C$12)^4</f>
        <v>715.624244</v>
      </c>
      <c r="P922" s="139">
        <f>Assumptions!$C$6*Assumptions!$C$7*(1+$G922-0.05*(1-$K922))^5+Assumptions!$C$6*Assumptions!$C$8*(1+Assumptions!$C$11)^5+Assumptions!$C$16*$K922+Assumptions!$C$6*Assumptions!$C$9*(1+Assumptions!$C$12)^5</f>
        <v>730.248228</v>
      </c>
      <c r="Q922" s="139">
        <f>($L922*(1-(Assumptions!$C$25+0.06*(1-1))-Assumptions!$C$27)-Assumptions!$C$28)-MAX(0,($L922*(1-(Assumptions!$C$25+0.06*(1-1))-Assumptions!$C$27)-Assumptions!$C$28)*Assumptions!$C$31)+Assumptions!$C$28-Assumptions!$C$29-$L922*Assumptions!$C$30</f>
        <v>93.81811575</v>
      </c>
      <c r="R922" s="139">
        <f>($M922*(1-(Assumptions!$C$25+0.06*(1-$H922))-Assumptions!$C$27)-Assumptions!$C$28)-MAX(0,($M922*(1-(Assumptions!$C$25+0.06*(1-$H922))-Assumptions!$C$27)-Assumptions!$C$28)*Assumptions!$C$31)+Assumptions!$C$28-Assumptions!$C$29-$M922*Assumptions!$C$30</f>
        <v>100.7273378</v>
      </c>
      <c r="S922" s="139">
        <f>($N922*(1-(Assumptions!$C$25+0.06*(1-$I922))-Assumptions!$C$27)-Assumptions!$C$28)-MAX(0,($N922*(1-(Assumptions!$C$25+0.06*(1-$I922))-Assumptions!$C$27)-Assumptions!$C$28)*Assumptions!$C$31)+Assumptions!$C$28-Assumptions!$C$29-$N922*Assumptions!$C$30</f>
        <v>108.0539624</v>
      </c>
      <c r="T922" s="139">
        <f>($O922*(1-(Assumptions!$C$25+0.06*(1-$J922))-Assumptions!$C$27)-Assumptions!$C$28)-MAX(0,($O922*(1-(Assumptions!$C$25+0.06*(1-$J922))-Assumptions!$C$27)-Assumptions!$C$28)*Assumptions!$C$31)+Assumptions!$C$28-Assumptions!$C$29-$O922*Assumptions!$C$30</f>
        <v>44.59357611</v>
      </c>
      <c r="U922" s="139">
        <f>($P922*(1-(Assumptions!$C$25+0.06*(1-$K922))-Assumptions!$C$27)-Assumptions!$C$28)-MAX(0,($P922*(1-(Assumptions!$C$25+0.06*(1-$K922))-Assumptions!$C$27)-Assumptions!$C$28)*Assumptions!$C$31)+Assumptions!$C$28-Assumptions!$C$29-$P922*Assumptions!$C$30</f>
        <v>47.95709244</v>
      </c>
      <c r="V922" s="143">
        <f>(($Q922/(1+$D922)^1+$R922/(1+$D922)^2+$S922/(1+$D922)^3+$T922/(1+$D922)^4+$U922/(1+$D922)^5+$U922*(1+$E922)/($D922-$E922)/(1+$D922)^5)-Assumptions!$C$37)/Assumptions!$C$40/Assumptions!$C$38</f>
        <v>-0.3215808557</v>
      </c>
    </row>
    <row r="923" ht="12.0" customHeight="1">
      <c r="B923" s="139">
        <v>871.0</v>
      </c>
      <c r="C923" s="140">
        <f t="shared" si="6"/>
        <v>0.3270518348</v>
      </c>
      <c r="D923" s="141">
        <f t="shared" si="7"/>
        <v>0.09552950958</v>
      </c>
      <c r="E923" s="141">
        <f t="shared" si="8"/>
        <v>0.0109852869</v>
      </c>
      <c r="F923" s="140">
        <f t="shared" si="9"/>
        <v>0.6557936221</v>
      </c>
      <c r="G923" s="141">
        <f t="shared" si="10"/>
        <v>0.06510880717</v>
      </c>
      <c r="H923" s="142">
        <f t="shared" si="11"/>
        <v>0</v>
      </c>
      <c r="I923" s="142">
        <f t="shared" si="12"/>
        <v>0</v>
      </c>
      <c r="J923" s="142">
        <f t="shared" si="13"/>
        <v>1</v>
      </c>
      <c r="K923" s="142">
        <f t="shared" si="14"/>
        <v>1</v>
      </c>
      <c r="L923" s="139">
        <f>Assumptions!$C$6*Assumptions!$C$7*(1+$G923-0.05*(1-1))^1+Assumptions!$C$6*Assumptions!$C$8*(1+Assumptions!$C$11)^1+Assumptions!$C$16*1+Assumptions!$C$6*Assumptions!$C$9*(1+Assumptions!$C$12)^1</f>
        <v>748.3836245</v>
      </c>
      <c r="M923" s="139">
        <f>Assumptions!$C$6*Assumptions!$C$7*(1+$G923-0.05*(1-$H923))^2+Assumptions!$C$6*Assumptions!$C$8*(1+Assumptions!$C$11)^2+Assumptions!$C$16*$H923+Assumptions!$C$6*Assumptions!$C$9*(1+Assumptions!$C$12)^2</f>
        <v>683.3134467</v>
      </c>
      <c r="N923" s="139">
        <f>Assumptions!$C$6*Assumptions!$C$7*(1+$G923-0.05*(1-$I923))^3+Assumptions!$C$6*Assumptions!$C$8*(1+Assumptions!$C$11)^3+Assumptions!$C$16*$I923+Assumptions!$C$6*Assumptions!$C$9*(1+Assumptions!$C$12)^3</f>
        <v>695.2832148</v>
      </c>
      <c r="O923" s="139">
        <f>Assumptions!$C$6*Assumptions!$C$7*(1+$G923-0.05*(1-$J923))^4+Assumptions!$C$6*Assumptions!$C$8*(1+Assumptions!$C$11)^4+Assumptions!$C$16*$J923+Assumptions!$C$6*Assumptions!$C$9*(1+Assumptions!$C$12)^4</f>
        <v>843.2601235</v>
      </c>
      <c r="P923" s="139">
        <f>Assumptions!$C$6*Assumptions!$C$7*(1+$G923-0.05*(1-$K923))^5+Assumptions!$C$6*Assumptions!$C$8*(1+Assumptions!$C$11)^5+Assumptions!$C$16*$K923+Assumptions!$C$6*Assumptions!$C$9*(1+Assumptions!$C$12)^5</f>
        <v>878.4665317</v>
      </c>
      <c r="Q923" s="139">
        <f>($L923*(1-(Assumptions!$C$25+0.06*(1-1))-Assumptions!$C$27)-Assumptions!$C$28)-MAX(0,($L923*(1-(Assumptions!$C$25+0.06*(1-1))-Assumptions!$C$27)-Assumptions!$C$28)*Assumptions!$C$31)+Assumptions!$C$28-Assumptions!$C$29-$L923*Assumptions!$C$30</f>
        <v>93.40247927</v>
      </c>
      <c r="R923" s="139">
        <f>($M923*(1-(Assumptions!$C$25+0.06*(1-$H923))-Assumptions!$C$27)-Assumptions!$C$28)-MAX(0,($M923*(1-(Assumptions!$C$25+0.06*(1-$H923))-Assumptions!$C$27)-Assumptions!$C$28)*Assumptions!$C$31)+Assumptions!$C$28-Assumptions!$C$29-$M923*Assumptions!$C$30</f>
        <v>37.16209274</v>
      </c>
      <c r="S923" s="139">
        <f>($N923*(1-(Assumptions!$C$25+0.06*(1-$I923))-Assumptions!$C$27)-Assumptions!$C$28)-MAX(0,($N923*(1-(Assumptions!$C$25+0.06*(1-$I923))-Assumptions!$C$27)-Assumptions!$C$28)*Assumptions!$C$31)+Assumptions!$C$28-Assumptions!$C$29-$N923*Assumptions!$C$30</f>
        <v>39.9151394</v>
      </c>
      <c r="T923" s="139">
        <f>($O923*(1-(Assumptions!$C$25+0.06*(1-$J923))-Assumptions!$C$27)-Assumptions!$C$28)-MAX(0,($O923*(1-(Assumptions!$C$25+0.06*(1-$J923))-Assumptions!$C$27)-Assumptions!$C$28)*Assumptions!$C$31)+Assumptions!$C$28-Assumptions!$C$29-$O923*Assumptions!$C$30</f>
        <v>113.8009265</v>
      </c>
      <c r="U923" s="139">
        <f>($P923*(1-(Assumptions!$C$25+0.06*(1-$K923))-Assumptions!$C$27)-Assumptions!$C$28)-MAX(0,($P923*(1-(Assumptions!$C$25+0.06*(1-$K923))-Assumptions!$C$27)-Assumptions!$C$28)*Assumptions!$C$31)+Assumptions!$C$28-Assumptions!$C$29-$P923*Assumptions!$C$30</f>
        <v>121.3703043</v>
      </c>
      <c r="V923" s="143">
        <f>(($Q923/(1+$D923)^1+$R923/(1+$D923)^2+$S923/(1+$D923)^3+$T923/(1+$D923)^4+$U923/(1+$D923)^5+$U923*(1+$E923)/($D923-$E923)/(1+$D923)^5)-Assumptions!$C$37)/Assumptions!$C$40/Assumptions!$C$38</f>
        <v>4.140072914</v>
      </c>
    </row>
    <row r="924" ht="12.0" customHeight="1">
      <c r="B924" s="139">
        <v>872.0</v>
      </c>
      <c r="C924" s="140">
        <f t="shared" si="6"/>
        <v>0.1612304628</v>
      </c>
      <c r="D924" s="141">
        <f t="shared" si="7"/>
        <v>0.09239304585</v>
      </c>
      <c r="E924" s="141">
        <f t="shared" si="8"/>
        <v>0.01451788472</v>
      </c>
      <c r="F924" s="140">
        <f t="shared" si="9"/>
        <v>0.008183479651</v>
      </c>
      <c r="G924" s="141">
        <f t="shared" si="10"/>
        <v>0.03383800252</v>
      </c>
      <c r="H924" s="142">
        <f t="shared" si="11"/>
        <v>0</v>
      </c>
      <c r="I924" s="142">
        <f t="shared" si="12"/>
        <v>1</v>
      </c>
      <c r="J924" s="142">
        <f t="shared" si="13"/>
        <v>0</v>
      </c>
      <c r="K924" s="142">
        <f t="shared" si="14"/>
        <v>0</v>
      </c>
      <c r="L924" s="139">
        <f>Assumptions!$C$6*Assumptions!$C$7*(1+$G924-0.05*(1-1))^1+Assumptions!$C$6*Assumptions!$C$8*(1+Assumptions!$C$11)^1+Assumptions!$C$16*1+Assumptions!$C$6*Assumptions!$C$9*(1+Assumptions!$C$12)^1</f>
        <v>737.8578716</v>
      </c>
      <c r="M924" s="139">
        <f>Assumptions!$C$6*Assumptions!$C$7*(1+$G924-0.05*(1-$H924))^2+Assumptions!$C$6*Assumptions!$C$8*(1+Assumptions!$C$11)^2+Assumptions!$C$16*$H924+Assumptions!$C$6*Assumptions!$C$9*(1+Assumptions!$C$12)^2</f>
        <v>662.2730266</v>
      </c>
      <c r="N924" s="139">
        <f>Assumptions!$C$6*Assumptions!$C$7*(1+$G924-0.05*(1-$I924))^3+Assumptions!$C$6*Assumptions!$C$8*(1+Assumptions!$C$11)^3+Assumptions!$C$16*$I924+Assumptions!$C$6*Assumptions!$C$9*(1+Assumptions!$C$12)^3</f>
        <v>775.1335552</v>
      </c>
      <c r="O924" s="139">
        <f>Assumptions!$C$6*Assumptions!$C$7*(1+$G924-0.05*(1-$J924))^4+Assumptions!$C$6*Assumptions!$C$8*(1+Assumptions!$C$11)^4+Assumptions!$C$16*$J924+Assumptions!$C$6*Assumptions!$C$9*(1+Assumptions!$C$12)^4</f>
        <v>665.4199261</v>
      </c>
      <c r="P924" s="139">
        <f>Assumptions!$C$6*Assumptions!$C$7*(1+$G924-0.05*(1-$K924))^5+Assumptions!$C$6*Assumptions!$C$8*(1+Assumptions!$C$11)^5+Assumptions!$C$16*$K924+Assumptions!$C$6*Assumptions!$C$9*(1+Assumptions!$C$12)^5</f>
        <v>667.3242277</v>
      </c>
      <c r="Q924" s="139">
        <f>($L924*(1-(Assumptions!$C$25+0.06*(1-1))-Assumptions!$C$27)-Assumptions!$C$28)-MAX(0,($L924*(1-(Assumptions!$C$25+0.06*(1-1))-Assumptions!$C$27)-Assumptions!$C$28)*Assumptions!$C$31)+Assumptions!$C$28-Assumptions!$C$29-$L924*Assumptions!$C$30</f>
        <v>91.1394424</v>
      </c>
      <c r="R924" s="139">
        <f>($M924*(1-(Assumptions!$C$25+0.06*(1-$H924))-Assumptions!$C$27)-Assumptions!$C$28)-MAX(0,($M924*(1-(Assumptions!$C$25+0.06*(1-$H924))-Assumptions!$C$27)-Assumptions!$C$28)*Assumptions!$C$31)+Assumptions!$C$28-Assumptions!$C$29-$M924*Assumptions!$C$30</f>
        <v>32.32279613</v>
      </c>
      <c r="S924" s="139">
        <f>($N924*(1-(Assumptions!$C$25+0.06*(1-$I924))-Assumptions!$C$27)-Assumptions!$C$28)-MAX(0,($N924*(1-(Assumptions!$C$25+0.06*(1-$I924))-Assumptions!$C$27)-Assumptions!$C$28)*Assumptions!$C$31)+Assumptions!$C$28-Assumptions!$C$29-$N924*Assumptions!$C$30</f>
        <v>99.15371437</v>
      </c>
      <c r="T924" s="139">
        <f>($O924*(1-(Assumptions!$C$25+0.06*(1-$J924))-Assumptions!$C$27)-Assumptions!$C$28)-MAX(0,($O924*(1-(Assumptions!$C$25+0.06*(1-$J924))-Assumptions!$C$27)-Assumptions!$C$28)*Assumptions!$C$31)+Assumptions!$C$28-Assumptions!$C$29-$O924*Assumptions!$C$30</f>
        <v>33.046583</v>
      </c>
      <c r="U924" s="139">
        <f>($P924*(1-(Assumptions!$C$25+0.06*(1-$K924))-Assumptions!$C$27)-Assumptions!$C$28)-MAX(0,($P924*(1-(Assumptions!$C$25+0.06*(1-$K924))-Assumptions!$C$27)-Assumptions!$C$28)*Assumptions!$C$31)+Assumptions!$C$28-Assumptions!$C$29-$P924*Assumptions!$C$30</f>
        <v>33.48457237</v>
      </c>
      <c r="V924" s="143">
        <f>(($Q924/(1+$D924)^1+$R924/(1+$D924)^2+$S924/(1+$D924)^3+$T924/(1+$D924)^4+$U924/(1+$D924)^5+$U924*(1+$E924)/($D924-$E924)/(1+$D924)^5)-Assumptions!$C$37)/Assumptions!$C$40/Assumptions!$C$38</f>
        <v>-1.404453758</v>
      </c>
    </row>
    <row r="925" ht="12.0" customHeight="1">
      <c r="B925" s="139">
        <v>873.0</v>
      </c>
      <c r="C925" s="140">
        <f t="shared" si="6"/>
        <v>0.9937227653</v>
      </c>
      <c r="D925" s="141">
        <f t="shared" si="7"/>
        <v>0.1131234264</v>
      </c>
      <c r="E925" s="141">
        <f t="shared" si="8"/>
        <v>0.0120126586</v>
      </c>
      <c r="F925" s="140">
        <f t="shared" si="9"/>
        <v>0.6880310118</v>
      </c>
      <c r="G925" s="141">
        <f t="shared" si="10"/>
        <v>0.0663030766</v>
      </c>
      <c r="H925" s="142">
        <f t="shared" si="11"/>
        <v>1</v>
      </c>
      <c r="I925" s="142">
        <f t="shared" si="12"/>
        <v>1</v>
      </c>
      <c r="J925" s="142">
        <f t="shared" si="13"/>
        <v>0</v>
      </c>
      <c r="K925" s="142">
        <f t="shared" si="14"/>
        <v>1</v>
      </c>
      <c r="L925" s="139">
        <f>Assumptions!$C$6*Assumptions!$C$7*(1+$G925-0.05*(1-1))^1+Assumptions!$C$6*Assumptions!$C$8*(1+Assumptions!$C$11)^1+Assumptions!$C$16*1+Assumptions!$C$6*Assumptions!$C$9*(1+Assumptions!$C$12)^1</f>
        <v>748.7856156</v>
      </c>
      <c r="M925" s="139">
        <f>Assumptions!$C$6*Assumptions!$C$7*(1+$G925-0.05*(1-$H925))^2+Assumptions!$C$6*Assumptions!$C$8*(1+Assumptions!$C$11)^2+Assumptions!$C$16*$H925+Assumptions!$C$6*Assumptions!$C$9*(1+Assumptions!$C$12)^2</f>
        <v>779.1803177</v>
      </c>
      <c r="N925" s="139">
        <f>Assumptions!$C$6*Assumptions!$C$7*(1+$G925-0.05*(1-$I925))^3+Assumptions!$C$6*Assumptions!$C$8*(1+Assumptions!$C$11)^3+Assumptions!$C$16*$I925+Assumptions!$C$6*Assumptions!$C$9*(1+Assumptions!$C$12)^3</f>
        <v>811.2848041</v>
      </c>
      <c r="O925" s="139">
        <f>Assumptions!$C$6*Assumptions!$C$7*(1+$G925-0.05*(1-$J925))^4+Assumptions!$C$6*Assumptions!$C$8*(1+Assumptions!$C$11)^4+Assumptions!$C$16*$J925+Assumptions!$C$6*Assumptions!$C$9*(1+Assumptions!$C$12)^4</f>
        <v>709.151671</v>
      </c>
      <c r="P925" s="139">
        <f>Assumptions!$C$6*Assumptions!$C$7*(1+$G925-0.05*(1-$K925))^5+Assumptions!$C$6*Assumptions!$C$8*(1+Assumptions!$C$11)^5+Assumptions!$C$16*$K925+Assumptions!$C$6*Assumptions!$C$9*(1+Assumptions!$C$12)^5</f>
        <v>881.0591361</v>
      </c>
      <c r="Q925" s="139">
        <f>($L925*(1-(Assumptions!$C$25+0.06*(1-1))-Assumptions!$C$27)-Assumptions!$C$28)-MAX(0,($L925*(1-(Assumptions!$C$25+0.06*(1-1))-Assumptions!$C$27)-Assumptions!$C$28)*Assumptions!$C$31)+Assumptions!$C$28-Assumptions!$C$29-$L925*Assumptions!$C$30</f>
        <v>93.48890735</v>
      </c>
      <c r="R925" s="139">
        <f>($M925*(1-(Assumptions!$C$25+0.06*(1-$H925))-Assumptions!$C$27)-Assumptions!$C$28)-MAX(0,($M925*(1-(Assumptions!$C$25+0.06*(1-$H925))-Assumptions!$C$27)-Assumptions!$C$28)*Assumptions!$C$31)+Assumptions!$C$28-Assumptions!$C$29-$M925*Assumptions!$C$30</f>
        <v>100.0237683</v>
      </c>
      <c r="S925" s="139">
        <f>($N925*(1-(Assumptions!$C$25+0.06*(1-$I925))-Assumptions!$C$27)-Assumptions!$C$28)-MAX(0,($N925*(1-(Assumptions!$C$25+0.06*(1-$I925))-Assumptions!$C$27)-Assumptions!$C$28)*Assumptions!$C$31)+Assumptions!$C$28-Assumptions!$C$29-$N925*Assumptions!$C$30</f>
        <v>106.9262329</v>
      </c>
      <c r="T925" s="139">
        <f>($O925*(1-(Assumptions!$C$25+0.06*(1-$J925))-Assumptions!$C$27)-Assumptions!$C$28)-MAX(0,($O925*(1-(Assumptions!$C$25+0.06*(1-$J925))-Assumptions!$C$27)-Assumptions!$C$28)*Assumptions!$C$31)+Assumptions!$C$28-Assumptions!$C$29-$O925*Assumptions!$C$30</f>
        <v>43.10488433</v>
      </c>
      <c r="U925" s="139">
        <f>($P925*(1-(Assumptions!$C$25+0.06*(1-$K925))-Assumptions!$C$27)-Assumptions!$C$28)-MAX(0,($P925*(1-(Assumptions!$C$25+0.06*(1-$K925))-Assumptions!$C$27)-Assumptions!$C$28)*Assumptions!$C$31)+Assumptions!$C$28-Assumptions!$C$29-$P925*Assumptions!$C$30</f>
        <v>121.9277143</v>
      </c>
      <c r="V925" s="143">
        <f>(($Q925/(1+$D925)^1+$R925/(1+$D925)^2+$S925/(1+$D925)^3+$T925/(1+$D925)^4+$U925/(1+$D925)^5+$U925*(1+$E925)/($D925-$E925)/(1+$D925)^5)-Assumptions!$C$37)/Assumptions!$C$40/Assumptions!$C$38</f>
        <v>2.841366783</v>
      </c>
    </row>
    <row r="926" ht="12.0" customHeight="1">
      <c r="B926" s="139">
        <v>874.0</v>
      </c>
      <c r="C926" s="140">
        <f t="shared" si="6"/>
        <v>0.5351456574</v>
      </c>
      <c r="D926" s="141">
        <f t="shared" si="7"/>
        <v>0.0988512141</v>
      </c>
      <c r="E926" s="141">
        <f t="shared" si="8"/>
        <v>0.01002925727</v>
      </c>
      <c r="F926" s="140">
        <f t="shared" si="9"/>
        <v>0.8012982622</v>
      </c>
      <c r="G926" s="141">
        <f t="shared" si="10"/>
        <v>0.07108801628</v>
      </c>
      <c r="H926" s="142">
        <f t="shared" si="11"/>
        <v>1</v>
      </c>
      <c r="I926" s="142">
        <f t="shared" si="12"/>
        <v>1</v>
      </c>
      <c r="J926" s="142">
        <f t="shared" si="13"/>
        <v>1</v>
      </c>
      <c r="K926" s="142">
        <f t="shared" si="14"/>
        <v>0</v>
      </c>
      <c r="L926" s="139">
        <f>Assumptions!$C$6*Assumptions!$C$7*(1+$G926-0.05*(1-1))^1+Assumptions!$C$6*Assumptions!$C$8*(1+Assumptions!$C$11)^1+Assumptions!$C$16*1+Assumptions!$C$6*Assumptions!$C$9*(1+Assumptions!$C$12)^1</f>
        <v>750.3962263</v>
      </c>
      <c r="M926" s="139">
        <f>Assumptions!$C$6*Assumptions!$C$7*(1+$G926-0.05*(1-$H926))^2+Assumptions!$C$6*Assumptions!$C$8*(1+Assumptions!$C$11)^2+Assumptions!$C$16*$H926+Assumptions!$C$6*Assumptions!$C$9*(1+Assumptions!$C$12)^2</f>
        <v>782.6228227</v>
      </c>
      <c r="N926" s="139">
        <f>Assumptions!$C$6*Assumptions!$C$7*(1+$G926-0.05*(1-$I926))^3+Assumptions!$C$6*Assumptions!$C$8*(1+Assumptions!$C$11)^3+Assumptions!$C$16*$I926+Assumptions!$C$6*Assumptions!$C$9*(1+Assumptions!$C$12)^3</f>
        <v>816.8032979</v>
      </c>
      <c r="O926" s="139">
        <f>Assumptions!$C$6*Assumptions!$C$7*(1+$G926-0.05*(1-$J926))^4+Assumptions!$C$6*Assumptions!$C$8*(1+Assumptions!$C$11)^4+Assumptions!$C$16*$J926+Assumptions!$C$6*Assumptions!$C$9*(1+Assumptions!$C$12)^4</f>
        <v>853.0698083</v>
      </c>
      <c r="P926" s="139">
        <f>Assumptions!$C$6*Assumptions!$C$7*(1+$G926-0.05*(1-$K926))^5+Assumptions!$C$6*Assumptions!$C$8*(1+Assumptions!$C$11)^5+Assumptions!$C$16*$K926+Assumptions!$C$6*Assumptions!$C$9*(1+Assumptions!$C$12)^5</f>
        <v>730.6796386</v>
      </c>
      <c r="Q926" s="139">
        <f>($L926*(1-(Assumptions!$C$25+0.06*(1-1))-Assumptions!$C$27)-Assumptions!$C$28)-MAX(0,($L926*(1-(Assumptions!$C$25+0.06*(1-1))-Assumptions!$C$27)-Assumptions!$C$28)*Assumptions!$C$31)+Assumptions!$C$28-Assumptions!$C$29-$L926*Assumptions!$C$30</f>
        <v>93.83518865</v>
      </c>
      <c r="R926" s="139">
        <f>($M926*(1-(Assumptions!$C$25+0.06*(1-$H926))-Assumptions!$C$27)-Assumptions!$C$28)-MAX(0,($M926*(1-(Assumptions!$C$25+0.06*(1-$H926))-Assumptions!$C$27)-Assumptions!$C$28)*Assumptions!$C$31)+Assumptions!$C$28-Assumptions!$C$29-$M926*Assumptions!$C$30</f>
        <v>100.7639069</v>
      </c>
      <c r="S926" s="139">
        <f>($N926*(1-(Assumptions!$C$25+0.06*(1-$I926))-Assumptions!$C$27)-Assumptions!$C$28)-MAX(0,($N926*(1-(Assumptions!$C$25+0.06*(1-$I926))-Assumptions!$C$27)-Assumptions!$C$28)*Assumptions!$C$31)+Assumptions!$C$28-Assumptions!$C$29-$N926*Assumptions!$C$30</f>
        <v>108.112709</v>
      </c>
      <c r="T926" s="139">
        <f>($O926*(1-(Assumptions!$C$25+0.06*(1-$J926))-Assumptions!$C$27)-Assumptions!$C$28)-MAX(0,($O926*(1-(Assumptions!$C$25+0.06*(1-$J926))-Assumptions!$C$27)-Assumptions!$C$28)*Assumptions!$C$31)+Assumptions!$C$28-Assumptions!$C$29-$O926*Assumptions!$C$30</f>
        <v>115.9100088</v>
      </c>
      <c r="U926" s="139">
        <f>($P926*(1-(Assumptions!$C$25+0.06*(1-$K926))-Assumptions!$C$27)-Assumptions!$C$28)-MAX(0,($P926*(1-(Assumptions!$C$25+0.06*(1-$K926))-Assumptions!$C$27)-Assumptions!$C$28)*Assumptions!$C$31)+Assumptions!$C$28-Assumptions!$C$29-$P926*Assumptions!$C$30</f>
        <v>48.05631689</v>
      </c>
      <c r="V926" s="143">
        <f>(($Q926/(1+$D926)^1+$R926/(1+$D926)^2+$S926/(1+$D926)^3+$T926/(1+$D926)^4+$U926/(1+$D926)^5+$U926*(1+$E926)/($D926-$E926)/(1+$D926)^5)-Assumptions!$C$37)/Assumptions!$C$40/Assumptions!$C$38</f>
        <v>0.07188580921</v>
      </c>
    </row>
    <row r="927" ht="12.0" customHeight="1">
      <c r="B927" s="139">
        <v>875.0</v>
      </c>
      <c r="C927" s="140">
        <f t="shared" si="6"/>
        <v>0.6176844818</v>
      </c>
      <c r="D927" s="141">
        <f t="shared" si="7"/>
        <v>0.1003548982</v>
      </c>
      <c r="E927" s="141">
        <f t="shared" si="8"/>
        <v>0.01625499675</v>
      </c>
      <c r="F927" s="140">
        <f t="shared" si="9"/>
        <v>0.3486039348</v>
      </c>
      <c r="G927" s="141">
        <f t="shared" si="10"/>
        <v>0.05504969227</v>
      </c>
      <c r="H927" s="142">
        <f t="shared" si="11"/>
        <v>0</v>
      </c>
      <c r="I927" s="142">
        <f t="shared" si="12"/>
        <v>1</v>
      </c>
      <c r="J927" s="142">
        <f t="shared" si="13"/>
        <v>1</v>
      </c>
      <c r="K927" s="142">
        <f t="shared" si="14"/>
        <v>1</v>
      </c>
      <c r="L927" s="139">
        <f>Assumptions!$C$6*Assumptions!$C$7*(1+$G927-0.05*(1-1))^1+Assumptions!$C$6*Assumptions!$C$8*(1+Assumptions!$C$11)^1+Assumptions!$C$16*1+Assumptions!$C$6*Assumptions!$C$9*(1+Assumptions!$C$12)^1</f>
        <v>744.9977264</v>
      </c>
      <c r="M927" s="139">
        <f>Assumptions!$C$6*Assumptions!$C$7*(1+$G927-0.05*(1-$H927))^2+Assumptions!$C$6*Assumptions!$C$8*(1+Assumptions!$C$11)^2+Assumptions!$C$16*$H927+Assumptions!$C$6*Assumptions!$C$9*(1+Assumptions!$C$12)^2</f>
        <v>676.4733959</v>
      </c>
      <c r="N927" s="139">
        <f>Assumptions!$C$6*Assumptions!$C$7*(1+$G927-0.05*(1-$I927))^3+Assumptions!$C$6*Assumptions!$C$8*(1+Assumptions!$C$11)^3+Assumptions!$C$16*$I927+Assumptions!$C$6*Assumptions!$C$9*(1+Assumptions!$C$12)^3</f>
        <v>798.5001674</v>
      </c>
      <c r="O927" s="139">
        <f>Assumptions!$C$6*Assumptions!$C$7*(1+$G927-0.05*(1-$J927))^4+Assumptions!$C$6*Assumptions!$C$8*(1+Assumptions!$C$11)^4+Assumptions!$C$16*$J927+Assumptions!$C$6*Assumptions!$C$9*(1+Assumptions!$C$12)^4</f>
        <v>827.1255069</v>
      </c>
      <c r="P927" s="139">
        <f>Assumptions!$C$6*Assumptions!$C$7*(1+$G927-0.05*(1-$K927))^5+Assumptions!$C$6*Assumptions!$C$8*(1+Assumptions!$C$11)^5+Assumptions!$C$16*$K927+Assumptions!$C$6*Assumptions!$C$9*(1+Assumptions!$C$12)^5</f>
        <v>857.0860852</v>
      </c>
      <c r="Q927" s="139">
        <f>($L927*(1-(Assumptions!$C$25+0.06*(1-1))-Assumptions!$C$27)-Assumptions!$C$28)-MAX(0,($L927*(1-(Assumptions!$C$25+0.06*(1-1))-Assumptions!$C$27)-Assumptions!$C$28)*Assumptions!$C$31)+Assumptions!$C$28-Assumptions!$C$29-$L927*Assumptions!$C$30</f>
        <v>92.67451118</v>
      </c>
      <c r="R927" s="139">
        <f>($M927*(1-(Assumptions!$C$25+0.06*(1-$H927))-Assumptions!$C$27)-Assumptions!$C$28)-MAX(0,($M927*(1-(Assumptions!$C$25+0.06*(1-$H927))-Assumptions!$C$27)-Assumptions!$C$28)*Assumptions!$C$31)+Assumptions!$C$28-Assumptions!$C$29-$M927*Assumptions!$C$30</f>
        <v>35.58888106</v>
      </c>
      <c r="S927" s="139">
        <f>($N927*(1-(Assumptions!$C$25+0.06*(1-$I927))-Assumptions!$C$27)-Assumptions!$C$28)-MAX(0,($N927*(1-(Assumptions!$C$25+0.06*(1-$I927))-Assumptions!$C$27)-Assumptions!$C$28)*Assumptions!$C$31)+Assumptions!$C$28-Assumptions!$C$29-$N927*Assumptions!$C$30</f>
        <v>104.177536</v>
      </c>
      <c r="T927" s="139">
        <f>($O927*(1-(Assumptions!$C$25+0.06*(1-$J927))-Assumptions!$C$27)-Assumptions!$C$28)-MAX(0,($O927*(1-(Assumptions!$C$25+0.06*(1-$J927))-Assumptions!$C$27)-Assumptions!$C$28)*Assumptions!$C$31)+Assumptions!$C$28-Assumptions!$C$29-$O927*Assumptions!$C$30</f>
        <v>110.331984</v>
      </c>
      <c r="U927" s="139">
        <f>($P927*(1-(Assumptions!$C$25+0.06*(1-$K927))-Assumptions!$C$27)-Assumptions!$C$28)-MAX(0,($P927*(1-(Assumptions!$C$25+0.06*(1-$K927))-Assumptions!$C$27)-Assumptions!$C$28)*Assumptions!$C$31)+Assumptions!$C$28-Assumptions!$C$29-$P927*Assumptions!$C$30</f>
        <v>116.7735083</v>
      </c>
      <c r="V927" s="143">
        <f>(($Q927/(1+$D927)^1+$R927/(1+$D927)^2+$S927/(1+$D927)^3+$T927/(1+$D927)^4+$U927/(1+$D927)^5+$U927*(1+$E927)/($D927-$E927)/(1+$D927)^5)-Assumptions!$C$37)/Assumptions!$C$40/Assumptions!$C$38</f>
        <v>4.077718898</v>
      </c>
    </row>
    <row r="928" ht="12.0" customHeight="1">
      <c r="B928" s="139">
        <v>876.0</v>
      </c>
      <c r="C928" s="140">
        <f t="shared" si="6"/>
        <v>0.4303148934</v>
      </c>
      <c r="D928" s="141">
        <f t="shared" si="7"/>
        <v>0.09712282615</v>
      </c>
      <c r="E928" s="141">
        <f t="shared" si="8"/>
        <v>0.02364204282</v>
      </c>
      <c r="F928" s="140">
        <f t="shared" si="9"/>
        <v>0.06025433608</v>
      </c>
      <c r="G928" s="141">
        <f t="shared" si="10"/>
        <v>0.0404143077</v>
      </c>
      <c r="H928" s="142">
        <f t="shared" si="11"/>
        <v>1</v>
      </c>
      <c r="I928" s="142">
        <f t="shared" si="12"/>
        <v>1</v>
      </c>
      <c r="J928" s="142">
        <f t="shared" si="13"/>
        <v>0</v>
      </c>
      <c r="K928" s="142">
        <f t="shared" si="14"/>
        <v>0</v>
      </c>
      <c r="L928" s="139">
        <f>Assumptions!$C$6*Assumptions!$C$7*(1+$G928-0.05*(1-1))^1+Assumptions!$C$6*Assumptions!$C$8*(1+Assumptions!$C$11)^1+Assumptions!$C$16*1+Assumptions!$C$6*Assumptions!$C$9*(1+Assumptions!$C$12)^1</f>
        <v>740.071456</v>
      </c>
      <c r="M928" s="139">
        <f>Assumptions!$C$6*Assumptions!$C$7*(1+$G928-0.05*(1-$H928))^2+Assumptions!$C$6*Assumptions!$C$8*(1+Assumptions!$C$11)^2+Assumptions!$C$16*$H928+Assumptions!$C$6*Assumptions!$C$9*(1+Assumptions!$C$12)^2</f>
        <v>760.8220462</v>
      </c>
      <c r="N928" s="139">
        <f>Assumptions!$C$6*Assumptions!$C$7*(1+$G928-0.05*(1-$I928))^3+Assumptions!$C$6*Assumptions!$C$8*(1+Assumptions!$C$11)^3+Assumptions!$C$16*$I928+Assumptions!$C$6*Assumptions!$C$9*(1+Assumptions!$C$12)^3</f>
        <v>782.2765766</v>
      </c>
      <c r="O928" s="139">
        <f>Assumptions!$C$6*Assumptions!$C$7*(1+$G928-0.05*(1-$J928))^4+Assumptions!$C$6*Assumptions!$C$8*(1+Assumptions!$C$11)^4+Assumptions!$C$16*$J928+Assumptions!$C$6*Assumptions!$C$9*(1+Assumptions!$C$12)^4</f>
        <v>673.9367733</v>
      </c>
      <c r="P928" s="139">
        <f>Assumptions!$C$6*Assumptions!$C$7*(1+$G928-0.05*(1-$K928))^5+Assumptions!$C$6*Assumptions!$C$8*(1+Assumptions!$C$11)^5+Assumptions!$C$16*$K928+Assumptions!$C$6*Assumptions!$C$9*(1+Assumptions!$C$12)^5</f>
        <v>677.8333477</v>
      </c>
      <c r="Q928" s="139">
        <f>($L928*(1-(Assumptions!$C$25+0.06*(1-1))-Assumptions!$C$27)-Assumptions!$C$28)-MAX(0,($L928*(1-(Assumptions!$C$25+0.06*(1-1))-Assumptions!$C$27)-Assumptions!$C$28)*Assumptions!$C$31)+Assumptions!$C$28-Assumptions!$C$29-$L928*Assumptions!$C$30</f>
        <v>91.61536303</v>
      </c>
      <c r="R928" s="139">
        <f>($M928*(1-(Assumptions!$C$25+0.06*(1-$H928))-Assumptions!$C$27)-Assumptions!$C$28)-MAX(0,($M928*(1-(Assumptions!$C$25+0.06*(1-$H928))-Assumptions!$C$27)-Assumptions!$C$28)*Assumptions!$C$31)+Assumptions!$C$28-Assumptions!$C$29-$M928*Assumptions!$C$30</f>
        <v>96.07673993</v>
      </c>
      <c r="S928" s="139">
        <f>($N928*(1-(Assumptions!$C$25+0.06*(1-$I928))-Assumptions!$C$27)-Assumptions!$C$28)-MAX(0,($N928*(1-(Assumptions!$C$25+0.06*(1-$I928))-Assumptions!$C$27)-Assumptions!$C$28)*Assumptions!$C$31)+Assumptions!$C$28-Assumptions!$C$29-$N928*Assumptions!$C$30</f>
        <v>100.689464</v>
      </c>
      <c r="T928" s="139">
        <f>($O928*(1-(Assumptions!$C$25+0.06*(1-$J928))-Assumptions!$C$27)-Assumptions!$C$28)-MAX(0,($O928*(1-(Assumptions!$C$25+0.06*(1-$J928))-Assumptions!$C$27)-Assumptions!$C$28)*Assumptions!$C$31)+Assumptions!$C$28-Assumptions!$C$29-$O928*Assumptions!$C$30</f>
        <v>35.00545787</v>
      </c>
      <c r="U928" s="139">
        <f>($P928*(1-(Assumptions!$C$25+0.06*(1-$K928))-Assumptions!$C$27)-Assumptions!$C$28)-MAX(0,($P928*(1-(Assumptions!$C$25+0.06*(1-$K928))-Assumptions!$C$27)-Assumptions!$C$28)*Assumptions!$C$31)+Assumptions!$C$28-Assumptions!$C$29-$P928*Assumptions!$C$30</f>
        <v>35.90166996</v>
      </c>
      <c r="V928" s="143">
        <f>(($Q928/(1+$D928)^1+$R928/(1+$D928)^2+$S928/(1+$D928)^3+$T928/(1+$D928)^4+$U928/(1+$D928)^5+$U928*(1+$E928)/($D928-$E928)/(1+$D928)^5)-Assumptions!$C$37)/Assumptions!$C$40/Assumptions!$C$38</f>
        <v>-0.7081577295</v>
      </c>
    </row>
    <row r="929" ht="12.0" customHeight="1">
      <c r="B929" s="139">
        <v>877.0</v>
      </c>
      <c r="C929" s="140">
        <f t="shared" si="6"/>
        <v>0.9748555141</v>
      </c>
      <c r="D929" s="141">
        <f t="shared" si="7"/>
        <v>0.1112441969</v>
      </c>
      <c r="E929" s="141">
        <f t="shared" si="8"/>
        <v>0.02177036291</v>
      </c>
      <c r="F929" s="140">
        <f t="shared" si="9"/>
        <v>0.4917042035</v>
      </c>
      <c r="G929" s="141">
        <f t="shared" si="10"/>
        <v>0.05975008515</v>
      </c>
      <c r="H929" s="142">
        <f t="shared" si="11"/>
        <v>1</v>
      </c>
      <c r="I929" s="142">
        <f t="shared" si="12"/>
        <v>1</v>
      </c>
      <c r="J929" s="142">
        <f t="shared" si="13"/>
        <v>1</v>
      </c>
      <c r="K929" s="142">
        <f t="shared" si="14"/>
        <v>0</v>
      </c>
      <c r="L929" s="139">
        <f>Assumptions!$C$6*Assumptions!$C$7*(1+$G929-0.05*(1-1))^1+Assumptions!$C$6*Assumptions!$C$8*(1+Assumptions!$C$11)^1+Assumptions!$C$16*1+Assumptions!$C$6*Assumptions!$C$9*(1+Assumptions!$C$12)^1</f>
        <v>746.5798787</v>
      </c>
      <c r="M929" s="139">
        <f>Assumptions!$C$6*Assumptions!$C$7*(1+$G929-0.05*(1-$H929))^2+Assumptions!$C$6*Assumptions!$C$8*(1+Assumptions!$C$11)^2+Assumptions!$C$16*$H929+Assumptions!$C$6*Assumptions!$C$9*(1+Assumptions!$C$12)^2</f>
        <v>774.4908038</v>
      </c>
      <c r="N929" s="139">
        <f>Assumptions!$C$6*Assumptions!$C$7*(1+$G929-0.05*(1-$I929))^3+Assumptions!$C$6*Assumptions!$C$8*(1+Assumptions!$C$11)^3+Assumptions!$C$16*$I929+Assumptions!$C$6*Assumptions!$C$9*(1+Assumptions!$C$12)^3</f>
        <v>803.8071634</v>
      </c>
      <c r="O929" s="139">
        <f>Assumptions!$C$6*Assumptions!$C$7*(1+$G929-0.05*(1-$J929))^4+Assumptions!$C$6*Assumptions!$C$8*(1+Assumptions!$C$11)^4+Assumptions!$C$16*$J929+Assumptions!$C$6*Assumptions!$C$9*(1+Assumptions!$C$12)^4</f>
        <v>834.6076875</v>
      </c>
      <c r="P929" s="139">
        <f>Assumptions!$C$6*Assumptions!$C$7*(1+$G929-0.05*(1-$K929))^5+Assumptions!$C$6*Assumptions!$C$8*(1+Assumptions!$C$11)^5+Assumptions!$C$16*$K929+Assumptions!$C$6*Assumptions!$C$9*(1+Assumptions!$C$12)^5</f>
        <v>710.3922462</v>
      </c>
      <c r="Q929" s="139">
        <f>($L929*(1-(Assumptions!$C$25+0.06*(1-1))-Assumptions!$C$27)-Assumptions!$C$28)-MAX(0,($L929*(1-(Assumptions!$C$25+0.06*(1-1))-Assumptions!$C$27)-Assumptions!$C$28)*Assumptions!$C$31)+Assumptions!$C$28-Assumptions!$C$29-$L929*Assumptions!$C$30</f>
        <v>93.01467391</v>
      </c>
      <c r="R929" s="139">
        <f>($M929*(1-(Assumptions!$C$25+0.06*(1-$H929))-Assumptions!$C$27)-Assumptions!$C$28)-MAX(0,($M929*(1-(Assumptions!$C$25+0.06*(1-$H929))-Assumptions!$C$27)-Assumptions!$C$28)*Assumptions!$C$31)+Assumptions!$C$28-Assumptions!$C$29-$M929*Assumptions!$C$30</f>
        <v>99.01552281</v>
      </c>
      <c r="S929" s="139">
        <f>($N929*(1-(Assumptions!$C$25+0.06*(1-$I929))-Assumptions!$C$27)-Assumptions!$C$28)-MAX(0,($N929*(1-(Assumptions!$C$25+0.06*(1-$I929))-Assumptions!$C$27)-Assumptions!$C$28)*Assumptions!$C$31)+Assumptions!$C$28-Assumptions!$C$29-$N929*Assumptions!$C$30</f>
        <v>105.3185401</v>
      </c>
      <c r="T929" s="139">
        <f>($O929*(1-(Assumptions!$C$25+0.06*(1-$J929))-Assumptions!$C$27)-Assumptions!$C$28)-MAX(0,($O929*(1-(Assumptions!$C$25+0.06*(1-$J929))-Assumptions!$C$27)-Assumptions!$C$28)*Assumptions!$C$31)+Assumptions!$C$28-Assumptions!$C$29-$O929*Assumptions!$C$30</f>
        <v>111.9406528</v>
      </c>
      <c r="U929" s="139">
        <f>($P929*(1-(Assumptions!$C$25+0.06*(1-$K929))-Assumptions!$C$27)-Assumptions!$C$28)-MAX(0,($P929*(1-(Assumptions!$C$25+0.06*(1-$K929))-Assumptions!$C$27)-Assumptions!$C$28)*Assumptions!$C$31)+Assumptions!$C$28-Assumptions!$C$29-$P929*Assumptions!$C$30</f>
        <v>43.39021662</v>
      </c>
      <c r="V929" s="143">
        <f>(($Q929/(1+$D929)^1+$R929/(1+$D929)^2+$S929/(1+$D929)^3+$T929/(1+$D929)^4+$U929/(1+$D929)^5+$U929*(1+$E929)/($D929-$E929)/(1+$D929)^5)-Assumptions!$C$37)/Assumptions!$C$40/Assumptions!$C$38</f>
        <v>-0.4653684259</v>
      </c>
    </row>
    <row r="930" ht="12.0" customHeight="1">
      <c r="B930" s="139">
        <v>878.0</v>
      </c>
      <c r="C930" s="140">
        <f t="shared" si="6"/>
        <v>0.9154315703</v>
      </c>
      <c r="D930" s="141">
        <f t="shared" si="7"/>
        <v>0.1081121201</v>
      </c>
      <c r="E930" s="141">
        <f t="shared" si="8"/>
        <v>0.01686862766</v>
      </c>
      <c r="F930" s="140">
        <f t="shared" si="9"/>
        <v>0.4821411538</v>
      </c>
      <c r="G930" s="141">
        <f t="shared" si="10"/>
        <v>0.05945936314</v>
      </c>
      <c r="H930" s="142">
        <f t="shared" si="11"/>
        <v>1</v>
      </c>
      <c r="I930" s="142">
        <f t="shared" si="12"/>
        <v>1</v>
      </c>
      <c r="J930" s="142">
        <f t="shared" si="13"/>
        <v>0</v>
      </c>
      <c r="K930" s="142">
        <f t="shared" si="14"/>
        <v>0</v>
      </c>
      <c r="L930" s="139">
        <f>Assumptions!$C$6*Assumptions!$C$7*(1+$G930-0.05*(1-1))^1+Assumptions!$C$6*Assumptions!$C$8*(1+Assumptions!$C$11)^1+Assumptions!$C$16*1+Assumptions!$C$6*Assumptions!$C$9*(1+Assumptions!$C$12)^1</f>
        <v>746.4820216</v>
      </c>
      <c r="M930" s="139">
        <f>Assumptions!$C$6*Assumptions!$C$7*(1+$G930-0.05*(1-$H930))^2+Assumptions!$C$6*Assumptions!$C$8*(1+Assumptions!$C$11)^2+Assumptions!$C$16*$H930+Assumptions!$C$6*Assumptions!$C$9*(1+Assumptions!$C$12)^2</f>
        <v>774.2834242</v>
      </c>
      <c r="N930" s="139">
        <f>Assumptions!$C$6*Assumptions!$C$7*(1+$G930-0.05*(1-$I930))^3+Assumptions!$C$6*Assumptions!$C$8*(1+Assumptions!$C$11)^3+Assumptions!$C$16*$I930+Assumptions!$C$6*Assumptions!$C$9*(1+Assumptions!$C$12)^3</f>
        <v>803.4775529</v>
      </c>
      <c r="O930" s="139">
        <f>Assumptions!$C$6*Assumptions!$C$7*(1+$G930-0.05*(1-$J930))^4+Assumptions!$C$6*Assumptions!$C$8*(1+Assumptions!$C$11)^4+Assumptions!$C$16*$J930+Assumptions!$C$6*Assumptions!$C$9*(1+Assumptions!$C$12)^4</f>
        <v>699.5765023</v>
      </c>
      <c r="P930" s="139">
        <f>Assumptions!$C$6*Assumptions!$C$7*(1+$G930-0.05*(1-$K930))^5+Assumptions!$C$6*Assumptions!$C$8*(1+Assumptions!$C$11)^5+Assumptions!$C$16*$K930+Assumptions!$C$6*Assumptions!$C$9*(1+Assumptions!$C$12)^5</f>
        <v>709.8838906</v>
      </c>
      <c r="Q930" s="139">
        <f>($L930*(1-(Assumptions!$C$25+0.06*(1-1))-Assumptions!$C$27)-Assumptions!$C$28)-MAX(0,($L930*(1-(Assumptions!$C$25+0.06*(1-1))-Assumptions!$C$27)-Assumptions!$C$28)*Assumptions!$C$31)+Assumptions!$C$28-Assumptions!$C$29-$L930*Assumptions!$C$30</f>
        <v>92.99363465</v>
      </c>
      <c r="R930" s="139">
        <f>($M930*(1-(Assumptions!$C$25+0.06*(1-$H930))-Assumptions!$C$27)-Assumptions!$C$28)-MAX(0,($M930*(1-(Assumptions!$C$25+0.06*(1-$H930))-Assumptions!$C$27)-Assumptions!$C$28)*Assumptions!$C$31)+Assumptions!$C$28-Assumptions!$C$29-$M930*Assumptions!$C$30</f>
        <v>98.97093621</v>
      </c>
      <c r="S930" s="139">
        <f>($N930*(1-(Assumptions!$C$25+0.06*(1-$I930))-Assumptions!$C$27)-Assumptions!$C$28)-MAX(0,($N930*(1-(Assumptions!$C$25+0.06*(1-$I930))-Assumptions!$C$27)-Assumptions!$C$28)*Assumptions!$C$31)+Assumptions!$C$28-Assumptions!$C$29-$N930*Assumptions!$C$30</f>
        <v>105.2476739</v>
      </c>
      <c r="T930" s="139">
        <f>($O930*(1-(Assumptions!$C$25+0.06*(1-$J930))-Assumptions!$C$27)-Assumptions!$C$28)-MAX(0,($O930*(1-(Assumptions!$C$25+0.06*(1-$J930))-Assumptions!$C$27)-Assumptions!$C$28)*Assumptions!$C$31)+Assumptions!$C$28-Assumptions!$C$29-$O930*Assumptions!$C$30</f>
        <v>40.90259553</v>
      </c>
      <c r="U930" s="139">
        <f>($P930*(1-(Assumptions!$C$25+0.06*(1-$K930))-Assumptions!$C$27)-Assumptions!$C$28)-MAX(0,($P930*(1-(Assumptions!$C$25+0.06*(1-$K930))-Assumptions!$C$27)-Assumptions!$C$28)*Assumptions!$C$31)+Assumptions!$C$28-Assumptions!$C$29-$P930*Assumptions!$C$30</f>
        <v>43.27329485</v>
      </c>
      <c r="V930" s="143">
        <f>(($Q930/(1+$D930)^1+$R930/(1+$D930)^2+$S930/(1+$D930)^3+$T930/(1+$D930)^4+$U930/(1+$D930)^5+$U930*(1+$E930)/($D930-$E930)/(1+$D930)^5)-Assumptions!$C$37)/Assumptions!$C$40/Assumptions!$C$38</f>
        <v>-0.8440364803</v>
      </c>
    </row>
    <row r="931" ht="12.0" customHeight="1">
      <c r="B931" s="139">
        <v>879.0</v>
      </c>
      <c r="C931" s="140">
        <f t="shared" si="6"/>
        <v>0.05806123454</v>
      </c>
      <c r="D931" s="141">
        <f t="shared" si="7"/>
        <v>0.0894365255</v>
      </c>
      <c r="E931" s="141">
        <f t="shared" si="8"/>
        <v>0.01841667098</v>
      </c>
      <c r="F931" s="140">
        <f t="shared" si="9"/>
        <v>0.4642558688</v>
      </c>
      <c r="G931" s="141">
        <f t="shared" si="10"/>
        <v>0.05890779417</v>
      </c>
      <c r="H931" s="142">
        <f t="shared" si="11"/>
        <v>0</v>
      </c>
      <c r="I931" s="142">
        <f t="shared" si="12"/>
        <v>1</v>
      </c>
      <c r="J931" s="142">
        <f t="shared" si="13"/>
        <v>1</v>
      </c>
      <c r="K931" s="142">
        <f t="shared" si="14"/>
        <v>1</v>
      </c>
      <c r="L931" s="139">
        <f>Assumptions!$C$6*Assumptions!$C$7*(1+$G931-0.05*(1-1))^1+Assumptions!$C$6*Assumptions!$C$8*(1+Assumptions!$C$11)^1+Assumptions!$C$16*1+Assumptions!$C$6*Assumptions!$C$9*(1+Assumptions!$C$12)^1</f>
        <v>746.2963635</v>
      </c>
      <c r="M931" s="139">
        <f>Assumptions!$C$6*Assumptions!$C$7*(1+$G931-0.05*(1-$H931))^2+Assumptions!$C$6*Assumptions!$C$8*(1+Assumptions!$C$11)^2+Assumptions!$C$16*$H931+Assumptions!$C$6*Assumptions!$C$9*(1+Assumptions!$C$12)^2</f>
        <v>679.0887958</v>
      </c>
      <c r="N931" s="139">
        <f>Assumptions!$C$6*Assumptions!$C$7*(1+$G931-0.05*(1-$I931))^3+Assumptions!$C$6*Assumptions!$C$8*(1+Assumptions!$C$11)^3+Assumptions!$C$16*$I931+Assumptions!$C$6*Assumptions!$C$9*(1+Assumptions!$C$12)^3</f>
        <v>802.8527002</v>
      </c>
      <c r="O931" s="139">
        <f>Assumptions!$C$6*Assumptions!$C$7*(1+$G931-0.05*(1-$J931))^4+Assumptions!$C$6*Assumptions!$C$8*(1+Assumptions!$C$11)^4+Assumptions!$C$16*$J931+Assumptions!$C$6*Assumptions!$C$9*(1+Assumptions!$C$12)^4</f>
        <v>833.2595667</v>
      </c>
      <c r="P931" s="139">
        <f>Assumptions!$C$6*Assumptions!$C$7*(1+$G931-0.05*(1-$K931))^5+Assumptions!$C$6*Assumptions!$C$8*(1+Assumptions!$C$11)^5+Assumptions!$C$16*$K931+Assumptions!$C$6*Assumptions!$C$9*(1+Assumptions!$C$12)^5</f>
        <v>865.1905757</v>
      </c>
      <c r="Q931" s="139">
        <f>($L931*(1-(Assumptions!$C$25+0.06*(1-1))-Assumptions!$C$27)-Assumptions!$C$28)-MAX(0,($L931*(1-(Assumptions!$C$25+0.06*(1-1))-Assumptions!$C$27)-Assumptions!$C$28)*Assumptions!$C$31)+Assumptions!$C$28-Assumptions!$C$29-$L931*Assumptions!$C$30</f>
        <v>92.95371816</v>
      </c>
      <c r="R931" s="139">
        <f>($M931*(1-(Assumptions!$C$25+0.06*(1-$H931))-Assumptions!$C$27)-Assumptions!$C$28)-MAX(0,($M931*(1-(Assumptions!$C$25+0.06*(1-$H931))-Assumptions!$C$27)-Assumptions!$C$28)*Assumptions!$C$31)+Assumptions!$C$28-Assumptions!$C$29-$M931*Assumptions!$C$30</f>
        <v>36.19042304</v>
      </c>
      <c r="S931" s="139">
        <f>($N931*(1-(Assumptions!$C$25+0.06*(1-$I931))-Assumptions!$C$27)-Assumptions!$C$28)-MAX(0,($N931*(1-(Assumptions!$C$25+0.06*(1-$I931))-Assumptions!$C$27)-Assumptions!$C$28)*Assumptions!$C$31)+Assumptions!$C$28-Assumptions!$C$29-$N931*Assumptions!$C$30</f>
        <v>105.1133305</v>
      </c>
      <c r="T931" s="139">
        <f>($O931*(1-(Assumptions!$C$25+0.06*(1-$J931))-Assumptions!$C$27)-Assumptions!$C$28)-MAX(0,($O931*(1-(Assumptions!$C$25+0.06*(1-$J931))-Assumptions!$C$27)-Assumptions!$C$28)*Assumptions!$C$31)+Assumptions!$C$28-Assumptions!$C$29-$O931*Assumptions!$C$30</f>
        <v>111.6508068</v>
      </c>
      <c r="U931" s="139">
        <f>($P931*(1-(Assumptions!$C$25+0.06*(1-$K931))-Assumptions!$C$27)-Assumptions!$C$28)-MAX(0,($P931*(1-(Assumptions!$C$25+0.06*(1-$K931))-Assumptions!$C$27)-Assumptions!$C$28)*Assumptions!$C$31)+Assumptions!$C$28-Assumptions!$C$29-$P931*Assumptions!$C$30</f>
        <v>118.5159738</v>
      </c>
      <c r="V931" s="143">
        <f>(($Q931/(1+$D931)^1+$R931/(1+$D931)^2+$S931/(1+$D931)^3+$T931/(1+$D931)^4+$U931/(1+$D931)^5+$U931*(1+$E931)/($D931-$E931)/(1+$D931)^5)-Assumptions!$C$37)/Assumptions!$C$40/Assumptions!$C$38</f>
        <v>6.003714512</v>
      </c>
    </row>
    <row r="932" ht="12.0" customHeight="1">
      <c r="B932" s="139">
        <v>880.0</v>
      </c>
      <c r="C932" s="140">
        <f t="shared" si="6"/>
        <v>0.6981315937</v>
      </c>
      <c r="D932" s="141">
        <f t="shared" si="7"/>
        <v>0.1019866155</v>
      </c>
      <c r="E932" s="141">
        <f t="shared" si="8"/>
        <v>0.02182113934</v>
      </c>
      <c r="F932" s="140">
        <f t="shared" si="9"/>
        <v>0.2124237003</v>
      </c>
      <c r="G932" s="141">
        <f t="shared" si="10"/>
        <v>0.04955409575</v>
      </c>
      <c r="H932" s="142">
        <f t="shared" si="11"/>
        <v>1</v>
      </c>
      <c r="I932" s="142">
        <f t="shared" si="12"/>
        <v>0</v>
      </c>
      <c r="J932" s="142">
        <f t="shared" si="13"/>
        <v>0</v>
      </c>
      <c r="K932" s="142">
        <f t="shared" si="14"/>
        <v>1</v>
      </c>
      <c r="L932" s="139">
        <f>Assumptions!$C$6*Assumptions!$C$7*(1+$G932-0.05*(1-1))^1+Assumptions!$C$6*Assumptions!$C$8*(1+Assumptions!$C$11)^1+Assumptions!$C$16*1+Assumptions!$C$6*Assumptions!$C$9*(1+Assumptions!$C$12)^1</f>
        <v>743.1479086</v>
      </c>
      <c r="M932" s="139">
        <f>Assumptions!$C$6*Assumptions!$C$7*(1+$G932-0.05*(1-$H932))^2+Assumptions!$C$6*Assumptions!$C$8*(1+Assumptions!$C$11)^2+Assumptions!$C$16*$H932+Assumptions!$C$6*Assumptions!$C$9*(1+Assumptions!$C$12)^2</f>
        <v>767.251735</v>
      </c>
      <c r="N932" s="139">
        <f>Assumptions!$C$6*Assumptions!$C$7*(1+$G932-0.05*(1-$I932))^3+Assumptions!$C$6*Assumptions!$C$8*(1+Assumptions!$C$11)^3+Assumptions!$C$16*$I932+Assumptions!$C$6*Assumptions!$C$9*(1+Assumptions!$C$12)^3</f>
        <v>679.3445938</v>
      </c>
      <c r="O932" s="139">
        <f>Assumptions!$C$6*Assumptions!$C$7*(1+$G932-0.05*(1-$J932))^4+Assumptions!$C$6*Assumptions!$C$8*(1+Assumptions!$C$11)^4+Assumptions!$C$16*$J932+Assumptions!$C$6*Assumptions!$C$9*(1+Assumptions!$C$12)^4</f>
        <v>686.0585965</v>
      </c>
      <c r="P932" s="139">
        <f>Assumptions!$C$6*Assumptions!$C$7*(1+$G932-0.05*(1-$K932))^5+Assumptions!$C$6*Assumptions!$C$8*(1+Assumptions!$C$11)^5+Assumptions!$C$16*$K932+Assumptions!$C$6*Assumptions!$C$9*(1+Assumptions!$C$12)^5</f>
        <v>845.7446951</v>
      </c>
      <c r="Q932" s="139">
        <f>($L932*(1-(Assumptions!$C$25+0.06*(1-1))-Assumptions!$C$27)-Assumptions!$C$28)-MAX(0,($L932*(1-(Assumptions!$C$25+0.06*(1-1))-Assumptions!$C$27)-Assumptions!$C$28)*Assumptions!$C$31)+Assumptions!$C$28-Assumptions!$C$29-$L932*Assumptions!$C$30</f>
        <v>92.27680036</v>
      </c>
      <c r="R932" s="139">
        <f>($M932*(1-(Assumptions!$C$25+0.06*(1-$H932))-Assumptions!$C$27)-Assumptions!$C$28)-MAX(0,($M932*(1-(Assumptions!$C$25+0.06*(1-$H932))-Assumptions!$C$27)-Assumptions!$C$28)*Assumptions!$C$31)+Assumptions!$C$28-Assumptions!$C$29-$M932*Assumptions!$C$30</f>
        <v>97.45912304</v>
      </c>
      <c r="S932" s="139">
        <f>($N932*(1-(Assumptions!$C$25+0.06*(1-$I932))-Assumptions!$C$27)-Assumptions!$C$28)-MAX(0,($N932*(1-(Assumptions!$C$25+0.06*(1-$I932))-Assumptions!$C$27)-Assumptions!$C$28)*Assumptions!$C$31)+Assumptions!$C$28-Assumptions!$C$29-$N932*Assumptions!$C$30</f>
        <v>36.24925658</v>
      </c>
      <c r="T932" s="139">
        <f>($O932*(1-(Assumptions!$C$25+0.06*(1-$J932))-Assumptions!$C$27)-Assumptions!$C$28)-MAX(0,($O932*(1-(Assumptions!$C$25+0.06*(1-$J932))-Assumptions!$C$27)-Assumptions!$C$28)*Assumptions!$C$31)+Assumptions!$C$28-Assumptions!$C$29-$O932*Assumptions!$C$30</f>
        <v>37.7934772</v>
      </c>
      <c r="U932" s="139">
        <f>($P932*(1-(Assumptions!$C$25+0.06*(1-$K932))-Assumptions!$C$27)-Assumptions!$C$28)-MAX(0,($P932*(1-(Assumptions!$C$25+0.06*(1-$K932))-Assumptions!$C$27)-Assumptions!$C$28)*Assumptions!$C$31)+Assumptions!$C$28-Assumptions!$C$29-$P932*Assumptions!$C$30</f>
        <v>114.3351095</v>
      </c>
      <c r="V932" s="143">
        <f>(($Q932/(1+$D932)^1+$R932/(1+$D932)^2+$S932/(1+$D932)^3+$T932/(1+$D932)^4+$U932/(1+$D932)^5+$U932*(1+$E932)/($D932-$E932)/(1+$D932)^5)-Assumptions!$C$37)/Assumptions!$C$40/Assumptions!$C$38</f>
        <v>3.840654183</v>
      </c>
    </row>
    <row r="933" ht="12.0" customHeight="1">
      <c r="B933" s="139">
        <v>881.0</v>
      </c>
      <c r="C933" s="140">
        <f t="shared" si="6"/>
        <v>0.7311257588</v>
      </c>
      <c r="D933" s="141">
        <f t="shared" si="7"/>
        <v>0.1027183694</v>
      </c>
      <c r="E933" s="141">
        <f t="shared" si="8"/>
        <v>0.02223985826</v>
      </c>
      <c r="F933" s="140">
        <f t="shared" si="9"/>
        <v>0.7327157015</v>
      </c>
      <c r="G933" s="141">
        <f t="shared" si="10"/>
        <v>0.06806574056</v>
      </c>
      <c r="H933" s="142">
        <f t="shared" si="11"/>
        <v>0</v>
      </c>
      <c r="I933" s="142">
        <f t="shared" si="12"/>
        <v>1</v>
      </c>
      <c r="J933" s="142">
        <f t="shared" si="13"/>
        <v>0</v>
      </c>
      <c r="K933" s="142">
        <f t="shared" si="14"/>
        <v>1</v>
      </c>
      <c r="L933" s="139">
        <f>Assumptions!$C$6*Assumptions!$C$7*(1+$G933-0.05*(1-1))^1+Assumptions!$C$6*Assumptions!$C$8*(1+Assumptions!$C$11)^1+Assumptions!$C$16*1+Assumptions!$C$6*Assumptions!$C$9*(1+Assumptions!$C$12)^1</f>
        <v>749.3789283</v>
      </c>
      <c r="M933" s="139">
        <f>Assumptions!$C$6*Assumptions!$C$7*(1+$G933-0.05*(1-$H933))^2+Assumptions!$C$6*Assumptions!$C$8*(1+Assumptions!$C$11)^2+Assumptions!$C$16*$H933+Assumptions!$C$6*Assumptions!$C$9*(1+Assumptions!$C$12)^2</f>
        <v>685.337073</v>
      </c>
      <c r="N933" s="139">
        <f>Assumptions!$C$6*Assumptions!$C$7*(1+$G933-0.05*(1-$I933))^3+Assumptions!$C$6*Assumptions!$C$8*(1+Assumptions!$C$11)^3+Assumptions!$C$16*$I933+Assumptions!$C$6*Assumptions!$C$9*(1+Assumptions!$C$12)^3</f>
        <v>813.311945</v>
      </c>
      <c r="O933" s="139">
        <f>Assumptions!$C$6*Assumptions!$C$7*(1+$G933-0.05*(1-$J933))^4+Assumptions!$C$6*Assumptions!$C$8*(1+Assumptions!$C$11)^4+Assumptions!$C$16*$J933+Assumptions!$C$6*Assumptions!$C$9*(1+Assumptions!$C$12)^4</f>
        <v>711.6493869</v>
      </c>
      <c r="P933" s="139">
        <f>Assumptions!$C$6*Assumptions!$C$7*(1+$G933-0.05*(1-$K933))^5+Assumptions!$C$6*Assumptions!$C$8*(1+Assumptions!$C$11)^5+Assumptions!$C$16*$K933+Assumptions!$C$6*Assumptions!$C$9*(1+Assumptions!$C$12)^5</f>
        <v>884.9069328</v>
      </c>
      <c r="Q933" s="139">
        <f>($L933*(1-(Assumptions!$C$25+0.06*(1-1))-Assumptions!$C$27)-Assumptions!$C$28)-MAX(0,($L933*(1-(Assumptions!$C$25+0.06*(1-1))-Assumptions!$C$27)-Assumptions!$C$28)*Assumptions!$C$31)+Assumptions!$C$28-Assumptions!$C$29-$L933*Assumptions!$C$30</f>
        <v>93.61646958</v>
      </c>
      <c r="R933" s="139">
        <f>($M933*(1-(Assumptions!$C$25+0.06*(1-$H933))-Assumptions!$C$27)-Assumptions!$C$28)-MAX(0,($M933*(1-(Assumptions!$C$25+0.06*(1-$H933))-Assumptions!$C$27)-Assumptions!$C$28)*Assumptions!$C$31)+Assumptions!$C$28-Assumptions!$C$29-$M933*Assumptions!$C$30</f>
        <v>37.62752679</v>
      </c>
      <c r="S933" s="139">
        <f>($N933*(1-(Assumptions!$C$25+0.06*(1-$I933))-Assumptions!$C$27)-Assumptions!$C$28)-MAX(0,($N933*(1-(Assumptions!$C$25+0.06*(1-$I933))-Assumptions!$C$27)-Assumptions!$C$28)*Assumptions!$C$31)+Assumptions!$C$28-Assumptions!$C$29-$N933*Assumptions!$C$30</f>
        <v>107.3620682</v>
      </c>
      <c r="T933" s="139">
        <f>($O933*(1-(Assumptions!$C$25+0.06*(1-$J933))-Assumptions!$C$27)-Assumptions!$C$28)-MAX(0,($O933*(1-(Assumptions!$C$25+0.06*(1-$J933))-Assumptions!$C$27)-Assumptions!$C$28)*Assumptions!$C$31)+Assumptions!$C$28-Assumptions!$C$29-$O933*Assumptions!$C$30</f>
        <v>43.67935898</v>
      </c>
      <c r="U933" s="139">
        <f>($P933*(1-(Assumptions!$C$25+0.06*(1-$K933))-Assumptions!$C$27)-Assumptions!$C$28)-MAX(0,($P933*(1-(Assumptions!$C$25+0.06*(1-$K933))-Assumptions!$C$27)-Assumptions!$C$28)*Assumptions!$C$31)+Assumptions!$C$28-Assumptions!$C$29-$P933*Assumptions!$C$30</f>
        <v>122.7549906</v>
      </c>
      <c r="V933" s="143">
        <f>(($Q933/(1+$D933)^1+$R933/(1+$D933)^2+$S933/(1+$D933)^3+$T933/(1+$D933)^4+$U933/(1+$D933)^5+$U933*(1+$E933)/($D933-$E933)/(1+$D933)^5)-Assumptions!$C$37)/Assumptions!$C$40/Assumptions!$C$38</f>
        <v>4.411761914</v>
      </c>
    </row>
    <row r="934" ht="12.0" customHeight="1">
      <c r="B934" s="139">
        <v>882.0</v>
      </c>
      <c r="C934" s="140">
        <f t="shared" si="6"/>
        <v>0.5049412547</v>
      </c>
      <c r="D934" s="141">
        <f t="shared" si="7"/>
        <v>0.09833482805</v>
      </c>
      <c r="E934" s="141">
        <f t="shared" si="8"/>
        <v>0.02767976233</v>
      </c>
      <c r="F934" s="140">
        <f t="shared" si="9"/>
        <v>0.2426284142</v>
      </c>
      <c r="G934" s="141">
        <f t="shared" si="10"/>
        <v>0.05089811344</v>
      </c>
      <c r="H934" s="142">
        <f t="shared" si="11"/>
        <v>0</v>
      </c>
      <c r="I934" s="142">
        <f t="shared" si="12"/>
        <v>0</v>
      </c>
      <c r="J934" s="142">
        <f t="shared" si="13"/>
        <v>0</v>
      </c>
      <c r="K934" s="142">
        <f t="shared" si="14"/>
        <v>1</v>
      </c>
      <c r="L934" s="139">
        <f>Assumptions!$C$6*Assumptions!$C$7*(1+$G934-0.05*(1-1))^1+Assumptions!$C$6*Assumptions!$C$8*(1+Assumptions!$C$11)^1+Assumptions!$C$16*1+Assumptions!$C$6*Assumptions!$C$9*(1+Assumptions!$C$12)^1</f>
        <v>743.600305</v>
      </c>
      <c r="M934" s="139">
        <f>Assumptions!$C$6*Assumptions!$C$7*(1+$G934-0.05*(1-$H934))^2+Assumptions!$C$6*Assumptions!$C$8*(1+Assumptions!$C$11)^2+Assumptions!$C$16*$H934+Assumptions!$C$6*Assumptions!$C$9*(1+Assumptions!$C$12)^2</f>
        <v>673.6702415</v>
      </c>
      <c r="N934" s="139">
        <f>Assumptions!$C$6*Assumptions!$C$7*(1+$G934-0.05*(1-$I934))^3+Assumptions!$C$6*Assumptions!$C$8*(1+Assumptions!$C$11)^3+Assumptions!$C$16*$I934+Assumptions!$C$6*Assumptions!$C$9*(1+Assumptions!$C$12)^3</f>
        <v>680.7023969</v>
      </c>
      <c r="O934" s="139">
        <f>Assumptions!$C$6*Assumptions!$C$7*(1+$G934-0.05*(1-$J934))^4+Assumptions!$C$6*Assumptions!$C$8*(1+Assumptions!$C$11)^4+Assumptions!$C$16*$J934+Assumptions!$C$6*Assumptions!$C$9*(1+Assumptions!$C$12)^4</f>
        <v>687.8694105</v>
      </c>
      <c r="P934" s="139">
        <f>Assumptions!$C$6*Assumptions!$C$7*(1+$G934-0.05*(1-$K934))^5+Assumptions!$C$6*Assumptions!$C$8*(1+Assumptions!$C$11)^5+Assumptions!$C$16*$K934+Assumptions!$C$6*Assumptions!$C$9*(1+Assumptions!$C$12)^5</f>
        <v>848.4965194</v>
      </c>
      <c r="Q934" s="139">
        <f>($L934*(1-(Assumptions!$C$25+0.06*(1-1))-Assumptions!$C$27)-Assumptions!$C$28)-MAX(0,($L934*(1-(Assumptions!$C$25+0.06*(1-1))-Assumptions!$C$27)-Assumptions!$C$28)*Assumptions!$C$31)+Assumptions!$C$28-Assumptions!$C$29-$L934*Assumptions!$C$30</f>
        <v>92.37406557</v>
      </c>
      <c r="R934" s="139">
        <f>($M934*(1-(Assumptions!$C$25+0.06*(1-$H934))-Assumptions!$C$27)-Assumptions!$C$28)-MAX(0,($M934*(1-(Assumptions!$C$25+0.06*(1-$H934))-Assumptions!$C$27)-Assumptions!$C$28)*Assumptions!$C$31)+Assumptions!$C$28-Assumptions!$C$29-$M934*Assumptions!$C$30</f>
        <v>34.94415554</v>
      </c>
      <c r="S934" s="139">
        <f>($N934*(1-(Assumptions!$C$25+0.06*(1-$I934))-Assumptions!$C$27)-Assumptions!$C$28)-MAX(0,($N934*(1-(Assumptions!$C$25+0.06*(1-$I934))-Assumptions!$C$27)-Assumptions!$C$28)*Assumptions!$C$31)+Assumptions!$C$28-Assumptions!$C$29-$N934*Assumptions!$C$30</f>
        <v>36.56155129</v>
      </c>
      <c r="T934" s="139">
        <f>($O934*(1-(Assumptions!$C$25+0.06*(1-$J934))-Assumptions!$C$27)-Assumptions!$C$28)-MAX(0,($O934*(1-(Assumptions!$C$25+0.06*(1-$J934))-Assumptions!$C$27)-Assumptions!$C$28)*Assumptions!$C$31)+Assumptions!$C$28-Assumptions!$C$29-$O934*Assumptions!$C$30</f>
        <v>38.20996441</v>
      </c>
      <c r="U934" s="139">
        <f>($P934*(1-(Assumptions!$C$25+0.06*(1-$K934))-Assumptions!$C$27)-Assumptions!$C$28)-MAX(0,($P934*(1-(Assumptions!$C$25+0.06*(1-$K934))-Assumptions!$C$27)-Assumptions!$C$28)*Assumptions!$C$31)+Assumptions!$C$28-Assumptions!$C$29-$P934*Assumptions!$C$30</f>
        <v>114.9267517</v>
      </c>
      <c r="V934" s="143">
        <f>(($Q934/(1+$D934)^1+$R934/(1+$D934)^2+$S934/(1+$D934)^3+$T934/(1+$D934)^4+$U934/(1+$D934)^5+$U934*(1+$E934)/($D934-$E934)/(1+$D934)^5)-Assumptions!$C$37)/Assumptions!$C$40/Assumptions!$C$38</f>
        <v>4.627412479</v>
      </c>
    </row>
    <row r="935" ht="12.0" customHeight="1">
      <c r="B935" s="139">
        <v>883.0</v>
      </c>
      <c r="C935" s="140">
        <f t="shared" si="6"/>
        <v>0.8739152222</v>
      </c>
      <c r="D935" s="141">
        <f t="shared" si="7"/>
        <v>0.1065896754</v>
      </c>
      <c r="E935" s="141">
        <f t="shared" si="8"/>
        <v>0.0227146228</v>
      </c>
      <c r="F935" s="140">
        <f t="shared" si="9"/>
        <v>0.0498454902</v>
      </c>
      <c r="G935" s="141">
        <f t="shared" si="10"/>
        <v>0.03947216355</v>
      </c>
      <c r="H935" s="142">
        <f t="shared" si="11"/>
        <v>1</v>
      </c>
      <c r="I935" s="142">
        <f t="shared" si="12"/>
        <v>0</v>
      </c>
      <c r="J935" s="142">
        <f t="shared" si="13"/>
        <v>0</v>
      </c>
      <c r="K935" s="142">
        <f t="shared" si="14"/>
        <v>1</v>
      </c>
      <c r="L935" s="139">
        <f>Assumptions!$C$6*Assumptions!$C$7*(1+$G935-0.05*(1-1))^1+Assumptions!$C$6*Assumptions!$C$8*(1+Assumptions!$C$11)^1+Assumptions!$C$16*1+Assumptions!$C$6*Assumptions!$C$9*(1+Assumptions!$C$12)^1</f>
        <v>739.7543303</v>
      </c>
      <c r="M935" s="139">
        <f>Assumptions!$C$6*Assumptions!$C$7*(1+$G935-0.05*(1-$H935))^2+Assumptions!$C$6*Assumptions!$C$8*(1+Assumptions!$C$11)^2+Assumptions!$C$16*$H935+Assumptions!$C$6*Assumptions!$C$9*(1+Assumptions!$C$12)^2</f>
        <v>760.1624607</v>
      </c>
      <c r="N935" s="139">
        <f>Assumptions!$C$6*Assumptions!$C$7*(1+$G935-0.05*(1-$I935))^3+Assumptions!$C$6*Assumptions!$C$8*(1+Assumptions!$C$11)^3+Assumptions!$C$16*$I935+Assumptions!$C$6*Assumptions!$C$9*(1+Assumptions!$C$12)^3</f>
        <v>669.2751867</v>
      </c>
      <c r="O935" s="139">
        <f>Assumptions!$C$6*Assumptions!$C$7*(1+$G935-0.05*(1-$J935))^4+Assumptions!$C$6*Assumptions!$C$8*(1+Assumptions!$C$11)^4+Assumptions!$C$16*$J935+Assumptions!$C$6*Assumptions!$C$9*(1+Assumptions!$C$12)^4</f>
        <v>672.7061577</v>
      </c>
      <c r="P935" s="139">
        <f>Assumptions!$C$6*Assumptions!$C$7*(1+$G935-0.05*(1-$K935))^5+Assumptions!$C$6*Assumptions!$C$8*(1+Assumptions!$C$11)^5+Assumptions!$C$16*$K935+Assumptions!$C$6*Assumptions!$C$9*(1+Assumptions!$C$12)^5</f>
        <v>825.5469107</v>
      </c>
      <c r="Q935" s="139">
        <f>($L935*(1-(Assumptions!$C$25+0.06*(1-1))-Assumptions!$C$27)-Assumptions!$C$28)-MAX(0,($L935*(1-(Assumptions!$C$25+0.06*(1-1))-Assumptions!$C$27)-Assumptions!$C$28)*Assumptions!$C$31)+Assumptions!$C$28-Assumptions!$C$29-$L935*Assumptions!$C$30</f>
        <v>91.547181</v>
      </c>
      <c r="R935" s="139">
        <f>($M935*(1-(Assumptions!$C$25+0.06*(1-$H935))-Assumptions!$C$27)-Assumptions!$C$28)-MAX(0,($M935*(1-(Assumptions!$C$25+0.06*(1-$H935))-Assumptions!$C$27)-Assumptions!$C$28)*Assumptions!$C$31)+Assumptions!$C$28-Assumptions!$C$29-$M935*Assumptions!$C$30</f>
        <v>95.93492905</v>
      </c>
      <c r="S935" s="139">
        <f>($N935*(1-(Assumptions!$C$25+0.06*(1-$I935))-Assumptions!$C$27)-Assumptions!$C$28)-MAX(0,($N935*(1-(Assumptions!$C$25+0.06*(1-$I935))-Assumptions!$C$27)-Assumptions!$C$28)*Assumptions!$C$31)+Assumptions!$C$28-Assumptions!$C$29-$N935*Assumptions!$C$30</f>
        <v>33.93329295</v>
      </c>
      <c r="T935" s="139">
        <f>($O935*(1-(Assumptions!$C$25+0.06*(1-$J935))-Assumptions!$C$27)-Assumptions!$C$28)-MAX(0,($O935*(1-(Assumptions!$C$25+0.06*(1-$J935))-Assumptions!$C$27)-Assumptions!$C$28)*Assumptions!$C$31)+Assumptions!$C$28-Assumptions!$C$29-$O935*Assumptions!$C$30</f>
        <v>34.72241627</v>
      </c>
      <c r="U935" s="139">
        <f>($P935*(1-(Assumptions!$C$25+0.06*(1-$K935))-Assumptions!$C$27)-Assumptions!$C$28)-MAX(0,($P935*(1-(Assumptions!$C$25+0.06*(1-$K935))-Assumptions!$C$27)-Assumptions!$C$28)*Assumptions!$C$31)+Assumptions!$C$28-Assumptions!$C$29-$P935*Assumptions!$C$30</f>
        <v>109.9925858</v>
      </c>
      <c r="V935" s="143">
        <f>(($Q935/(1+$D935)^1+$R935/(1+$D935)^2+$S935/(1+$D935)^3+$T935/(1+$D935)^4+$U935/(1+$D935)^5+$U935*(1+$E935)/($D935-$E935)/(1+$D935)^5)-Assumptions!$C$37)/Assumptions!$C$40/Assumptions!$C$38</f>
        <v>3.060087038</v>
      </c>
    </row>
    <row r="936" ht="12.0" customHeight="1">
      <c r="B936" s="139">
        <v>884.0</v>
      </c>
      <c r="C936" s="140">
        <f t="shared" si="6"/>
        <v>0.9395929865</v>
      </c>
      <c r="D936" s="141">
        <f t="shared" si="7"/>
        <v>0.1091786312</v>
      </c>
      <c r="E936" s="141">
        <f t="shared" si="8"/>
        <v>0.0211195285</v>
      </c>
      <c r="F936" s="140">
        <f t="shared" si="9"/>
        <v>0.9267415723</v>
      </c>
      <c r="G936" s="141">
        <f t="shared" si="10"/>
        <v>0.07851674393</v>
      </c>
      <c r="H936" s="142">
        <f t="shared" si="11"/>
        <v>0</v>
      </c>
      <c r="I936" s="142">
        <f t="shared" si="12"/>
        <v>1</v>
      </c>
      <c r="J936" s="142">
        <f t="shared" si="13"/>
        <v>0</v>
      </c>
      <c r="K936" s="142">
        <f t="shared" si="14"/>
        <v>0</v>
      </c>
      <c r="L936" s="139">
        <f>Assumptions!$C$6*Assumptions!$C$7*(1+$G936-0.05*(1-1))^1+Assumptions!$C$6*Assumptions!$C$8*(1+Assumptions!$C$11)^1+Assumptions!$C$16*1+Assumptions!$C$6*Assumptions!$C$9*(1+Assumptions!$C$12)^1</f>
        <v>752.896736</v>
      </c>
      <c r="M936" s="139">
        <f>Assumptions!$C$6*Assumptions!$C$7*(1+$G936-0.05*(1-$H936))^2+Assumptions!$C$6*Assumptions!$C$8*(1+Assumptions!$C$11)^2+Assumptions!$C$16*$H936+Assumptions!$C$6*Assumptions!$C$9*(1+Assumptions!$C$12)^2</f>
        <v>692.5365567</v>
      </c>
      <c r="N936" s="139">
        <f>Assumptions!$C$6*Assumptions!$C$7*(1+$G936-0.05*(1-$I936))^3+Assumptions!$C$6*Assumptions!$C$8*(1+Assumptions!$C$11)^3+Assumptions!$C$16*$I936+Assumptions!$C$6*Assumptions!$C$9*(1+Assumptions!$C$12)^3</f>
        <v>825.4691001</v>
      </c>
      <c r="O936" s="139">
        <f>Assumptions!$C$6*Assumptions!$C$7*(1+$G936-0.05*(1-$J936))^4+Assumptions!$C$6*Assumptions!$C$8*(1+Assumptions!$C$11)^4+Assumptions!$C$16*$J936+Assumptions!$C$6*Assumptions!$C$9*(1+Assumptions!$C$12)^4</f>
        <v>726.7272983</v>
      </c>
      <c r="P936" s="139">
        <f>Assumptions!$C$6*Assumptions!$C$7*(1+$G936-0.05*(1-$K936))^5+Assumptions!$C$6*Assumptions!$C$8*(1+Assumptions!$C$11)^5+Assumptions!$C$16*$K936+Assumptions!$C$6*Assumptions!$C$9*(1+Assumptions!$C$12)^5</f>
        <v>744.4698355</v>
      </c>
      <c r="Q936" s="139">
        <f>($L936*(1-(Assumptions!$C$25+0.06*(1-1))-Assumptions!$C$27)-Assumptions!$C$28)-MAX(0,($L936*(1-(Assumptions!$C$25+0.06*(1-1))-Assumptions!$C$27)-Assumptions!$C$28)*Assumptions!$C$31)+Assumptions!$C$28-Assumptions!$C$29-$L936*Assumptions!$C$30</f>
        <v>94.37279824</v>
      </c>
      <c r="R936" s="139">
        <f>($M936*(1-(Assumptions!$C$25+0.06*(1-$H936))-Assumptions!$C$27)-Assumptions!$C$28)-MAX(0,($M936*(1-(Assumptions!$C$25+0.06*(1-$H936))-Assumptions!$C$27)-Assumptions!$C$28)*Assumptions!$C$31)+Assumptions!$C$28-Assumptions!$C$29-$M936*Assumptions!$C$30</f>
        <v>39.28340804</v>
      </c>
      <c r="S936" s="139">
        <f>($N936*(1-(Assumptions!$C$25+0.06*(1-$I936))-Assumptions!$C$27)-Assumptions!$C$28)-MAX(0,($N936*(1-(Assumptions!$C$25+0.06*(1-$I936))-Assumptions!$C$27)-Assumptions!$C$28)*Assumptions!$C$31)+Assumptions!$C$28-Assumptions!$C$29-$N936*Assumptions!$C$30</f>
        <v>109.9758565</v>
      </c>
      <c r="T936" s="139">
        <f>($O936*(1-(Assumptions!$C$25+0.06*(1-$J936))-Assumptions!$C$27)-Assumptions!$C$28)-MAX(0,($O936*(1-(Assumptions!$C$25+0.06*(1-$J936))-Assumptions!$C$27)-Assumptions!$C$28)*Assumptions!$C$31)+Assumptions!$C$28-Assumptions!$C$29-$O936*Assumptions!$C$30</f>
        <v>47.14727861</v>
      </c>
      <c r="U936" s="139">
        <f>($P936*(1-(Assumptions!$C$25+0.06*(1-$K936))-Assumptions!$C$27)-Assumptions!$C$28)-MAX(0,($P936*(1-(Assumptions!$C$25+0.06*(1-$K936))-Assumptions!$C$27)-Assumptions!$C$28)*Assumptions!$C$31)+Assumptions!$C$28-Assumptions!$C$29-$P936*Assumptions!$C$30</f>
        <v>51.22806215</v>
      </c>
      <c r="V936" s="143">
        <f>(($Q936/(1+$D936)^1+$R936/(1+$D936)^2+$S936/(1+$D936)^3+$T936/(1+$D936)^4+$U936/(1+$D936)^5+$U936*(1+$E936)/($D936-$E936)/(1+$D936)^5)-Assumptions!$C$37)/Assumptions!$C$40/Assumptions!$C$38</f>
        <v>-0.6133417226</v>
      </c>
    </row>
    <row r="937" ht="12.0" customHeight="1">
      <c r="B937" s="139">
        <v>885.0</v>
      </c>
      <c r="C937" s="140">
        <f t="shared" si="6"/>
        <v>0.2216898528</v>
      </c>
      <c r="D937" s="141">
        <f t="shared" si="7"/>
        <v>0.09366907493</v>
      </c>
      <c r="E937" s="141">
        <f t="shared" si="8"/>
        <v>0.02619839625</v>
      </c>
      <c r="F937" s="140">
        <f t="shared" si="9"/>
        <v>0.8342048343</v>
      </c>
      <c r="G937" s="141">
        <f t="shared" si="10"/>
        <v>0.0727248358</v>
      </c>
      <c r="H937" s="142">
        <f t="shared" si="11"/>
        <v>1</v>
      </c>
      <c r="I937" s="142">
        <f t="shared" si="12"/>
        <v>1</v>
      </c>
      <c r="J937" s="142">
        <f t="shared" si="13"/>
        <v>0</v>
      </c>
      <c r="K937" s="142">
        <f t="shared" si="14"/>
        <v>1</v>
      </c>
      <c r="L937" s="139">
        <f>Assumptions!$C$6*Assumptions!$C$7*(1+$G937-0.05*(1-1))^1+Assumptions!$C$6*Assumptions!$C$8*(1+Assumptions!$C$11)^1+Assumptions!$C$16*1+Assumptions!$C$6*Assumptions!$C$9*(1+Assumptions!$C$12)^1</f>
        <v>750.9471797</v>
      </c>
      <c r="M937" s="139">
        <f>Assumptions!$C$6*Assumptions!$C$7*(1+$G937-0.05*(1-$H937))^2+Assumptions!$C$6*Assumptions!$C$8*(1+Assumptions!$C$11)^2+Assumptions!$C$16*$H937+Assumptions!$C$6*Assumptions!$C$9*(1+Assumptions!$C$12)^2</f>
        <v>783.8039638</v>
      </c>
      <c r="N937" s="139">
        <f>Assumptions!$C$6*Assumptions!$C$7*(1+$G937-0.05*(1-$I937))^3+Assumptions!$C$6*Assumptions!$C$8*(1+Assumptions!$C$11)^3+Assumptions!$C$16*$I937+Assumptions!$C$6*Assumptions!$C$9*(1+Assumptions!$C$12)^3</f>
        <v>818.7024073</v>
      </c>
      <c r="O937" s="139">
        <f>Assumptions!$C$6*Assumptions!$C$7*(1+$G937-0.05*(1-$J937))^4+Assumptions!$C$6*Assumptions!$C$8*(1+Assumptions!$C$11)^4+Assumptions!$C$16*$J937+Assumptions!$C$6*Assumptions!$C$9*(1+Assumptions!$C$12)^4</f>
        <v>718.314128</v>
      </c>
      <c r="P937" s="139">
        <f>Assumptions!$C$6*Assumptions!$C$7*(1+$G937-0.05*(1-$K937))^5+Assumptions!$C$6*Assumptions!$C$8*(1+Assumptions!$C$11)^5+Assumptions!$C$16*$K937+Assumptions!$C$6*Assumptions!$C$9*(1+Assumptions!$C$12)^5</f>
        <v>895.2005159</v>
      </c>
      <c r="Q937" s="139">
        <f>($L937*(1-(Assumptions!$C$25+0.06*(1-1))-Assumptions!$C$27)-Assumptions!$C$28)-MAX(0,($L937*(1-(Assumptions!$C$25+0.06*(1-1))-Assumptions!$C$27)-Assumptions!$C$28)*Assumptions!$C$31)+Assumptions!$C$28-Assumptions!$C$29-$L937*Assumptions!$C$30</f>
        <v>93.95364364</v>
      </c>
      <c r="R937" s="139">
        <f>($M937*(1-(Assumptions!$C$25+0.06*(1-$H937))-Assumptions!$C$27)-Assumptions!$C$28)-MAX(0,($M937*(1-(Assumptions!$C$25+0.06*(1-$H937))-Assumptions!$C$27)-Assumptions!$C$28)*Assumptions!$C$31)+Assumptions!$C$28-Assumptions!$C$29-$M937*Assumptions!$C$30</f>
        <v>101.0178522</v>
      </c>
      <c r="S937" s="139">
        <f>($N937*(1-(Assumptions!$C$25+0.06*(1-$I937))-Assumptions!$C$27)-Assumptions!$C$28)-MAX(0,($N937*(1-(Assumptions!$C$25+0.06*(1-$I937))-Assumptions!$C$27)-Assumptions!$C$28)*Assumptions!$C$31)+Assumptions!$C$28-Assumptions!$C$29-$N937*Assumptions!$C$30</f>
        <v>108.5210176</v>
      </c>
      <c r="T937" s="139">
        <f>($O937*(1-(Assumptions!$C$25+0.06*(1-$J937))-Assumptions!$C$27)-Assumptions!$C$28)-MAX(0,($O937*(1-(Assumptions!$C$25+0.06*(1-$J937))-Assumptions!$C$27)-Assumptions!$C$28)*Assumptions!$C$31)+Assumptions!$C$28-Assumptions!$C$29-$O937*Assumptions!$C$30</f>
        <v>45.21224945</v>
      </c>
      <c r="U937" s="139">
        <f>($P937*(1-(Assumptions!$C$25+0.06*(1-$K937))-Assumptions!$C$27)-Assumptions!$C$28)-MAX(0,($P937*(1-(Assumptions!$C$25+0.06*(1-$K937))-Assumptions!$C$27)-Assumptions!$C$28)*Assumptions!$C$31)+Assumptions!$C$28-Assumptions!$C$29-$P937*Assumptions!$C$30</f>
        <v>124.9681109</v>
      </c>
      <c r="V937" s="143">
        <f>(($Q937/(1+$D937)^1+$R937/(1+$D937)^2+$S937/(1+$D937)^3+$T937/(1+$D937)^4+$U937/(1+$D937)^5+$U937*(1+$E937)/($D937-$E937)/(1+$D937)^5)-Assumptions!$C$37)/Assumptions!$C$40/Assumptions!$C$38</f>
        <v>6.92863836</v>
      </c>
    </row>
    <row r="938" ht="12.0" customHeight="1">
      <c r="B938" s="139">
        <v>886.0</v>
      </c>
      <c r="C938" s="140">
        <f t="shared" si="6"/>
        <v>0.2686057948</v>
      </c>
      <c r="D938" s="141">
        <f t="shared" si="7"/>
        <v>0.09454239825</v>
      </c>
      <c r="E938" s="141">
        <f t="shared" si="8"/>
        <v>0.02689916565</v>
      </c>
      <c r="F938" s="140">
        <f t="shared" si="9"/>
        <v>0.9918831971</v>
      </c>
      <c r="G938" s="141">
        <f t="shared" si="10"/>
        <v>0.08617766494</v>
      </c>
      <c r="H938" s="142">
        <f t="shared" si="11"/>
        <v>1</v>
      </c>
      <c r="I938" s="142">
        <f t="shared" si="12"/>
        <v>0</v>
      </c>
      <c r="J938" s="142">
        <f t="shared" si="13"/>
        <v>1</v>
      </c>
      <c r="K938" s="142">
        <f t="shared" si="14"/>
        <v>1</v>
      </c>
      <c r="L938" s="139">
        <f>Assumptions!$C$6*Assumptions!$C$7*(1+$G938-0.05*(1-1))^1+Assumptions!$C$6*Assumptions!$C$8*(1+Assumptions!$C$11)^1+Assumptions!$C$16*1+Assumptions!$C$6*Assumptions!$C$9*(1+Assumptions!$C$12)^1</f>
        <v>755.475402</v>
      </c>
      <c r="M938" s="139">
        <f>Assumptions!$C$6*Assumptions!$C$7*(1+$G938-0.05*(1-$H938))^2+Assumptions!$C$6*Assumptions!$C$8*(1+Assumptions!$C$11)^2+Assumptions!$C$16*$H938+Assumptions!$C$6*Assumptions!$C$9*(1+Assumptions!$C$12)^2</f>
        <v>793.5799542</v>
      </c>
      <c r="N938" s="139">
        <f>Assumptions!$C$6*Assumptions!$C$7*(1+$G938-0.05*(1-$I938))^3+Assumptions!$C$6*Assumptions!$C$8*(1+Assumptions!$C$11)^3+Assumptions!$C$16*$I938+Assumptions!$C$6*Assumptions!$C$9*(1+Assumptions!$C$12)^3</f>
        <v>717.6644612</v>
      </c>
      <c r="O938" s="139">
        <f>Assumptions!$C$6*Assumptions!$C$7*(1+$G938-0.05*(1-$J938))^4+Assumptions!$C$6*Assumptions!$C$8*(1+Assumptions!$C$11)^4+Assumptions!$C$16*$J938+Assumptions!$C$6*Assumptions!$C$9*(1+Assumptions!$C$12)^4</f>
        <v>878.5671789</v>
      </c>
      <c r="P938" s="139">
        <f>Assumptions!$C$6*Assumptions!$C$7*(1+$G938-0.05*(1-$K938))^5+Assumptions!$C$6*Assumptions!$C$8*(1+Assumptions!$C$11)^5+Assumptions!$C$16*$K938+Assumptions!$C$6*Assumptions!$C$9*(1+Assumptions!$C$12)^5</f>
        <v>925.9433288</v>
      </c>
      <c r="Q938" s="139">
        <f>($L938*(1-(Assumptions!$C$25+0.06*(1-1))-Assumptions!$C$27)-Assumptions!$C$28)-MAX(0,($L938*(1-(Assumptions!$C$25+0.06*(1-1))-Assumptions!$C$27)-Assumptions!$C$28)*Assumptions!$C$31)+Assumptions!$C$28-Assumptions!$C$29-$L938*Assumptions!$C$30</f>
        <v>94.92721143</v>
      </c>
      <c r="R938" s="139">
        <f>($M938*(1-(Assumptions!$C$25+0.06*(1-$H938))-Assumptions!$C$27)-Assumptions!$C$28)-MAX(0,($M938*(1-(Assumptions!$C$25+0.06*(1-$H938))-Assumptions!$C$27)-Assumptions!$C$28)*Assumptions!$C$31)+Assumptions!$C$28-Assumptions!$C$29-$M938*Assumptions!$C$30</f>
        <v>103.1196902</v>
      </c>
      <c r="S938" s="139">
        <f>($N938*(1-(Assumptions!$C$25+0.06*(1-$I938))-Assumptions!$C$27)-Assumptions!$C$28)-MAX(0,($N938*(1-(Assumptions!$C$25+0.06*(1-$I938))-Assumptions!$C$27)-Assumptions!$C$28)*Assumptions!$C$31)+Assumptions!$C$28-Assumptions!$C$29-$N938*Assumptions!$C$30</f>
        <v>45.06282608</v>
      </c>
      <c r="T938" s="139">
        <f>($O938*(1-(Assumptions!$C$25+0.06*(1-$J938))-Assumptions!$C$27)-Assumptions!$C$28)-MAX(0,($O938*(1-(Assumptions!$C$25+0.06*(1-$J938))-Assumptions!$C$27)-Assumptions!$C$28)*Assumptions!$C$31)+Assumptions!$C$28-Assumptions!$C$29-$O938*Assumptions!$C$30</f>
        <v>121.3919435</v>
      </c>
      <c r="U938" s="139">
        <f>($P938*(1-(Assumptions!$C$25+0.06*(1-$K938))-Assumptions!$C$27)-Assumptions!$C$28)-MAX(0,($P938*(1-(Assumptions!$C$25+0.06*(1-$K938))-Assumptions!$C$27)-Assumptions!$C$28)*Assumptions!$C$31)+Assumptions!$C$28-Assumptions!$C$29-$P938*Assumptions!$C$30</f>
        <v>131.5778157</v>
      </c>
      <c r="V938" s="143">
        <f>(($Q938/(1+$D938)^1+$R938/(1+$D938)^2+$S938/(1+$D938)^3+$T938/(1+$D938)^4+$U938/(1+$D938)^5+$U938*(1+$E938)/($D938-$E938)/(1+$D938)^5)-Assumptions!$C$37)/Assumptions!$C$40/Assumptions!$C$38</f>
        <v>7.455307156</v>
      </c>
    </row>
    <row r="939" ht="12.0" customHeight="1">
      <c r="B939" s="139">
        <v>887.0</v>
      </c>
      <c r="C939" s="140">
        <f t="shared" si="6"/>
        <v>0.7083280912</v>
      </c>
      <c r="D939" s="141">
        <f t="shared" si="7"/>
        <v>0.1022082862</v>
      </c>
      <c r="E939" s="141">
        <f t="shared" si="8"/>
        <v>0.01813900584</v>
      </c>
      <c r="F939" s="140">
        <f t="shared" si="9"/>
        <v>0.137509898</v>
      </c>
      <c r="G939" s="141">
        <f t="shared" si="10"/>
        <v>0.04573269895</v>
      </c>
      <c r="H939" s="142">
        <f t="shared" si="11"/>
        <v>1</v>
      </c>
      <c r="I939" s="142">
        <f t="shared" si="12"/>
        <v>1</v>
      </c>
      <c r="J939" s="142">
        <f t="shared" si="13"/>
        <v>0</v>
      </c>
      <c r="K939" s="142">
        <f t="shared" si="14"/>
        <v>0</v>
      </c>
      <c r="L939" s="139">
        <f>Assumptions!$C$6*Assumptions!$C$7*(1+$G939-0.05*(1-1))^1+Assumptions!$C$6*Assumptions!$C$8*(1+Assumptions!$C$11)^1+Assumptions!$C$16*1+Assumptions!$C$6*Assumptions!$C$9*(1+Assumptions!$C$12)^1</f>
        <v>741.8616265</v>
      </c>
      <c r="M939" s="139">
        <f>Assumptions!$C$6*Assumptions!$C$7*(1+$G939-0.05*(1-$H939))^2+Assumptions!$C$6*Assumptions!$C$8*(1+Assumptions!$C$11)^2+Assumptions!$C$16*$H939+Assumptions!$C$6*Assumptions!$C$9*(1+Assumptions!$C$12)^2</f>
        <v>764.556605</v>
      </c>
      <c r="N939" s="139">
        <f>Assumptions!$C$6*Assumptions!$C$7*(1+$G939-0.05*(1-$I939))^3+Assumptions!$C$6*Assumptions!$C$8*(1+Assumptions!$C$11)^3+Assumptions!$C$16*$I939+Assumptions!$C$6*Assumptions!$C$9*(1+Assumptions!$C$12)^3</f>
        <v>788.1197183</v>
      </c>
      <c r="O939" s="139">
        <f>Assumptions!$C$6*Assumptions!$C$7*(1+$G939-0.05*(1-$J939))^4+Assumptions!$C$6*Assumptions!$C$8*(1+Assumptions!$C$11)^4+Assumptions!$C$16*$J939+Assumptions!$C$6*Assumptions!$C$9*(1+Assumptions!$C$12)^4</f>
        <v>680.9497385</v>
      </c>
      <c r="P939" s="139">
        <f>Assumptions!$C$6*Assumptions!$C$7*(1+$G939-0.05*(1-$K939))^5+Assumptions!$C$6*Assumptions!$C$8*(1+Assumptions!$C$11)^5+Assumptions!$C$16*$K939+Assumptions!$C$6*Assumptions!$C$9*(1+Assumptions!$C$12)^5</f>
        <v>686.5388975</v>
      </c>
      <c r="Q939" s="139">
        <f>($L939*(1-(Assumptions!$C$25+0.06*(1-1))-Assumptions!$C$27)-Assumptions!$C$28)-MAX(0,($L939*(1-(Assumptions!$C$25+0.06*(1-1))-Assumptions!$C$27)-Assumptions!$C$28)*Assumptions!$C$31)+Assumptions!$C$28-Assumptions!$C$29-$L939*Assumptions!$C$30</f>
        <v>92.00024969</v>
      </c>
      <c r="R939" s="139">
        <f>($M939*(1-(Assumptions!$C$25+0.06*(1-$H939))-Assumptions!$C$27)-Assumptions!$C$28)-MAX(0,($M939*(1-(Assumptions!$C$25+0.06*(1-$H939))-Assumptions!$C$27)-Assumptions!$C$28)*Assumptions!$C$31)+Assumptions!$C$28-Assumptions!$C$29-$M939*Assumptions!$C$30</f>
        <v>96.87967008</v>
      </c>
      <c r="S939" s="139">
        <f>($N939*(1-(Assumptions!$C$25+0.06*(1-$I939))-Assumptions!$C$27)-Assumptions!$C$28)-MAX(0,($N939*(1-(Assumptions!$C$25+0.06*(1-$I939))-Assumptions!$C$27)-Assumptions!$C$28)*Assumptions!$C$31)+Assumptions!$C$28-Assumptions!$C$29-$N939*Assumptions!$C$30</f>
        <v>101.9457394</v>
      </c>
      <c r="T939" s="139">
        <f>($O939*(1-(Assumptions!$C$25+0.06*(1-$J939))-Assumptions!$C$27)-Assumptions!$C$28)-MAX(0,($O939*(1-(Assumptions!$C$25+0.06*(1-$J939))-Assumptions!$C$27)-Assumptions!$C$28)*Assumptions!$C$31)+Assumptions!$C$28-Assumptions!$C$29-$O939*Assumptions!$C$30</f>
        <v>36.61843986</v>
      </c>
      <c r="U939" s="139">
        <f>($P939*(1-(Assumptions!$C$25+0.06*(1-$K939))-Assumptions!$C$27)-Assumptions!$C$28)-MAX(0,($P939*(1-(Assumptions!$C$25+0.06*(1-$K939))-Assumptions!$C$27)-Assumptions!$C$28)*Assumptions!$C$31)+Assumptions!$C$28-Assumptions!$C$29-$P939*Assumptions!$C$30</f>
        <v>37.90394642</v>
      </c>
      <c r="V939" s="143">
        <f>(($Q939/(1+$D939)^1+$R939/(1+$D939)^2+$S939/(1+$D939)^3+$T939/(1+$D939)^4+$U939/(1+$D939)^5+$U939*(1+$E939)/($D939-$E939)/(1+$D939)^5)-Assumptions!$C$37)/Assumptions!$C$40/Assumptions!$C$38</f>
        <v>-0.9525044074</v>
      </c>
    </row>
    <row r="940" ht="12.0" customHeight="1">
      <c r="B940" s="139">
        <v>888.0</v>
      </c>
      <c r="C940" s="140">
        <f t="shared" si="6"/>
        <v>0.11931608</v>
      </c>
      <c r="D940" s="141">
        <f t="shared" si="7"/>
        <v>0.09135988609</v>
      </c>
      <c r="E940" s="141">
        <f t="shared" si="8"/>
        <v>0.02888609016</v>
      </c>
      <c r="F940" s="140">
        <f t="shared" si="9"/>
        <v>0.3052060604</v>
      </c>
      <c r="G940" s="141">
        <f t="shared" si="10"/>
        <v>0.05343866269</v>
      </c>
      <c r="H940" s="142">
        <f t="shared" si="11"/>
        <v>0</v>
      </c>
      <c r="I940" s="142">
        <f t="shared" si="12"/>
        <v>0</v>
      </c>
      <c r="J940" s="142">
        <f t="shared" si="13"/>
        <v>0</v>
      </c>
      <c r="K940" s="142">
        <f t="shared" si="14"/>
        <v>0</v>
      </c>
      <c r="L940" s="139">
        <f>Assumptions!$C$6*Assumptions!$C$7*(1+$G940-0.05*(1-1))^1+Assumptions!$C$6*Assumptions!$C$8*(1+Assumptions!$C$11)^1+Assumptions!$C$16*1+Assumptions!$C$6*Assumptions!$C$9*(1+Assumptions!$C$12)^1</f>
        <v>744.4554539</v>
      </c>
      <c r="M940" s="139">
        <f>Assumptions!$C$6*Assumptions!$C$7*(1+$G940-0.05*(1-$H940))^2+Assumptions!$C$6*Assumptions!$C$8*(1+Assumptions!$C$11)^2+Assumptions!$C$16*$H940+Assumptions!$C$6*Assumptions!$C$9*(1+Assumptions!$C$12)^2</f>
        <v>675.3842478</v>
      </c>
      <c r="N940" s="139">
        <f>Assumptions!$C$6*Assumptions!$C$7*(1+$G940-0.05*(1-$I940))^3+Assumptions!$C$6*Assumptions!$C$8*(1+Assumptions!$C$11)^3+Assumptions!$C$16*$I940+Assumptions!$C$6*Assumptions!$C$9*(1+Assumptions!$C$12)^3</f>
        <v>683.2789828</v>
      </c>
      <c r="O940" s="139">
        <f>Assumptions!$C$6*Assumptions!$C$7*(1+$G940-0.05*(1-$J940))^4+Assumptions!$C$6*Assumptions!$C$8*(1+Assumptions!$C$11)^4+Assumptions!$C$16*$J940+Assumptions!$C$6*Assumptions!$C$9*(1+Assumptions!$C$12)^4</f>
        <v>691.3123113</v>
      </c>
      <c r="P940" s="139">
        <f>Assumptions!$C$6*Assumptions!$C$7*(1+$G940-0.05*(1-$K940))^5+Assumptions!$C$6*Assumptions!$C$8*(1+Assumptions!$C$11)^5+Assumptions!$C$16*$K940+Assumptions!$C$6*Assumptions!$C$9*(1+Assumptions!$C$12)^5</f>
        <v>699.4869391</v>
      </c>
      <c r="Q940" s="139">
        <f>($L940*(1-(Assumptions!$C$25+0.06*(1-1))-Assumptions!$C$27)-Assumptions!$C$28)-MAX(0,($L940*(1-(Assumptions!$C$25+0.06*(1-1))-Assumptions!$C$27)-Assumptions!$C$28)*Assumptions!$C$31)+Assumptions!$C$28-Assumptions!$C$29-$L940*Assumptions!$C$30</f>
        <v>92.55792258</v>
      </c>
      <c r="R940" s="139">
        <f>($M940*(1-(Assumptions!$C$25+0.06*(1-$H940))-Assumptions!$C$27)-Assumptions!$C$28)-MAX(0,($M940*(1-(Assumptions!$C$25+0.06*(1-$H940))-Assumptions!$C$27)-Assumptions!$C$28)*Assumptions!$C$31)+Assumptions!$C$28-Assumptions!$C$29-$M940*Assumptions!$C$30</f>
        <v>35.338377</v>
      </c>
      <c r="S940" s="139">
        <f>($N940*(1-(Assumptions!$C$25+0.06*(1-$I940))-Assumptions!$C$27)-Assumptions!$C$28)-MAX(0,($N940*(1-(Assumptions!$C$25+0.06*(1-$I940))-Assumptions!$C$27)-Assumptions!$C$28)*Assumptions!$C$31)+Assumptions!$C$28-Assumptions!$C$29-$N940*Assumptions!$C$30</f>
        <v>37.15416603</v>
      </c>
      <c r="T940" s="139">
        <f>($O940*(1-(Assumptions!$C$25+0.06*(1-$J940))-Assumptions!$C$27)-Assumptions!$C$28)-MAX(0,($O940*(1-(Assumptions!$C$25+0.06*(1-$J940))-Assumptions!$C$27)-Assumptions!$C$28)*Assumptions!$C$31)+Assumptions!$C$28-Assumptions!$C$29-$O940*Assumptions!$C$30</f>
        <v>39.00183161</v>
      </c>
      <c r="U940" s="139">
        <f>($P940*(1-(Assumptions!$C$25+0.06*(1-$K940))-Assumptions!$C$27)-Assumptions!$C$28)-MAX(0,($P940*(1-(Assumptions!$C$25+0.06*(1-$K940))-Assumptions!$C$27)-Assumptions!$C$28)*Assumptions!$C$31)+Assumptions!$C$28-Assumptions!$C$29-$P940*Assumptions!$C$30</f>
        <v>40.88199599</v>
      </c>
      <c r="V940" s="143">
        <f>(($Q940/(1+$D940)^1+$R940/(1+$D940)^2+$S940/(1+$D940)^3+$T940/(1+$D940)^4+$U940/(1+$D940)^5+$U940*(1+$E940)/($D940-$E940)/(1+$D940)^5)-Assumptions!$C$37)/Assumptions!$C$40/Assumptions!$C$38</f>
        <v>-0.4672087886</v>
      </c>
    </row>
    <row r="941" ht="12.0" customHeight="1">
      <c r="B941" s="139">
        <v>889.0</v>
      </c>
      <c r="C941" s="140">
        <f t="shared" si="6"/>
        <v>0.3337436846</v>
      </c>
      <c r="D941" s="141">
        <f t="shared" si="7"/>
        <v>0.09563668694</v>
      </c>
      <c r="E941" s="141">
        <f t="shared" si="8"/>
        <v>0.02448790355</v>
      </c>
      <c r="F941" s="140">
        <f t="shared" si="9"/>
        <v>0.7960154141</v>
      </c>
      <c r="G941" s="141">
        <f t="shared" si="10"/>
        <v>0.07083826066</v>
      </c>
      <c r="H941" s="142">
        <f t="shared" si="11"/>
        <v>1</v>
      </c>
      <c r="I941" s="142">
        <f t="shared" si="12"/>
        <v>1</v>
      </c>
      <c r="J941" s="142">
        <f t="shared" si="13"/>
        <v>1</v>
      </c>
      <c r="K941" s="142">
        <f t="shared" si="14"/>
        <v>0</v>
      </c>
      <c r="L941" s="139">
        <f>Assumptions!$C$6*Assumptions!$C$7*(1+$G941-0.05*(1-1))^1+Assumptions!$C$6*Assumptions!$C$8*(1+Assumptions!$C$11)^1+Assumptions!$C$16*1+Assumptions!$C$6*Assumptions!$C$9*(1+Assumptions!$C$12)^1</f>
        <v>750.3121585</v>
      </c>
      <c r="M941" s="139">
        <f>Assumptions!$C$6*Assumptions!$C$7*(1+$G941-0.05*(1-$H941))^2+Assumptions!$C$6*Assumptions!$C$8*(1+Assumptions!$C$11)^2+Assumptions!$C$16*$H941+Assumptions!$C$6*Assumptions!$C$9*(1+Assumptions!$C$12)^2</f>
        <v>782.4427558</v>
      </c>
      <c r="N941" s="139">
        <f>Assumptions!$C$6*Assumptions!$C$7*(1+$G941-0.05*(1-$I941))^3+Assumptions!$C$6*Assumptions!$C$8*(1+Assumptions!$C$11)^3+Assumptions!$C$16*$I941+Assumptions!$C$6*Assumptions!$C$9*(1+Assumptions!$C$12)^3</f>
        <v>816.5140304</v>
      </c>
      <c r="O941" s="139">
        <f>Assumptions!$C$6*Assumptions!$C$7*(1+$G941-0.05*(1-$J941))^4+Assumptions!$C$6*Assumptions!$C$8*(1+Assumptions!$C$11)^4+Assumptions!$C$16*$J941+Assumptions!$C$6*Assumptions!$C$9*(1+Assumptions!$C$12)^4</f>
        <v>852.6567485</v>
      </c>
      <c r="P941" s="139">
        <f>Assumptions!$C$6*Assumptions!$C$7*(1+$G941-0.05*(1-$K941))^5+Assumptions!$C$6*Assumptions!$C$8*(1+Assumptions!$C$11)^5+Assumptions!$C$16*$K941+Assumptions!$C$6*Assumptions!$C$9*(1+Assumptions!$C$12)^5</f>
        <v>730.2229295</v>
      </c>
      <c r="Q941" s="139">
        <f>($L941*(1-(Assumptions!$C$25+0.06*(1-1))-Assumptions!$C$27)-Assumptions!$C$28)-MAX(0,($L941*(1-(Assumptions!$C$25+0.06*(1-1))-Assumptions!$C$27)-Assumptions!$C$28)*Assumptions!$C$31)+Assumptions!$C$28-Assumptions!$C$29-$L941*Assumptions!$C$30</f>
        <v>93.81711409</v>
      </c>
      <c r="R941" s="139">
        <f>($M941*(1-(Assumptions!$C$25+0.06*(1-$H941))-Assumptions!$C$27)-Assumptions!$C$28)-MAX(0,($M941*(1-(Assumptions!$C$25+0.06*(1-$H941))-Assumptions!$C$27)-Assumptions!$C$28)*Assumptions!$C$31)+Assumptions!$C$28-Assumptions!$C$29-$M941*Assumptions!$C$30</f>
        <v>100.7251925</v>
      </c>
      <c r="S941" s="139">
        <f>($N941*(1-(Assumptions!$C$25+0.06*(1-$I941))-Assumptions!$C$27)-Assumptions!$C$28)-MAX(0,($N941*(1-(Assumptions!$C$25+0.06*(1-$I941))-Assumptions!$C$27)-Assumptions!$C$28)*Assumptions!$C$31)+Assumptions!$C$28-Assumptions!$C$29-$N941*Assumptions!$C$30</f>
        <v>108.0505165</v>
      </c>
      <c r="T941" s="139">
        <f>($O941*(1-(Assumptions!$C$25+0.06*(1-$J941))-Assumptions!$C$27)-Assumptions!$C$28)-MAX(0,($O941*(1-(Assumptions!$C$25+0.06*(1-$J941))-Assumptions!$C$27)-Assumptions!$C$28)*Assumptions!$C$31)+Assumptions!$C$28-Assumptions!$C$29-$O941*Assumptions!$C$30</f>
        <v>115.8212009</v>
      </c>
      <c r="U941" s="139">
        <f>($P941*(1-(Assumptions!$C$25+0.06*(1-$K941))-Assumptions!$C$27)-Assumptions!$C$28)-MAX(0,($P941*(1-(Assumptions!$C$25+0.06*(1-$K941))-Assumptions!$C$27)-Assumptions!$C$28)*Assumptions!$C$31)+Assumptions!$C$28-Assumptions!$C$29-$P941*Assumptions!$C$30</f>
        <v>47.9512738</v>
      </c>
      <c r="V941" s="143">
        <f>(($Q941/(1+$D941)^1+$R941/(1+$D941)^2+$S941/(1+$D941)^3+$T941/(1+$D941)^4+$U941/(1+$D941)^5+$U941*(1+$E941)/($D941-$E941)/(1+$D941)^5)-Assumptions!$C$37)/Assumptions!$C$40/Assumptions!$C$38</f>
        <v>0.8433281432</v>
      </c>
    </row>
    <row r="942" ht="12.0" customHeight="1">
      <c r="B942" s="139">
        <v>890.0</v>
      </c>
      <c r="C942" s="140">
        <f t="shared" si="6"/>
        <v>0.746172396</v>
      </c>
      <c r="D942" s="141">
        <f t="shared" si="7"/>
        <v>0.1030669666</v>
      </c>
      <c r="E942" s="141">
        <f t="shared" si="8"/>
        <v>0.02581454189</v>
      </c>
      <c r="F942" s="140">
        <f t="shared" si="9"/>
        <v>0.656257735</v>
      </c>
      <c r="G942" s="141">
        <f t="shared" si="10"/>
        <v>0.06512559393</v>
      </c>
      <c r="H942" s="142">
        <f t="shared" si="11"/>
        <v>1</v>
      </c>
      <c r="I942" s="142">
        <f t="shared" si="12"/>
        <v>0</v>
      </c>
      <c r="J942" s="142">
        <f t="shared" si="13"/>
        <v>0</v>
      </c>
      <c r="K942" s="142">
        <f t="shared" si="14"/>
        <v>0</v>
      </c>
      <c r="L942" s="139">
        <f>Assumptions!$C$6*Assumptions!$C$7*(1+$G942-0.05*(1-1))^1+Assumptions!$C$6*Assumptions!$C$8*(1+Assumptions!$C$11)^1+Assumptions!$C$16*1+Assumptions!$C$6*Assumptions!$C$9*(1+Assumptions!$C$12)^1</f>
        <v>748.3892749</v>
      </c>
      <c r="M942" s="139">
        <f>Assumptions!$C$6*Assumptions!$C$7*(1+$G942-0.05*(1-$H942))^2+Assumptions!$C$6*Assumptions!$C$8*(1+Assumptions!$C$11)^2+Assumptions!$C$16*$H942+Assumptions!$C$6*Assumptions!$C$9*(1+Assumptions!$C$12)^2</f>
        <v>778.3355459</v>
      </c>
      <c r="N942" s="139">
        <f>Assumptions!$C$6*Assumptions!$C$7*(1+$G942-0.05*(1-$I942))^3+Assumptions!$C$6*Assumptions!$C$8*(1+Assumptions!$C$11)^3+Assumptions!$C$16*$I942+Assumptions!$C$6*Assumptions!$C$9*(1+Assumptions!$C$12)^3</f>
        <v>695.3006824</v>
      </c>
      <c r="O942" s="139">
        <f>Assumptions!$C$6*Assumptions!$C$7*(1+$G942-0.05*(1-$J942))^4+Assumptions!$C$6*Assumptions!$C$8*(1+Assumptions!$C$11)^4+Assumptions!$C$16*$J942+Assumptions!$C$6*Assumptions!$C$9*(1+Assumptions!$C$12)^4</f>
        <v>707.4903884</v>
      </c>
      <c r="P942" s="139">
        <f>Assumptions!$C$6*Assumptions!$C$7*(1+$G942-0.05*(1-$K942))^5+Assumptions!$C$6*Assumptions!$C$8*(1+Assumptions!$C$11)^5+Assumptions!$C$16*$K942+Assumptions!$C$6*Assumptions!$C$9*(1+Assumptions!$C$12)^5</f>
        <v>719.8979283</v>
      </c>
      <c r="Q942" s="139">
        <f>($L942*(1-(Assumptions!$C$25+0.06*(1-1))-Assumptions!$C$27)-Assumptions!$C$28)-MAX(0,($L942*(1-(Assumptions!$C$25+0.06*(1-1))-Assumptions!$C$27)-Assumptions!$C$28)*Assumptions!$C$31)+Assumptions!$C$28-Assumptions!$C$29-$L942*Assumptions!$C$30</f>
        <v>93.40369411</v>
      </c>
      <c r="R942" s="139">
        <f>($M942*(1-(Assumptions!$C$25+0.06*(1-$H942))-Assumptions!$C$27)-Assumptions!$C$28)-MAX(0,($M942*(1-(Assumptions!$C$25+0.06*(1-$H942))-Assumptions!$C$27)-Assumptions!$C$28)*Assumptions!$C$31)+Assumptions!$C$28-Assumptions!$C$29-$M942*Assumptions!$C$30</f>
        <v>99.84214237</v>
      </c>
      <c r="S942" s="139">
        <f>($N942*(1-(Assumptions!$C$25+0.06*(1-$I942))-Assumptions!$C$27)-Assumptions!$C$28)-MAX(0,($N942*(1-(Assumptions!$C$25+0.06*(1-$I942))-Assumptions!$C$27)-Assumptions!$C$28)*Assumptions!$C$31)+Assumptions!$C$28-Assumptions!$C$29-$N942*Assumptions!$C$30</f>
        <v>39.91915696</v>
      </c>
      <c r="T942" s="139">
        <f>($O942*(1-(Assumptions!$C$25+0.06*(1-$J942))-Assumptions!$C$27)-Assumptions!$C$28)-MAX(0,($O942*(1-(Assumptions!$C$25+0.06*(1-$J942))-Assumptions!$C$27)-Assumptions!$C$28)*Assumptions!$C$31)+Assumptions!$C$28-Assumptions!$C$29-$O942*Assumptions!$C$30</f>
        <v>42.72278933</v>
      </c>
      <c r="U942" s="139">
        <f>($P942*(1-(Assumptions!$C$25+0.06*(1-$K942))-Assumptions!$C$27)-Assumptions!$C$28)-MAX(0,($P942*(1-(Assumptions!$C$25+0.06*(1-$K942))-Assumptions!$C$27)-Assumptions!$C$28)*Assumptions!$C$31)+Assumptions!$C$28-Assumptions!$C$29-$P942*Assumptions!$C$30</f>
        <v>45.5765235</v>
      </c>
      <c r="V942" s="143">
        <f>(($Q942/(1+$D942)^1+$R942/(1+$D942)^2+$S942/(1+$D942)^3+$T942/(1+$D942)^4+$U942/(1+$D942)^5+$U942*(1+$E942)/($D942-$E942)/(1+$D942)^5)-Assumptions!$C$37)/Assumptions!$C$40/Assumptions!$C$38</f>
        <v>-0.5296897857</v>
      </c>
    </row>
    <row r="943" ht="12.0" customHeight="1">
      <c r="B943" s="139">
        <v>891.0</v>
      </c>
      <c r="C943" s="140">
        <f t="shared" si="6"/>
        <v>0.7983550552</v>
      </c>
      <c r="D943" s="141">
        <f t="shared" si="7"/>
        <v>0.1043640791</v>
      </c>
      <c r="E943" s="141">
        <f t="shared" si="8"/>
        <v>0.02380854487</v>
      </c>
      <c r="F943" s="140">
        <f t="shared" si="9"/>
        <v>0.1339313139</v>
      </c>
      <c r="G943" s="141">
        <f t="shared" si="10"/>
        <v>0.04552663405</v>
      </c>
      <c r="H943" s="142">
        <f t="shared" si="11"/>
        <v>1</v>
      </c>
      <c r="I943" s="142">
        <f t="shared" si="12"/>
        <v>1</v>
      </c>
      <c r="J943" s="142">
        <f t="shared" si="13"/>
        <v>1</v>
      </c>
      <c r="K943" s="142">
        <f t="shared" si="14"/>
        <v>1</v>
      </c>
      <c r="L943" s="139">
        <f>Assumptions!$C$6*Assumptions!$C$7*(1+$G943-0.05*(1-1))^1+Assumptions!$C$6*Assumptions!$C$8*(1+Assumptions!$C$11)^1+Assumptions!$C$16*1+Assumptions!$C$6*Assumptions!$C$9*(1+Assumptions!$C$12)^1</f>
        <v>741.792265</v>
      </c>
      <c r="M943" s="139">
        <f>Assumptions!$C$6*Assumptions!$C$7*(1+$G943-0.05*(1-$H943))^2+Assumptions!$C$6*Assumptions!$C$8*(1+Assumptions!$C$11)^2+Assumptions!$C$16*$H943+Assumptions!$C$6*Assumptions!$C$9*(1+Assumptions!$C$12)^2</f>
        <v>764.4115523</v>
      </c>
      <c r="N943" s="139">
        <f>Assumptions!$C$6*Assumptions!$C$7*(1+$G943-0.05*(1-$I943))^3+Assumptions!$C$6*Assumptions!$C$8*(1+Assumptions!$C$11)^3+Assumptions!$C$16*$I943+Assumptions!$C$6*Assumptions!$C$9*(1+Assumptions!$C$12)^3</f>
        <v>787.8922111</v>
      </c>
      <c r="O943" s="139">
        <f>Assumptions!$C$6*Assumptions!$C$7*(1+$G943-0.05*(1-$J943))^4+Assumptions!$C$6*Assumptions!$C$8*(1+Assumptions!$C$11)^4+Assumptions!$C$16*$J943+Assumptions!$C$6*Assumptions!$C$9*(1+Assumptions!$C$12)^4</f>
        <v>812.2700887</v>
      </c>
      <c r="P943" s="139">
        <f>Assumptions!$C$6*Assumptions!$C$7*(1+$G943-0.05*(1-$K943))^5+Assumptions!$C$6*Assumptions!$C$8*(1+Assumptions!$C$11)^5+Assumptions!$C$16*$K943+Assumptions!$C$6*Assumptions!$C$9*(1+Assumptions!$C$12)^5</f>
        <v>837.582597</v>
      </c>
      <c r="Q943" s="139">
        <f>($L943*(1-(Assumptions!$C$25+0.06*(1-1))-Assumptions!$C$27)-Assumptions!$C$28)-MAX(0,($L943*(1-(Assumptions!$C$25+0.06*(1-1))-Assumptions!$C$27)-Assumptions!$C$28)*Assumptions!$C$31)+Assumptions!$C$28-Assumptions!$C$29-$L943*Assumptions!$C$30</f>
        <v>91.98533698</v>
      </c>
      <c r="R943" s="139">
        <f>($M943*(1-(Assumptions!$C$25+0.06*(1-$H943))-Assumptions!$C$27)-Assumptions!$C$28)-MAX(0,($M943*(1-(Assumptions!$C$25+0.06*(1-$H943))-Assumptions!$C$27)-Assumptions!$C$28)*Assumptions!$C$31)+Assumptions!$C$28-Assumptions!$C$29-$M943*Assumptions!$C$30</f>
        <v>96.84848373</v>
      </c>
      <c r="S943" s="139">
        <f>($N943*(1-(Assumptions!$C$25+0.06*(1-$I943))-Assumptions!$C$27)-Assumptions!$C$28)-MAX(0,($N943*(1-(Assumptions!$C$25+0.06*(1-$I943))-Assumptions!$C$27)-Assumptions!$C$28)*Assumptions!$C$31)+Assumptions!$C$28-Assumptions!$C$29-$N943*Assumptions!$C$30</f>
        <v>101.8968254</v>
      </c>
      <c r="T943" s="139">
        <f>($O943*(1-(Assumptions!$C$25+0.06*(1-$J943))-Assumptions!$C$27)-Assumptions!$C$28)-MAX(0,($O943*(1-(Assumptions!$C$25+0.06*(1-$J943))-Assumptions!$C$27)-Assumptions!$C$28)*Assumptions!$C$31)+Assumptions!$C$28-Assumptions!$C$29-$O943*Assumptions!$C$30</f>
        <v>107.1380691</v>
      </c>
      <c r="U943" s="139">
        <f>($P943*(1-(Assumptions!$C$25+0.06*(1-$K943))-Assumptions!$C$27)-Assumptions!$C$28)-MAX(0,($P943*(1-(Assumptions!$C$25+0.06*(1-$K943))-Assumptions!$C$27)-Assumptions!$C$28)*Assumptions!$C$31)+Assumptions!$C$28-Assumptions!$C$29-$P943*Assumptions!$C$30</f>
        <v>112.5802584</v>
      </c>
      <c r="V943" s="143">
        <f>(($Q943/(1+$D943)^1+$R943/(1+$D943)^2+$S943/(1+$D943)^3+$T943/(1+$D943)^4+$U943/(1+$D943)^5+$U943*(1+$E943)/($D943-$E943)/(1+$D943)^5)-Assumptions!$C$37)/Assumptions!$C$40/Assumptions!$C$38</f>
        <v>4.356377516</v>
      </c>
    </row>
    <row r="944" ht="12.0" customHeight="1">
      <c r="B944" s="139">
        <v>892.0</v>
      </c>
      <c r="C944" s="140">
        <f t="shared" si="6"/>
        <v>0.5848625584</v>
      </c>
      <c r="D944" s="141">
        <f t="shared" si="7"/>
        <v>0.09973919711</v>
      </c>
      <c r="E944" s="141">
        <f t="shared" si="8"/>
        <v>0.0114749322</v>
      </c>
      <c r="F944" s="140">
        <f t="shared" si="9"/>
        <v>0.8060203617</v>
      </c>
      <c r="G944" s="141">
        <f t="shared" si="10"/>
        <v>0.07131408688</v>
      </c>
      <c r="H944" s="142">
        <f t="shared" si="11"/>
        <v>1</v>
      </c>
      <c r="I944" s="142">
        <f t="shared" si="12"/>
        <v>1</v>
      </c>
      <c r="J944" s="142">
        <f t="shared" si="13"/>
        <v>0</v>
      </c>
      <c r="K944" s="142">
        <f t="shared" si="14"/>
        <v>1</v>
      </c>
      <c r="L944" s="139">
        <f>Assumptions!$C$6*Assumptions!$C$7*(1+$G944-0.05*(1-1))^1+Assumptions!$C$6*Assumptions!$C$8*(1+Assumptions!$C$11)^1+Assumptions!$C$16*1+Assumptions!$C$6*Assumptions!$C$9*(1+Assumptions!$C$12)^1</f>
        <v>750.4723216</v>
      </c>
      <c r="M944" s="139">
        <f>Assumptions!$C$6*Assumptions!$C$7*(1+$G944-0.05*(1-$H944))^2+Assumptions!$C$6*Assumptions!$C$8*(1+Assumptions!$C$11)^2+Assumptions!$C$16*$H944+Assumptions!$C$6*Assumptions!$C$9*(1+Assumptions!$C$12)^2</f>
        <v>782.7858496</v>
      </c>
      <c r="N944" s="139">
        <f>Assumptions!$C$6*Assumptions!$C$7*(1+$G944-0.05*(1-$I944))^3+Assumptions!$C$6*Assumptions!$C$8*(1+Assumptions!$C$11)^3+Assumptions!$C$16*$I944+Assumptions!$C$6*Assumptions!$C$9*(1+Assumptions!$C$12)^3</f>
        <v>817.0652497</v>
      </c>
      <c r="O944" s="139">
        <f>Assumptions!$C$6*Assumptions!$C$7*(1+$G944-0.05*(1-$J944))^4+Assumptions!$C$6*Assumptions!$C$8*(1+Assumptions!$C$11)^4+Assumptions!$C$16*$J944+Assumptions!$C$6*Assumptions!$C$9*(1+Assumptions!$C$12)^4</f>
        <v>716.2864382</v>
      </c>
      <c r="P944" s="139">
        <f>Assumptions!$C$6*Assumptions!$C$7*(1+$G944-0.05*(1-$K944))^5+Assumptions!$C$6*Assumptions!$C$8*(1+Assumptions!$C$11)^5+Assumptions!$C$16*$K944+Assumptions!$C$6*Assumptions!$C$9*(1+Assumptions!$C$12)^5</f>
        <v>892.0647408</v>
      </c>
      <c r="Q944" s="139">
        <f>($L944*(1-(Assumptions!$C$25+0.06*(1-1))-Assumptions!$C$27)-Assumptions!$C$28)-MAX(0,($L944*(1-(Assumptions!$C$25+0.06*(1-1))-Assumptions!$C$27)-Assumptions!$C$28)*Assumptions!$C$31)+Assumptions!$C$28-Assumptions!$C$29-$L944*Assumptions!$C$30</f>
        <v>93.85154915</v>
      </c>
      <c r="R944" s="139">
        <f>($M944*(1-(Assumptions!$C$25+0.06*(1-$H944))-Assumptions!$C$27)-Assumptions!$C$28)-MAX(0,($M944*(1-(Assumptions!$C$25+0.06*(1-$H944))-Assumptions!$C$27)-Assumptions!$C$28)*Assumptions!$C$31)+Assumptions!$C$28-Assumptions!$C$29-$M944*Assumptions!$C$30</f>
        <v>100.7989577</v>
      </c>
      <c r="S944" s="139">
        <f>($N944*(1-(Assumptions!$C$25+0.06*(1-$I944))-Assumptions!$C$27)-Assumptions!$C$28)-MAX(0,($N944*(1-(Assumptions!$C$25+0.06*(1-$I944))-Assumptions!$C$27)-Assumptions!$C$28)*Assumptions!$C$31)+Assumptions!$C$28-Assumptions!$C$29-$N944*Assumptions!$C$30</f>
        <v>108.1690287</v>
      </c>
      <c r="T944" s="139">
        <f>($O944*(1-(Assumptions!$C$25+0.06*(1-$J944))-Assumptions!$C$27)-Assumptions!$C$28)-MAX(0,($O944*(1-(Assumptions!$C$25+0.06*(1-$J944))-Assumptions!$C$27)-Assumptions!$C$28)*Assumptions!$C$31)+Assumptions!$C$28-Assumptions!$C$29-$O944*Assumptions!$C$30</f>
        <v>44.74588078</v>
      </c>
      <c r="U944" s="139">
        <f>($P944*(1-(Assumptions!$C$25+0.06*(1-$K944))-Assumptions!$C$27)-Assumptions!$C$28)-MAX(0,($P944*(1-(Assumptions!$C$25+0.06*(1-$K944))-Assumptions!$C$27)-Assumptions!$C$28)*Assumptions!$C$31)+Assumptions!$C$28-Assumptions!$C$29-$P944*Assumptions!$C$30</f>
        <v>124.2939193</v>
      </c>
      <c r="V944" s="143">
        <f>(($Q944/(1+$D944)^1+$R944/(1+$D944)^2+$S944/(1+$D944)^3+$T944/(1+$D944)^4+$U944/(1+$D944)^5+$U944*(1+$E944)/($D944-$E944)/(1+$D944)^5)-Assumptions!$C$37)/Assumptions!$C$40/Assumptions!$C$38</f>
        <v>4.304946053</v>
      </c>
    </row>
    <row r="945" ht="12.0" customHeight="1">
      <c r="B945" s="139">
        <v>893.0</v>
      </c>
      <c r="C945" s="140">
        <f t="shared" si="6"/>
        <v>0.05463528665</v>
      </c>
      <c r="D945" s="141">
        <f t="shared" si="7"/>
        <v>0.08930364522</v>
      </c>
      <c r="E945" s="141">
        <f t="shared" si="8"/>
        <v>0.02544039894</v>
      </c>
      <c r="F945" s="140">
        <f t="shared" si="9"/>
        <v>0.2074343871</v>
      </c>
      <c r="G945" s="141">
        <f t="shared" si="10"/>
        <v>0.04932309232</v>
      </c>
      <c r="H945" s="142">
        <f t="shared" si="11"/>
        <v>0</v>
      </c>
      <c r="I945" s="142">
        <f t="shared" si="12"/>
        <v>0</v>
      </c>
      <c r="J945" s="142">
        <f t="shared" si="13"/>
        <v>0</v>
      </c>
      <c r="K945" s="142">
        <f t="shared" si="14"/>
        <v>0</v>
      </c>
      <c r="L945" s="139">
        <f>Assumptions!$C$6*Assumptions!$C$7*(1+$G945-0.05*(1-1))^1+Assumptions!$C$6*Assumptions!$C$8*(1+Assumptions!$C$11)^1+Assumptions!$C$16*1+Assumptions!$C$6*Assumptions!$C$9*(1+Assumptions!$C$12)^1</f>
        <v>743.0701529</v>
      </c>
      <c r="M945" s="139">
        <f>Assumptions!$C$6*Assumptions!$C$7*(1+$G945-0.05*(1-$H945))^2+Assumptions!$C$6*Assumptions!$C$8*(1+Assumptions!$C$11)^2+Assumptions!$C$16*$H945+Assumptions!$C$6*Assumptions!$C$9*(1+Assumptions!$C$12)^2</f>
        <v>672.60982</v>
      </c>
      <c r="N945" s="139">
        <f>Assumptions!$C$6*Assumptions!$C$7*(1+$G945-0.05*(1-$I945))^3+Assumptions!$C$6*Assumptions!$C$8*(1+Assumptions!$C$11)^3+Assumptions!$C$16*$I945+Assumptions!$C$6*Assumptions!$C$9*(1+Assumptions!$C$12)^3</f>
        <v>679.1115884</v>
      </c>
      <c r="O945" s="139">
        <f>Assumptions!$C$6*Assumptions!$C$7*(1+$G945-0.05*(1-$J945))^4+Assumptions!$C$6*Assumptions!$C$8*(1+Assumptions!$C$11)^4+Assumptions!$C$16*$J945+Assumptions!$C$6*Assumptions!$C$9*(1+Assumptions!$C$12)^4</f>
        <v>685.748097</v>
      </c>
      <c r="P945" s="139">
        <f>Assumptions!$C$6*Assumptions!$C$7*(1+$G945-0.05*(1-$K945))^5+Assumptions!$C$6*Assumptions!$C$8*(1+Assumptions!$C$11)^5+Assumptions!$C$16*$K945+Assumptions!$C$6*Assumptions!$C$9*(1+Assumptions!$C$12)^5</f>
        <v>692.5220374</v>
      </c>
      <c r="Q945" s="139">
        <f>($L945*(1-(Assumptions!$C$25+0.06*(1-1))-Assumptions!$C$27)-Assumptions!$C$28)-MAX(0,($L945*(1-(Assumptions!$C$25+0.06*(1-1))-Assumptions!$C$27)-Assumptions!$C$28)*Assumptions!$C$31)+Assumptions!$C$28-Assumptions!$C$29-$L945*Assumptions!$C$30</f>
        <v>92.26008287</v>
      </c>
      <c r="R945" s="139">
        <f>($M945*(1-(Assumptions!$C$25+0.06*(1-$H945))-Assumptions!$C$27)-Assumptions!$C$28)-MAX(0,($M945*(1-(Assumptions!$C$25+0.06*(1-$H945))-Assumptions!$C$27)-Assumptions!$C$28)*Assumptions!$C$31)+Assumptions!$C$28-Assumptions!$C$29-$M945*Assumptions!$C$30</f>
        <v>34.7002586</v>
      </c>
      <c r="S945" s="139">
        <f>($N945*(1-(Assumptions!$C$25+0.06*(1-$I945))-Assumptions!$C$27)-Assumptions!$C$28)-MAX(0,($N945*(1-(Assumptions!$C$25+0.06*(1-$I945))-Assumptions!$C$27)-Assumptions!$C$28)*Assumptions!$C$31)+Assumptions!$C$28-Assumptions!$C$29-$N945*Assumptions!$C$30</f>
        <v>36.19566534</v>
      </c>
      <c r="T945" s="139">
        <f>($O945*(1-(Assumptions!$C$25+0.06*(1-$J945))-Assumptions!$C$27)-Assumptions!$C$28)-MAX(0,($O945*(1-(Assumptions!$C$25+0.06*(1-$J945))-Assumptions!$C$27)-Assumptions!$C$28)*Assumptions!$C$31)+Assumptions!$C$28-Assumptions!$C$29-$O945*Assumptions!$C$30</f>
        <v>37.72206231</v>
      </c>
      <c r="U945" s="139">
        <f>($P945*(1-(Assumptions!$C$25+0.06*(1-$K945))-Assumptions!$C$27)-Assumptions!$C$28)-MAX(0,($P945*(1-(Assumptions!$C$25+0.06*(1-$K945))-Assumptions!$C$27)-Assumptions!$C$28)*Assumptions!$C$31)+Assumptions!$C$28-Assumptions!$C$29-$P945*Assumptions!$C$30</f>
        <v>39.2800686</v>
      </c>
      <c r="V945" s="143">
        <f>(($Q945/(1+$D945)^1+$R945/(1+$D945)^2+$S945/(1+$D945)^3+$T945/(1+$D945)^4+$U945/(1+$D945)^5+$U945*(1+$E945)/($D945-$E945)/(1+$D945)^5)-Assumptions!$C$37)/Assumptions!$C$40/Assumptions!$C$38</f>
        <v>-0.672090826</v>
      </c>
    </row>
    <row r="946" ht="12.0" customHeight="1">
      <c r="B946" s="139">
        <v>894.0</v>
      </c>
      <c r="C946" s="140">
        <f t="shared" si="6"/>
        <v>0.4201382014</v>
      </c>
      <c r="D946" s="141">
        <f t="shared" si="7"/>
        <v>0.09696385659</v>
      </c>
      <c r="E946" s="141">
        <f t="shared" si="8"/>
        <v>0.02505000514</v>
      </c>
      <c r="F946" s="140">
        <f t="shared" si="9"/>
        <v>0.8149254463</v>
      </c>
      <c r="G946" s="141">
        <f t="shared" si="10"/>
        <v>0.07174803582</v>
      </c>
      <c r="H946" s="142">
        <f t="shared" si="11"/>
        <v>1</v>
      </c>
      <c r="I946" s="142">
        <f t="shared" si="12"/>
        <v>1</v>
      </c>
      <c r="J946" s="142">
        <f t="shared" si="13"/>
        <v>1</v>
      </c>
      <c r="K946" s="142">
        <f t="shared" si="14"/>
        <v>0</v>
      </c>
      <c r="L946" s="139">
        <f>Assumptions!$C$6*Assumptions!$C$7*(1+$G946-0.05*(1-1))^1+Assumptions!$C$6*Assumptions!$C$8*(1+Assumptions!$C$11)^1+Assumptions!$C$16*1+Assumptions!$C$6*Assumptions!$C$9*(1+Assumptions!$C$12)^1</f>
        <v>750.6183889</v>
      </c>
      <c r="M946" s="139">
        <f>Assumptions!$C$6*Assumptions!$C$7*(1+$G946-0.05*(1-$H946))^2+Assumptions!$C$6*Assumptions!$C$8*(1+Assumptions!$C$11)^2+Assumptions!$C$16*$H946+Assumptions!$C$6*Assumptions!$C$9*(1+Assumptions!$C$12)^2</f>
        <v>783.0988807</v>
      </c>
      <c r="N946" s="139">
        <f>Assumptions!$C$6*Assumptions!$C$7*(1+$G946-0.05*(1-$I946))^3+Assumptions!$C$6*Assumptions!$C$8*(1+Assumptions!$C$11)^3+Assumptions!$C$16*$I946+Assumptions!$C$6*Assumptions!$C$9*(1+Assumptions!$C$12)^3</f>
        <v>817.5683836</v>
      </c>
      <c r="O946" s="139">
        <f>Assumptions!$C$6*Assumptions!$C$7*(1+$G946-0.05*(1-$J946))^4+Assumptions!$C$6*Assumptions!$C$8*(1+Assumptions!$C$11)^4+Assumptions!$C$16*$J946+Assumptions!$C$6*Assumptions!$C$9*(1+Assumptions!$C$12)^4</f>
        <v>854.1627772</v>
      </c>
      <c r="P946" s="139">
        <f>Assumptions!$C$6*Assumptions!$C$7*(1+$G946-0.05*(1-$K946))^5+Assumptions!$C$6*Assumptions!$C$8*(1+Assumptions!$C$11)^5+Assumptions!$C$16*$K946+Assumptions!$C$6*Assumptions!$C$9*(1+Assumptions!$C$12)^5</f>
        <v>731.8887187</v>
      </c>
      <c r="Q946" s="139">
        <f>($L946*(1-(Assumptions!$C$25+0.06*(1-1))-Assumptions!$C$27)-Assumptions!$C$28)-MAX(0,($L946*(1-(Assumptions!$C$25+0.06*(1-1))-Assumptions!$C$27)-Assumptions!$C$28)*Assumptions!$C$31)+Assumptions!$C$28-Assumptions!$C$29-$L946*Assumptions!$C$30</f>
        <v>93.8829536</v>
      </c>
      <c r="R946" s="139">
        <f>($M946*(1-(Assumptions!$C$25+0.06*(1-$H946))-Assumptions!$C$27)-Assumptions!$C$28)-MAX(0,($M946*(1-(Assumptions!$C$25+0.06*(1-$H946))-Assumptions!$C$27)-Assumptions!$C$28)*Assumptions!$C$31)+Assumptions!$C$28-Assumptions!$C$29-$M946*Assumptions!$C$30</f>
        <v>100.8662593</v>
      </c>
      <c r="S946" s="139">
        <f>($N946*(1-(Assumptions!$C$25+0.06*(1-$I946))-Assumptions!$C$27)-Assumptions!$C$28)-MAX(0,($N946*(1-(Assumptions!$C$25+0.06*(1-$I946))-Assumptions!$C$27)-Assumptions!$C$28)*Assumptions!$C$31)+Assumptions!$C$28-Assumptions!$C$29-$N946*Assumptions!$C$30</f>
        <v>108.2772025</v>
      </c>
      <c r="T946" s="139">
        <f>($O946*(1-(Assumptions!$C$25+0.06*(1-$J946))-Assumptions!$C$27)-Assumptions!$C$28)-MAX(0,($O946*(1-(Assumptions!$C$25+0.06*(1-$J946))-Assumptions!$C$27)-Assumptions!$C$28)*Assumptions!$C$31)+Assumptions!$C$28-Assumptions!$C$29-$O946*Assumptions!$C$30</f>
        <v>116.1449971</v>
      </c>
      <c r="U946" s="139">
        <f>($P946*(1-(Assumptions!$C$25+0.06*(1-$K946))-Assumptions!$C$27)-Assumptions!$C$28)-MAX(0,($P946*(1-(Assumptions!$C$25+0.06*(1-$K946))-Assumptions!$C$27)-Assumptions!$C$28)*Assumptions!$C$31)+Assumptions!$C$28-Assumptions!$C$29-$P946*Assumptions!$C$30</f>
        <v>48.33440531</v>
      </c>
      <c r="V946" s="143">
        <f>(($Q946/(1+$D946)^1+$R946/(1+$D946)^2+$S946/(1+$D946)^3+$T946/(1+$D946)^4+$U946/(1+$D946)^5+$U946*(1+$E946)/($D946-$E946)/(1+$D946)^5)-Assumptions!$C$37)/Assumptions!$C$40/Assumptions!$C$38</f>
        <v>0.8124896493</v>
      </c>
    </row>
    <row r="947" ht="12.0" customHeight="1">
      <c r="B947" s="139">
        <v>895.0</v>
      </c>
      <c r="C947" s="140">
        <f t="shared" si="6"/>
        <v>0.7060484992</v>
      </c>
      <c r="D947" s="141">
        <f t="shared" si="7"/>
        <v>0.1021583961</v>
      </c>
      <c r="E947" s="141">
        <f t="shared" si="8"/>
        <v>0.01580280387</v>
      </c>
      <c r="F947" s="140">
        <f t="shared" si="9"/>
        <v>0.8605533434</v>
      </c>
      <c r="G947" s="141">
        <f t="shared" si="10"/>
        <v>0.07415689481</v>
      </c>
      <c r="H947" s="142">
        <f t="shared" si="11"/>
        <v>0</v>
      </c>
      <c r="I947" s="142">
        <f t="shared" si="12"/>
        <v>1</v>
      </c>
      <c r="J947" s="142">
        <f t="shared" si="13"/>
        <v>1</v>
      </c>
      <c r="K947" s="142">
        <f t="shared" si="14"/>
        <v>0</v>
      </c>
      <c r="L947" s="139">
        <f>Assumptions!$C$6*Assumptions!$C$7*(1+$G947-0.05*(1-1))^1+Assumptions!$C$6*Assumptions!$C$8*(1+Assumptions!$C$11)^1+Assumptions!$C$16*1+Assumptions!$C$6*Assumptions!$C$9*(1+Assumptions!$C$12)^1</f>
        <v>751.4292108</v>
      </c>
      <c r="M947" s="139">
        <f>Assumptions!$C$6*Assumptions!$C$7*(1+$G947-0.05*(1-$H947))^2+Assumptions!$C$6*Assumptions!$C$8*(1+Assumptions!$C$11)^2+Assumptions!$C$16*$H947+Assumptions!$C$6*Assumptions!$C$9*(1+Assumptions!$C$12)^2</f>
        <v>689.5242064</v>
      </c>
      <c r="N947" s="139">
        <f>Assumptions!$C$6*Assumptions!$C$7*(1+$G947-0.05*(1-$I947))^3+Assumptions!$C$6*Assumptions!$C$8*(1+Assumptions!$C$11)^3+Assumptions!$C$16*$I947+Assumptions!$C$6*Assumptions!$C$9*(1+Assumptions!$C$12)^3</f>
        <v>820.368705</v>
      </c>
      <c r="O947" s="139">
        <f>Assumptions!$C$6*Assumptions!$C$7*(1+$G947-0.05*(1-$J947))^4+Assumptions!$C$6*Assumptions!$C$8*(1+Assumptions!$C$11)^4+Assumptions!$C$16*$J947+Assumptions!$C$6*Assumptions!$C$9*(1+Assumptions!$C$12)^4</f>
        <v>858.1689296</v>
      </c>
      <c r="P947" s="139">
        <f>Assumptions!$C$6*Assumptions!$C$7*(1+$G947-0.05*(1-$K947))^5+Assumptions!$C$6*Assumptions!$C$8*(1+Assumptions!$C$11)^5+Assumptions!$C$16*$K947+Assumptions!$C$6*Assumptions!$C$9*(1+Assumptions!$C$12)^5</f>
        <v>736.3280598</v>
      </c>
      <c r="Q947" s="139">
        <f>($L947*(1-(Assumptions!$C$25+0.06*(1-1))-Assumptions!$C$27)-Assumptions!$C$28)-MAX(0,($L947*(1-(Assumptions!$C$25+0.06*(1-1))-Assumptions!$C$27)-Assumptions!$C$28)*Assumptions!$C$31)+Assumptions!$C$28-Assumptions!$C$29-$L947*Assumptions!$C$30</f>
        <v>94.05728032</v>
      </c>
      <c r="R947" s="139">
        <f>($M947*(1-(Assumptions!$C$25+0.06*(1-$H947))-Assumptions!$C$27)-Assumptions!$C$28)-MAX(0,($M947*(1-(Assumptions!$C$25+0.06*(1-$H947))-Assumptions!$C$27)-Assumptions!$C$28)*Assumptions!$C$31)+Assumptions!$C$28-Assumptions!$C$29-$M947*Assumptions!$C$30</f>
        <v>38.59056747</v>
      </c>
      <c r="S947" s="139">
        <f>($N947*(1-(Assumptions!$C$25+0.06*(1-$I947))-Assumptions!$C$27)-Assumptions!$C$28)-MAX(0,($N947*(1-(Assumptions!$C$25+0.06*(1-$I947))-Assumptions!$C$27)-Assumptions!$C$28)*Assumptions!$C$31)+Assumptions!$C$28-Assumptions!$C$29-$N947*Assumptions!$C$30</f>
        <v>108.8792716</v>
      </c>
      <c r="T947" s="139">
        <f>($O947*(1-(Assumptions!$C$25+0.06*(1-$J947))-Assumptions!$C$27)-Assumptions!$C$28)-MAX(0,($O947*(1-(Assumptions!$C$25+0.06*(1-$J947))-Assumptions!$C$27)-Assumptions!$C$28)*Assumptions!$C$31)+Assumptions!$C$28-Assumptions!$C$29-$O947*Assumptions!$C$30</f>
        <v>117.0063199</v>
      </c>
      <c r="U947" s="139">
        <f>($P947*(1-(Assumptions!$C$25+0.06*(1-$K947))-Assumptions!$C$27)-Assumptions!$C$28)-MAX(0,($P947*(1-(Assumptions!$C$25+0.06*(1-$K947))-Assumptions!$C$27)-Assumptions!$C$28)*Assumptions!$C$31)+Assumptions!$C$28-Assumptions!$C$29-$P947*Assumptions!$C$30</f>
        <v>49.35545375</v>
      </c>
      <c r="V947" s="143">
        <f>(($Q947/(1+$D947)^1+$R947/(1+$D947)^2+$S947/(1+$D947)^3+$T947/(1+$D947)^4+$U947/(1+$D947)^5+$U947*(1+$E947)/($D947-$E947)/(1+$D947)^5)-Assumptions!$C$37)/Assumptions!$C$40/Assumptions!$C$38</f>
        <v>-0.2080386993</v>
      </c>
    </row>
    <row r="948" ht="12.0" customHeight="1">
      <c r="B948" s="139">
        <v>896.0</v>
      </c>
      <c r="C948" s="140">
        <f t="shared" si="6"/>
        <v>0.9320789298</v>
      </c>
      <c r="D948" s="141">
        <f t="shared" si="7"/>
        <v>0.1088271789</v>
      </c>
      <c r="E948" s="141">
        <f t="shared" si="8"/>
        <v>0.01599818971</v>
      </c>
      <c r="F948" s="140">
        <f t="shared" si="9"/>
        <v>0.1073652548</v>
      </c>
      <c r="G948" s="141">
        <f t="shared" si="10"/>
        <v>0.04390170704</v>
      </c>
      <c r="H948" s="142">
        <f t="shared" si="11"/>
        <v>0</v>
      </c>
      <c r="I948" s="142">
        <f t="shared" si="12"/>
        <v>1</v>
      </c>
      <c r="J948" s="142">
        <f t="shared" si="13"/>
        <v>1</v>
      </c>
      <c r="K948" s="142">
        <f t="shared" si="14"/>
        <v>0</v>
      </c>
      <c r="L948" s="139">
        <f>Assumptions!$C$6*Assumptions!$C$7*(1+$G948-0.05*(1-1))^1+Assumptions!$C$6*Assumptions!$C$8*(1+Assumptions!$C$11)^1+Assumptions!$C$16*1+Assumptions!$C$6*Assumptions!$C$9*(1+Assumptions!$C$12)^1</f>
        <v>741.2453146</v>
      </c>
      <c r="M948" s="139">
        <f>Assumptions!$C$6*Assumptions!$C$7*(1+$G948-0.05*(1-$H948))^2+Assumptions!$C$6*Assumptions!$C$8*(1+Assumptions!$C$11)^2+Assumptions!$C$16*$H948+Assumptions!$C$6*Assumptions!$C$9*(1+Assumptions!$C$12)^2</f>
        <v>668.9725071</v>
      </c>
      <c r="N948" s="139">
        <f>Assumptions!$C$6*Assumptions!$C$7*(1+$G948-0.05*(1-$I948))^3+Assumptions!$C$6*Assumptions!$C$8*(1+Assumptions!$C$11)^3+Assumptions!$C$16*$I948+Assumptions!$C$6*Assumptions!$C$9*(1+Assumptions!$C$12)^3</f>
        <v>786.1013402</v>
      </c>
      <c r="O948" s="139">
        <f>Assumptions!$C$6*Assumptions!$C$7*(1+$G948-0.05*(1-$J948))^4+Assumptions!$C$6*Assumptions!$C$8*(1+Assumptions!$C$11)^4+Assumptions!$C$16*$J948+Assumptions!$C$6*Assumptions!$C$9*(1+Assumptions!$C$12)^4</f>
        <v>809.7754901</v>
      </c>
      <c r="P948" s="139">
        <f>Assumptions!$C$6*Assumptions!$C$7*(1+$G948-0.05*(1-$K948))^5+Assumptions!$C$6*Assumptions!$C$8*(1+Assumptions!$C$11)^5+Assumptions!$C$16*$K948+Assumptions!$C$6*Assumptions!$C$9*(1+Assumptions!$C$12)^5</f>
        <v>683.5207224</v>
      </c>
      <c r="Q948" s="139">
        <f>($L948*(1-(Assumptions!$C$25+0.06*(1-1))-Assumptions!$C$27)-Assumptions!$C$28)-MAX(0,($L948*(1-(Assumptions!$C$25+0.06*(1-1))-Assumptions!$C$27)-Assumptions!$C$28)*Assumptions!$C$31)+Assumptions!$C$28-Assumptions!$C$29-$L948*Assumptions!$C$30</f>
        <v>91.86774264</v>
      </c>
      <c r="R948" s="139">
        <f>($M948*(1-(Assumptions!$C$25+0.06*(1-$H948))-Assumptions!$C$27)-Assumptions!$C$28)-MAX(0,($M948*(1-(Assumptions!$C$25+0.06*(1-$H948))-Assumptions!$C$27)-Assumptions!$C$28)*Assumptions!$C$31)+Assumptions!$C$28-Assumptions!$C$29-$M948*Assumptions!$C$30</f>
        <v>33.86367662</v>
      </c>
      <c r="S948" s="139">
        <f>($N948*(1-(Assumptions!$C$25+0.06*(1-$I948))-Assumptions!$C$27)-Assumptions!$C$28)-MAX(0,($N948*(1-(Assumptions!$C$25+0.06*(1-$I948))-Assumptions!$C$27)-Assumptions!$C$28)*Assumptions!$C$31)+Assumptions!$C$28-Assumptions!$C$29-$N948*Assumptions!$C$30</f>
        <v>101.5117881</v>
      </c>
      <c r="T948" s="139">
        <f>($O948*(1-(Assumptions!$C$25+0.06*(1-$J948))-Assumptions!$C$27)-Assumptions!$C$28)-MAX(0,($O948*(1-(Assumptions!$C$25+0.06*(1-$J948))-Assumptions!$C$27)-Assumptions!$C$28)*Assumptions!$C$31)+Assumptions!$C$28-Assumptions!$C$29-$O948*Assumptions!$C$30</f>
        <v>106.6017304</v>
      </c>
      <c r="U948" s="139">
        <f>($P948*(1-(Assumptions!$C$25+0.06*(1-$K948))-Assumptions!$C$27)-Assumptions!$C$28)-MAX(0,($P948*(1-(Assumptions!$C$25+0.06*(1-$K948))-Assumptions!$C$27)-Assumptions!$C$28)*Assumptions!$C$31)+Assumptions!$C$28-Assumptions!$C$29-$P948*Assumptions!$C$30</f>
        <v>37.20976616</v>
      </c>
      <c r="V948" s="143">
        <f>(($Q948/(1+$D948)^1+$R948/(1+$D948)^2+$S948/(1+$D948)^3+$T948/(1+$D948)^4+$U948/(1+$D948)^5+$U948*(1+$E948)/($D948-$E948)/(1+$D948)^5)-Assumptions!$C$37)/Assumptions!$C$40/Assumptions!$C$38</f>
        <v>-1.335728625</v>
      </c>
    </row>
    <row r="949" ht="12.0" customHeight="1">
      <c r="B949" s="139">
        <v>897.0</v>
      </c>
      <c r="C949" s="140">
        <f t="shared" si="6"/>
        <v>0.7911649629</v>
      </c>
      <c r="D949" s="141">
        <f t="shared" si="7"/>
        <v>0.1041761164</v>
      </c>
      <c r="E949" s="141">
        <f t="shared" si="8"/>
        <v>0.02983138177</v>
      </c>
      <c r="F949" s="140">
        <f t="shared" si="9"/>
        <v>0.3881965205</v>
      </c>
      <c r="G949" s="141">
        <f t="shared" si="10"/>
        <v>0.05643395046</v>
      </c>
      <c r="H949" s="142">
        <f t="shared" si="11"/>
        <v>1</v>
      </c>
      <c r="I949" s="142">
        <f t="shared" si="12"/>
        <v>1</v>
      </c>
      <c r="J949" s="142">
        <f t="shared" si="13"/>
        <v>0</v>
      </c>
      <c r="K949" s="142">
        <f t="shared" si="14"/>
        <v>0</v>
      </c>
      <c r="L949" s="139">
        <f>Assumptions!$C$6*Assumptions!$C$7*(1+$G949-0.05*(1-1))^1+Assumptions!$C$6*Assumptions!$C$8*(1+Assumptions!$C$11)^1+Assumptions!$C$16*1+Assumptions!$C$6*Assumptions!$C$9*(1+Assumptions!$C$12)^1</f>
        <v>745.4636677</v>
      </c>
      <c r="M949" s="139">
        <f>Assumptions!$C$6*Assumptions!$C$7*(1+$G949-0.05*(1-$H949))^2+Assumptions!$C$6*Assumptions!$C$8*(1+Assumptions!$C$11)^2+Assumptions!$C$16*$H949+Assumptions!$C$6*Assumptions!$C$9*(1+Assumptions!$C$12)^2</f>
        <v>772.128696</v>
      </c>
      <c r="N949" s="139">
        <f>Assumptions!$C$6*Assumptions!$C$7*(1+$G949-0.05*(1-$I949))^3+Assumptions!$C$6*Assumptions!$C$8*(1+Assumptions!$C$11)^3+Assumptions!$C$16*$I949+Assumptions!$C$6*Assumptions!$C$9*(1+Assumptions!$C$12)^3</f>
        <v>800.0581693</v>
      </c>
      <c r="O949" s="139">
        <f>Assumptions!$C$6*Assumptions!$C$7*(1+$G949-0.05*(1-$J949))^4+Assumptions!$C$6*Assumptions!$C$8*(1+Assumptions!$C$11)^4+Assumptions!$C$16*$J949+Assumptions!$C$6*Assumptions!$C$9*(1+Assumptions!$C$12)^4</f>
        <v>695.4051934</v>
      </c>
      <c r="P949" s="139">
        <f>Assumptions!$C$6*Assumptions!$C$7*(1+$G949-0.05*(1-$K949))^5+Assumptions!$C$6*Assumptions!$C$8*(1+Assumptions!$C$11)^5+Assumptions!$C$16*$K949+Assumptions!$C$6*Assumptions!$C$9*(1+Assumptions!$C$12)^5</f>
        <v>704.6283077</v>
      </c>
      <c r="Q949" s="139">
        <f>($L949*(1-(Assumptions!$C$25+0.06*(1-1))-Assumptions!$C$27)-Assumptions!$C$28)-MAX(0,($L949*(1-(Assumptions!$C$25+0.06*(1-1))-Assumptions!$C$27)-Assumptions!$C$28)*Assumptions!$C$31)+Assumptions!$C$28-Assumptions!$C$29-$L949*Assumptions!$C$30</f>
        <v>92.77468856</v>
      </c>
      <c r="R949" s="139">
        <f>($M949*(1-(Assumptions!$C$25+0.06*(1-$H949))-Assumptions!$C$27)-Assumptions!$C$28)-MAX(0,($M949*(1-(Assumptions!$C$25+0.06*(1-$H949))-Assumptions!$C$27)-Assumptions!$C$28)*Assumptions!$C$31)+Assumptions!$C$28-Assumptions!$C$29-$M949*Assumptions!$C$30</f>
        <v>98.50766964</v>
      </c>
      <c r="S949" s="139">
        <f>($N949*(1-(Assumptions!$C$25+0.06*(1-$I949))-Assumptions!$C$27)-Assumptions!$C$28)-MAX(0,($N949*(1-(Assumptions!$C$25+0.06*(1-$I949))-Assumptions!$C$27)-Assumptions!$C$28)*Assumptions!$C$31)+Assumptions!$C$28-Assumptions!$C$29-$N949*Assumptions!$C$30</f>
        <v>104.5125064</v>
      </c>
      <c r="T949" s="139">
        <f>($O949*(1-(Assumptions!$C$25+0.06*(1-$J949))-Assumptions!$C$27)-Assumptions!$C$28)-MAX(0,($O949*(1-(Assumptions!$C$25+0.06*(1-$J949))-Assumptions!$C$27)-Assumptions!$C$28)*Assumptions!$C$31)+Assumptions!$C$28-Assumptions!$C$29-$O949*Assumptions!$C$30</f>
        <v>39.94319448</v>
      </c>
      <c r="U949" s="139">
        <f>($P949*(1-(Assumptions!$C$25+0.06*(1-$K949))-Assumptions!$C$27)-Assumptions!$C$28)-MAX(0,($P949*(1-(Assumptions!$C$25+0.06*(1-$K949))-Assumptions!$C$27)-Assumptions!$C$28)*Assumptions!$C$31)+Assumptions!$C$28-Assumptions!$C$29-$P949*Assumptions!$C$30</f>
        <v>42.06451078</v>
      </c>
      <c r="V949" s="143">
        <f>(($Q949/(1+$D949)^1+$R949/(1+$D949)^2+$S949/(1+$D949)^3+$T949/(1+$D949)^4+$U949/(1+$D949)^5+$U949*(1+$E949)/($D949-$E949)/(1+$D949)^5)-Assumptions!$C$37)/Assumptions!$C$40/Assumptions!$C$38</f>
        <v>-0.3257223774</v>
      </c>
    </row>
    <row r="950" ht="12.0" customHeight="1">
      <c r="B950" s="139">
        <v>898.0</v>
      </c>
      <c r="C950" s="140">
        <f t="shared" si="6"/>
        <v>0.3376598931</v>
      </c>
      <c r="D950" s="141">
        <f t="shared" si="7"/>
        <v>0.09569891134</v>
      </c>
      <c r="E950" s="141">
        <f t="shared" si="8"/>
        <v>0.01909979898</v>
      </c>
      <c r="F950" s="140">
        <f t="shared" si="9"/>
        <v>0.1652543325</v>
      </c>
      <c r="G950" s="141">
        <f t="shared" si="10"/>
        <v>0.04724696491</v>
      </c>
      <c r="H950" s="142">
        <f t="shared" si="11"/>
        <v>1</v>
      </c>
      <c r="I950" s="142">
        <f t="shared" si="12"/>
        <v>0</v>
      </c>
      <c r="J950" s="142">
        <f t="shared" si="13"/>
        <v>1</v>
      </c>
      <c r="K950" s="142">
        <f t="shared" si="14"/>
        <v>1</v>
      </c>
      <c r="L950" s="139">
        <f>Assumptions!$C$6*Assumptions!$C$7*(1+$G950-0.05*(1-1))^1+Assumptions!$C$6*Assumptions!$C$8*(1+Assumptions!$C$11)^1+Assumptions!$C$16*1+Assumptions!$C$6*Assumptions!$C$9*(1+Assumptions!$C$12)^1</f>
        <v>742.3713284</v>
      </c>
      <c r="M950" s="139">
        <f>Assumptions!$C$6*Assumptions!$C$7*(1+$G950-0.05*(1-$H950))^2+Assumptions!$C$6*Assumptions!$C$8*(1+Assumptions!$C$11)^2+Assumptions!$C$16*$H950+Assumptions!$C$6*Assumptions!$C$9*(1+Assumptions!$C$12)^2</f>
        <v>765.6234008</v>
      </c>
      <c r="N950" s="139">
        <f>Assumptions!$C$6*Assumptions!$C$7*(1+$G950-0.05*(1-$I950))^3+Assumptions!$C$6*Assumptions!$C$8*(1+Assumptions!$C$11)^3+Assumptions!$C$16*$I950+Assumptions!$C$6*Assumptions!$C$9*(1+Assumptions!$C$12)^3</f>
        <v>677.0222988</v>
      </c>
      <c r="O950" s="139">
        <f>Assumptions!$C$6*Assumptions!$C$7*(1+$G950-0.05*(1-$J950))^4+Assumptions!$C$6*Assumptions!$C$8*(1+Assumptions!$C$11)^4+Assumptions!$C$16*$J950+Assumptions!$C$6*Assumptions!$C$9*(1+Assumptions!$C$12)^4</f>
        <v>814.9238578</v>
      </c>
      <c r="P950" s="139">
        <f>Assumptions!$C$6*Assumptions!$C$7*(1+$G950-0.05*(1-$K950))^5+Assumptions!$C$6*Assumptions!$C$8*(1+Assumptions!$C$11)^5+Assumptions!$C$16*$K950+Assumptions!$C$6*Assumptions!$C$9*(1+Assumptions!$C$12)^5</f>
        <v>841.0536855</v>
      </c>
      <c r="Q950" s="139">
        <f>($L950*(1-(Assumptions!$C$25+0.06*(1-1))-Assumptions!$C$27)-Assumptions!$C$28)-MAX(0,($L950*(1-(Assumptions!$C$25+0.06*(1-1))-Assumptions!$C$27)-Assumptions!$C$28)*Assumptions!$C$31)+Assumptions!$C$28-Assumptions!$C$29-$L950*Assumptions!$C$30</f>
        <v>92.1098356</v>
      </c>
      <c r="R950" s="139">
        <f>($M950*(1-(Assumptions!$C$25+0.06*(1-$H950))-Assumptions!$C$27)-Assumptions!$C$28)-MAX(0,($M950*(1-(Assumptions!$C$25+0.06*(1-$H950))-Assumptions!$C$27)-Assumptions!$C$28)*Assumptions!$C$31)+Assumptions!$C$28-Assumptions!$C$29-$M950*Assumptions!$C$30</f>
        <v>97.10903117</v>
      </c>
      <c r="S950" s="139">
        <f>($N950*(1-(Assumptions!$C$25+0.06*(1-$I950))-Assumptions!$C$27)-Assumptions!$C$28)-MAX(0,($N950*(1-(Assumptions!$C$25+0.06*(1-$I950))-Assumptions!$C$27)-Assumptions!$C$28)*Assumptions!$C$31)+Assumptions!$C$28-Assumptions!$C$29-$N950*Assumptions!$C$30</f>
        <v>35.71512873</v>
      </c>
      <c r="T950" s="139">
        <f>($O950*(1-(Assumptions!$C$25+0.06*(1-$J950))-Assumptions!$C$27)-Assumptions!$C$28)-MAX(0,($O950*(1-(Assumptions!$C$25+0.06*(1-$J950))-Assumptions!$C$27)-Assumptions!$C$28)*Assumptions!$C$31)+Assumptions!$C$28-Assumptions!$C$29-$O950*Assumptions!$C$30</f>
        <v>107.7086294</v>
      </c>
      <c r="U950" s="139">
        <f>($P950*(1-(Assumptions!$C$25+0.06*(1-$K950))-Assumptions!$C$27)-Assumptions!$C$28)-MAX(0,($P950*(1-(Assumptions!$C$25+0.06*(1-$K950))-Assumptions!$C$27)-Assumptions!$C$28)*Assumptions!$C$31)+Assumptions!$C$28-Assumptions!$C$29-$P950*Assumptions!$C$30</f>
        <v>113.3265424</v>
      </c>
      <c r="V950" s="143">
        <f>(($Q950/(1+$D950)^1+$R950/(1+$D950)^2+$S950/(1+$D950)^3+$T950/(1+$D950)^4+$U950/(1+$D950)^5+$U950*(1+$E950)/($D950-$E950)/(1+$D950)^5)-Assumptions!$C$37)/Assumptions!$C$40/Assumptions!$C$38</f>
        <v>4.694808772</v>
      </c>
    </row>
    <row r="951" ht="12.0" customHeight="1">
      <c r="B951" s="139">
        <v>899.0</v>
      </c>
      <c r="C951" s="140">
        <f t="shared" si="6"/>
        <v>0.89517036</v>
      </c>
      <c r="D951" s="141">
        <f t="shared" si="7"/>
        <v>0.1073312695</v>
      </c>
      <c r="E951" s="141">
        <f t="shared" si="8"/>
        <v>0.01327762124</v>
      </c>
      <c r="F951" s="140">
        <f t="shared" si="9"/>
        <v>0.9615807819</v>
      </c>
      <c r="G951" s="141">
        <f t="shared" si="10"/>
        <v>0.08168407596</v>
      </c>
      <c r="H951" s="142">
        <f t="shared" si="11"/>
        <v>0</v>
      </c>
      <c r="I951" s="142">
        <f t="shared" si="12"/>
        <v>1</v>
      </c>
      <c r="J951" s="142">
        <f t="shared" si="13"/>
        <v>1</v>
      </c>
      <c r="K951" s="142">
        <f t="shared" si="14"/>
        <v>0</v>
      </c>
      <c r="L951" s="139">
        <f>Assumptions!$C$6*Assumptions!$C$7*(1+$G951-0.05*(1-1))^1+Assumptions!$C$6*Assumptions!$C$8*(1+Assumptions!$C$11)^1+Assumptions!$C$16*1+Assumptions!$C$6*Assumptions!$C$9*(1+Assumptions!$C$12)^1</f>
        <v>753.96286</v>
      </c>
      <c r="M951" s="139">
        <f>Assumptions!$C$6*Assumptions!$C$7*(1+$G951-0.05*(1-$H951))^2+Assumptions!$C$6*Assumptions!$C$8*(1+Assumptions!$C$11)^2+Assumptions!$C$16*$H951+Assumptions!$C$6*Assumptions!$C$9*(1+Assumptions!$C$12)^2</f>
        <v>694.7329862</v>
      </c>
      <c r="N951" s="139">
        <f>Assumptions!$C$6*Assumptions!$C$7*(1+$G951-0.05*(1-$I951))^3+Assumptions!$C$6*Assumptions!$C$8*(1+Assumptions!$C$11)^3+Assumptions!$C$16*$I951+Assumptions!$C$6*Assumptions!$C$9*(1+Assumptions!$C$12)^3</f>
        <v>829.2003774</v>
      </c>
      <c r="O951" s="139">
        <f>Assumptions!$C$6*Assumptions!$C$7*(1+$G951-0.05*(1-$J951))^4+Assumptions!$C$6*Assumptions!$C$8*(1+Assumptions!$C$11)^4+Assumptions!$C$16*$J951+Assumptions!$C$6*Assumptions!$C$9*(1+Assumptions!$C$12)^4</f>
        <v>870.8621536</v>
      </c>
      <c r="P951" s="139">
        <f>Assumptions!$C$6*Assumptions!$C$7*(1+$G951-0.05*(1-$K951))^5+Assumptions!$C$6*Assumptions!$C$8*(1+Assumptions!$C$11)^5+Assumptions!$C$16*$K951+Assumptions!$C$6*Assumptions!$C$9*(1+Assumptions!$C$12)^5</f>
        <v>750.4718632</v>
      </c>
      <c r="Q951" s="139">
        <f>($L951*(1-(Assumptions!$C$25+0.06*(1-1))-Assumptions!$C$27)-Assumptions!$C$28)-MAX(0,($L951*(1-(Assumptions!$C$25+0.06*(1-1))-Assumptions!$C$27)-Assumptions!$C$28)*Assumptions!$C$31)+Assumptions!$C$28-Assumptions!$C$29-$L951*Assumptions!$C$30</f>
        <v>94.60201489</v>
      </c>
      <c r="R951" s="139">
        <f>($M951*(1-(Assumptions!$C$25+0.06*(1-$H951))-Assumptions!$C$27)-Assumptions!$C$28)-MAX(0,($M951*(1-(Assumptions!$C$25+0.06*(1-$H951))-Assumptions!$C$27)-Assumptions!$C$28)*Assumptions!$C$31)+Assumptions!$C$28-Assumptions!$C$29-$M951*Assumptions!$C$30</f>
        <v>39.78858682</v>
      </c>
      <c r="S951" s="139">
        <f>($N951*(1-(Assumptions!$C$25+0.06*(1-$I951))-Assumptions!$C$27)-Assumptions!$C$28)-MAX(0,($N951*(1-(Assumptions!$C$25+0.06*(1-$I951))-Assumptions!$C$27)-Assumptions!$C$28)*Assumptions!$C$31)+Assumptions!$C$28-Assumptions!$C$29-$N951*Assumptions!$C$30</f>
        <v>110.7780811</v>
      </c>
      <c r="T951" s="139">
        <f>($O951*(1-(Assumptions!$C$25+0.06*(1-$J951))-Assumptions!$C$27)-Assumptions!$C$28)-MAX(0,($O951*(1-(Assumptions!$C$25+0.06*(1-$J951))-Assumptions!$C$27)-Assumptions!$C$28)*Assumptions!$C$31)+Assumptions!$C$28-Assumptions!$C$29-$O951*Assumptions!$C$30</f>
        <v>119.735363</v>
      </c>
      <c r="U951" s="139">
        <f>($P951*(1-(Assumptions!$C$25+0.06*(1-$K951))-Assumptions!$C$27)-Assumptions!$C$28)-MAX(0,($P951*(1-(Assumptions!$C$25+0.06*(1-$K951))-Assumptions!$C$27)-Assumptions!$C$28)*Assumptions!$C$31)+Assumptions!$C$28-Assumptions!$C$29-$P951*Assumptions!$C$30</f>
        <v>52.60852854</v>
      </c>
      <c r="V951" s="143">
        <f>(($Q951/(1+$D951)^1+$R951/(1+$D951)^2+$S951/(1+$D951)^3+$T951/(1+$D951)^4+$U951/(1+$D951)^5+$U951*(1+$E951)/($D951-$E951)/(1+$D951)^5)-Assumptions!$C$37)/Assumptions!$C$40/Assumptions!$C$38</f>
        <v>-0.3166183074</v>
      </c>
    </row>
    <row r="952" ht="12.0" customHeight="1">
      <c r="B952" s="139">
        <v>900.0</v>
      </c>
      <c r="C952" s="140">
        <f t="shared" si="6"/>
        <v>0.6311419209</v>
      </c>
      <c r="D952" s="141">
        <f t="shared" si="7"/>
        <v>0.1006149598</v>
      </c>
      <c r="E952" s="141">
        <f t="shared" si="8"/>
        <v>0.0217033198</v>
      </c>
      <c r="F952" s="140">
        <f t="shared" si="9"/>
        <v>0.1143227891</v>
      </c>
      <c r="G952" s="141">
        <f t="shared" si="10"/>
        <v>0.04434506955</v>
      </c>
      <c r="H952" s="142">
        <f t="shared" si="11"/>
        <v>1</v>
      </c>
      <c r="I952" s="142">
        <f t="shared" si="12"/>
        <v>0</v>
      </c>
      <c r="J952" s="142">
        <f t="shared" si="13"/>
        <v>1</v>
      </c>
      <c r="K952" s="142">
        <f t="shared" si="14"/>
        <v>1</v>
      </c>
      <c r="L952" s="139">
        <f>Assumptions!$C$6*Assumptions!$C$7*(1+$G952-0.05*(1-1))^1+Assumptions!$C$6*Assumptions!$C$8*(1+Assumptions!$C$11)^1+Assumptions!$C$16*1+Assumptions!$C$6*Assumptions!$C$9*(1+Assumptions!$C$12)^1</f>
        <v>741.3945504</v>
      </c>
      <c r="M952" s="139">
        <f>Assumptions!$C$6*Assumptions!$C$7*(1+$G952-0.05*(1-$H952))^2+Assumptions!$C$6*Assumptions!$C$8*(1+Assumptions!$C$11)^2+Assumptions!$C$16*$H952+Assumptions!$C$6*Assumptions!$C$9*(1+Assumptions!$C$12)^2</f>
        <v>763.5803797</v>
      </c>
      <c r="N952" s="139">
        <f>Assumptions!$C$6*Assumptions!$C$7*(1+$G952-0.05*(1-$I952))^3+Assumptions!$C$6*Assumptions!$C$8*(1+Assumptions!$C$11)^3+Assumptions!$C$16*$I952+Assumptions!$C$6*Assumptions!$C$9*(1+Assumptions!$C$12)^3</f>
        <v>674.1165492</v>
      </c>
      <c r="O952" s="139">
        <f>Assumptions!$C$6*Assumptions!$C$7*(1+$G952-0.05*(1-$J952))^4+Assumptions!$C$6*Assumptions!$C$8*(1+Assumptions!$C$11)^4+Assumptions!$C$16*$J952+Assumptions!$C$6*Assumptions!$C$9*(1+Assumptions!$C$12)^4</f>
        <v>810.4549887</v>
      </c>
      <c r="P952" s="139">
        <f>Assumptions!$C$6*Assumptions!$C$7*(1+$G952-0.05*(1-$K952))^5+Assumptions!$C$6*Assumptions!$C$8*(1+Assumptions!$C$11)^5+Assumptions!$C$16*$K952+Assumptions!$C$6*Assumptions!$C$9*(1+Assumptions!$C$12)^5</f>
        <v>835.2117674</v>
      </c>
      <c r="Q952" s="139">
        <f>($L952*(1-(Assumptions!$C$25+0.06*(1-1))-Assumptions!$C$27)-Assumptions!$C$28)-MAX(0,($L952*(1-(Assumptions!$C$25+0.06*(1-1))-Assumptions!$C$27)-Assumptions!$C$28)*Assumptions!$C$31)+Assumptions!$C$28-Assumptions!$C$29-$L952*Assumptions!$C$30</f>
        <v>91.89982834</v>
      </c>
      <c r="R952" s="139">
        <f>($M952*(1-(Assumptions!$C$25+0.06*(1-$H952))-Assumptions!$C$27)-Assumptions!$C$28)-MAX(0,($M952*(1-(Assumptions!$C$25+0.06*(1-$H952))-Assumptions!$C$27)-Assumptions!$C$28)*Assumptions!$C$31)+Assumptions!$C$28-Assumptions!$C$29-$M952*Assumptions!$C$30</f>
        <v>96.66978164</v>
      </c>
      <c r="S952" s="139">
        <f>($N952*(1-(Assumptions!$C$25+0.06*(1-$I952))-Assumptions!$C$27)-Assumptions!$C$28)-MAX(0,($N952*(1-(Assumptions!$C$25+0.06*(1-$I952))-Assumptions!$C$27)-Assumptions!$C$28)*Assumptions!$C$31)+Assumptions!$C$28-Assumptions!$C$29-$N952*Assumptions!$C$30</f>
        <v>35.04680631</v>
      </c>
      <c r="T952" s="139">
        <f>($O952*(1-(Assumptions!$C$25+0.06*(1-$J952))-Assumptions!$C$27)-Assumptions!$C$28)-MAX(0,($O952*(1-(Assumptions!$C$25+0.06*(1-$J952))-Assumptions!$C$27)-Assumptions!$C$28)*Assumptions!$C$31)+Assumptions!$C$28-Assumptions!$C$29-$O952*Assumptions!$C$30</f>
        <v>106.7478226</v>
      </c>
      <c r="U952" s="139">
        <f>($P952*(1-(Assumptions!$C$25+0.06*(1-$K952))-Assumptions!$C$27)-Assumptions!$C$28)-MAX(0,($P952*(1-(Assumptions!$C$25+0.06*(1-$K952))-Assumptions!$C$27)-Assumptions!$C$28)*Assumptions!$C$31)+Assumptions!$C$28-Assumptions!$C$29-$P952*Assumptions!$C$30</f>
        <v>112.07053</v>
      </c>
      <c r="V952" s="143">
        <f>(($Q952/(1+$D952)^1+$R952/(1+$D952)^2+$S952/(1+$D952)^3+$T952/(1+$D952)^4+$U952/(1+$D952)^5+$U952*(1+$E952)/($D952-$E952)/(1+$D952)^5)-Assumptions!$C$37)/Assumptions!$C$40/Assumptions!$C$38</f>
        <v>4.202338567</v>
      </c>
    </row>
    <row r="953" ht="12.0" customHeight="1">
      <c r="B953" s="139">
        <v>901.0</v>
      </c>
      <c r="C953" s="140">
        <f t="shared" si="6"/>
        <v>0.9676945831</v>
      </c>
      <c r="D953" s="141">
        <f t="shared" si="7"/>
        <v>0.1107428485</v>
      </c>
      <c r="E953" s="141">
        <f t="shared" si="8"/>
        <v>0.01512645605</v>
      </c>
      <c r="F953" s="140">
        <f t="shared" si="9"/>
        <v>0.027659172</v>
      </c>
      <c r="G953" s="141">
        <f t="shared" si="10"/>
        <v>0.03705595561</v>
      </c>
      <c r="H953" s="142">
        <f t="shared" si="11"/>
        <v>1</v>
      </c>
      <c r="I953" s="142">
        <f t="shared" si="12"/>
        <v>0</v>
      </c>
      <c r="J953" s="142">
        <f t="shared" si="13"/>
        <v>0</v>
      </c>
      <c r="K953" s="142">
        <f t="shared" si="14"/>
        <v>1</v>
      </c>
      <c r="L953" s="139">
        <f>Assumptions!$C$6*Assumptions!$C$7*(1+$G953-0.05*(1-1))^1+Assumptions!$C$6*Assumptions!$C$8*(1+Assumptions!$C$11)^1+Assumptions!$C$16*1+Assumptions!$C$6*Assumptions!$C$9*(1+Assumptions!$C$12)^1</f>
        <v>738.9410347</v>
      </c>
      <c r="M953" s="139">
        <f>Assumptions!$C$6*Assumptions!$C$7*(1+$G953-0.05*(1-$H953))^2+Assumptions!$C$6*Assumptions!$C$8*(1+Assumptions!$C$11)^2+Assumptions!$C$16*$H953+Assumptions!$C$6*Assumptions!$C$9*(1+Assumptions!$C$12)^2</f>
        <v>758.4736295</v>
      </c>
      <c r="N953" s="139">
        <f>Assumptions!$C$6*Assumptions!$C$7*(1+$G953-0.05*(1-$I953))^3+Assumptions!$C$6*Assumptions!$C$8*(1+Assumptions!$C$11)^3+Assumptions!$C$16*$I953+Assumptions!$C$6*Assumptions!$C$9*(1+Assumptions!$C$12)^3</f>
        <v>666.8922314</v>
      </c>
      <c r="O953" s="139">
        <f>Assumptions!$C$6*Assumptions!$C$7*(1+$G953-0.05*(1-$J953))^4+Assumptions!$C$6*Assumptions!$C$8*(1+Assumptions!$C$11)^4+Assumptions!$C$16*$J953+Assumptions!$C$6*Assumptions!$C$9*(1+Assumptions!$C$12)^4</f>
        <v>669.5661691</v>
      </c>
      <c r="P953" s="139">
        <f>Assumptions!$C$6*Assumptions!$C$7*(1+$G953-0.05*(1-$K953))^5+Assumptions!$C$6*Assumptions!$C$8*(1+Assumptions!$C$11)^5+Assumptions!$C$16*$K953+Assumptions!$C$6*Assumptions!$C$9*(1+Assumptions!$C$12)^5</f>
        <v>820.8213768</v>
      </c>
      <c r="Q953" s="139">
        <f>($L953*(1-(Assumptions!$C$25+0.06*(1-1))-Assumptions!$C$27)-Assumptions!$C$28)-MAX(0,($L953*(1-(Assumptions!$C$25+0.06*(1-1))-Assumptions!$C$27)-Assumptions!$C$28)*Assumptions!$C$31)+Assumptions!$C$28-Assumptions!$C$29-$L953*Assumptions!$C$30</f>
        <v>91.37232245</v>
      </c>
      <c r="R953" s="139">
        <f>($M953*(1-(Assumptions!$C$25+0.06*(1-$H953))-Assumptions!$C$27)-Assumptions!$C$28)-MAX(0,($M953*(1-(Assumptions!$C$25+0.06*(1-$H953))-Assumptions!$C$27)-Assumptions!$C$28)*Assumptions!$C$31)+Assumptions!$C$28-Assumptions!$C$29-$M953*Assumptions!$C$30</f>
        <v>95.57183035</v>
      </c>
      <c r="S953" s="139">
        <f>($N953*(1-(Assumptions!$C$25+0.06*(1-$I953))-Assumptions!$C$27)-Assumptions!$C$28)-MAX(0,($N953*(1-(Assumptions!$C$25+0.06*(1-$I953))-Assumptions!$C$27)-Assumptions!$C$28)*Assumptions!$C$31)+Assumptions!$C$28-Assumptions!$C$29-$N953*Assumptions!$C$30</f>
        <v>33.38521323</v>
      </c>
      <c r="T953" s="139">
        <f>($O953*(1-(Assumptions!$C$25+0.06*(1-$J953))-Assumptions!$C$27)-Assumptions!$C$28)-MAX(0,($O953*(1-(Assumptions!$C$25+0.06*(1-$J953))-Assumptions!$C$27)-Assumptions!$C$28)*Assumptions!$C$31)+Assumptions!$C$28-Assumptions!$C$29-$O953*Assumptions!$C$30</f>
        <v>34.0002189</v>
      </c>
      <c r="U953" s="139">
        <f>($P953*(1-(Assumptions!$C$25+0.06*(1-$K953))-Assumptions!$C$27)-Assumptions!$C$28)-MAX(0,($P953*(1-(Assumptions!$C$25+0.06*(1-$K953))-Assumptions!$C$27)-Assumptions!$C$28)*Assumptions!$C$31)+Assumptions!$C$28-Assumptions!$C$29-$P953*Assumptions!$C$30</f>
        <v>108.976596</v>
      </c>
      <c r="V953" s="143">
        <f>(($Q953/(1+$D953)^1+$R953/(1+$D953)^2+$S953/(1+$D953)^3+$T953/(1+$D953)^4+$U953/(1+$D953)^5+$U953*(1+$E953)/($D953-$E953)/(1+$D953)^5)-Assumptions!$C$37)/Assumptions!$C$40/Assumptions!$C$38</f>
        <v>2.056291585</v>
      </c>
    </row>
    <row r="954" ht="12.0" customHeight="1">
      <c r="B954" s="139">
        <v>902.0</v>
      </c>
      <c r="C954" s="140">
        <f t="shared" si="6"/>
        <v>0.7599072201</v>
      </c>
      <c r="D954" s="141">
        <f t="shared" si="7"/>
        <v>0.1033943096</v>
      </c>
      <c r="E954" s="141">
        <f t="shared" si="8"/>
        <v>0.0273252026</v>
      </c>
      <c r="F954" s="140">
        <f t="shared" si="9"/>
        <v>0.610961457</v>
      </c>
      <c r="G954" s="141">
        <f t="shared" si="10"/>
        <v>0.06353739662</v>
      </c>
      <c r="H954" s="142">
        <f t="shared" si="11"/>
        <v>0</v>
      </c>
      <c r="I954" s="142">
        <f t="shared" si="12"/>
        <v>1</v>
      </c>
      <c r="J954" s="142">
        <f t="shared" si="13"/>
        <v>1</v>
      </c>
      <c r="K954" s="142">
        <f t="shared" si="14"/>
        <v>1</v>
      </c>
      <c r="L954" s="139">
        <f>Assumptions!$C$6*Assumptions!$C$7*(1+$G954-0.05*(1-1))^1+Assumptions!$C$6*Assumptions!$C$8*(1+Assumptions!$C$11)^1+Assumptions!$C$16*1+Assumptions!$C$6*Assumptions!$C$9*(1+Assumptions!$C$12)^1</f>
        <v>747.8546877</v>
      </c>
      <c r="M954" s="139">
        <f>Assumptions!$C$6*Assumptions!$C$7*(1+$G954-0.05*(1-$H954))^2+Assumptions!$C$6*Assumptions!$C$8*(1+Assumptions!$C$11)^2+Assumptions!$C$16*$H954+Assumptions!$C$6*Assumptions!$C$9*(1+Assumptions!$C$12)^2</f>
        <v>682.2404211</v>
      </c>
      <c r="N954" s="139">
        <f>Assumptions!$C$6*Assumptions!$C$7*(1+$G954-0.05*(1-$I954))^3+Assumptions!$C$6*Assumptions!$C$8*(1+Assumptions!$C$11)^3+Assumptions!$C$16*$I954+Assumptions!$C$6*Assumptions!$C$9*(1+Assumptions!$C$12)^3</f>
        <v>808.1176318</v>
      </c>
      <c r="O954" s="139">
        <f>Assumptions!$C$6*Assumptions!$C$7*(1+$G954-0.05*(1-$J954))^4+Assumptions!$C$6*Assumptions!$C$8*(1+Assumptions!$C$11)^4+Assumptions!$C$16*$J954+Assumptions!$C$6*Assumptions!$C$9*(1+Assumptions!$C$12)^4</f>
        <v>840.7092761</v>
      </c>
      <c r="P954" s="139">
        <f>Assumptions!$C$6*Assumptions!$C$7*(1+$G954-0.05*(1-$K954))^5+Assumptions!$C$6*Assumptions!$C$8*(1+Assumptions!$C$11)^5+Assumptions!$C$16*$K954+Assumptions!$C$6*Assumptions!$C$9*(1+Assumptions!$C$12)^5</f>
        <v>875.0728726</v>
      </c>
      <c r="Q954" s="139">
        <f>($L954*(1-(Assumptions!$C$25+0.06*(1-1))-Assumptions!$C$27)-Assumptions!$C$28)-MAX(0,($L954*(1-(Assumptions!$C$25+0.06*(1-1))-Assumptions!$C$27)-Assumptions!$C$28)*Assumptions!$C$31)+Assumptions!$C$28-Assumptions!$C$29-$L954*Assumptions!$C$30</f>
        <v>93.28875786</v>
      </c>
      <c r="R954" s="139">
        <f>($M954*(1-(Assumptions!$C$25+0.06*(1-$H954))-Assumptions!$C$27)-Assumptions!$C$28)-MAX(0,($M954*(1-(Assumptions!$C$25+0.06*(1-$H954))-Assumptions!$C$27)-Assumptions!$C$28)*Assumptions!$C$31)+Assumptions!$C$28-Assumptions!$C$29-$M954*Assumptions!$C$30</f>
        <v>36.91529685</v>
      </c>
      <c r="S954" s="139">
        <f>($N954*(1-(Assumptions!$C$25+0.06*(1-$I954))-Assumptions!$C$27)-Assumptions!$C$28)-MAX(0,($N954*(1-(Assumptions!$C$25+0.06*(1-$I954))-Assumptions!$C$27)-Assumptions!$C$28)*Assumptions!$C$31)+Assumptions!$C$28-Assumptions!$C$29-$N954*Assumptions!$C$30</f>
        <v>106.2452908</v>
      </c>
      <c r="T954" s="139">
        <f>($O954*(1-(Assumptions!$C$25+0.06*(1-$J954))-Assumptions!$C$27)-Assumptions!$C$28)-MAX(0,($O954*(1-(Assumptions!$C$25+0.06*(1-$J954))-Assumptions!$C$27)-Assumptions!$C$28)*Assumptions!$C$31)+Assumptions!$C$28-Assumptions!$C$29-$O954*Assumptions!$C$30</f>
        <v>113.2524944</v>
      </c>
      <c r="U954" s="139">
        <f>($P954*(1-(Assumptions!$C$25+0.06*(1-$K954))-Assumptions!$C$27)-Assumptions!$C$28)-MAX(0,($P954*(1-(Assumptions!$C$25+0.06*(1-$K954))-Assumptions!$C$27)-Assumptions!$C$28)*Assumptions!$C$31)+Assumptions!$C$28-Assumptions!$C$29-$P954*Assumptions!$C$30</f>
        <v>120.6406676</v>
      </c>
      <c r="V954" s="143">
        <f>(($Q954/(1+$D954)^1+$R954/(1+$D954)^2+$S954/(1+$D954)^3+$T954/(1+$D954)^4+$U954/(1+$D954)^5+$U954*(1+$E954)/($D954-$E954)/(1+$D954)^5)-Assumptions!$C$37)/Assumptions!$C$40/Assumptions!$C$38</f>
        <v>5.061732629</v>
      </c>
    </row>
    <row r="955" ht="12.0" customHeight="1">
      <c r="B955" s="139">
        <v>903.0</v>
      </c>
      <c r="C955" s="140">
        <f t="shared" si="6"/>
        <v>0.4458601664</v>
      </c>
      <c r="D955" s="141">
        <f t="shared" si="7"/>
        <v>0.09736842473</v>
      </c>
      <c r="E955" s="141">
        <f t="shared" si="8"/>
        <v>0.02896685119</v>
      </c>
      <c r="F955" s="140">
        <f t="shared" si="9"/>
        <v>0.02281101882</v>
      </c>
      <c r="G955" s="141">
        <f t="shared" si="10"/>
        <v>0.03640779477</v>
      </c>
      <c r="H955" s="142">
        <f t="shared" si="11"/>
        <v>1</v>
      </c>
      <c r="I955" s="142">
        <f t="shared" si="12"/>
        <v>0</v>
      </c>
      <c r="J955" s="142">
        <f t="shared" si="13"/>
        <v>1</v>
      </c>
      <c r="K955" s="142">
        <f t="shared" si="14"/>
        <v>0</v>
      </c>
      <c r="L955" s="139">
        <f>Assumptions!$C$6*Assumptions!$C$7*(1+$G955-0.05*(1-1))^1+Assumptions!$C$6*Assumptions!$C$8*(1+Assumptions!$C$11)^1+Assumptions!$C$16*1+Assumptions!$C$6*Assumptions!$C$9*(1+Assumptions!$C$12)^1</f>
        <v>738.7228637</v>
      </c>
      <c r="M955" s="139">
        <f>Assumptions!$C$6*Assumptions!$C$7*(1+$G955-0.05*(1-$H955))^2+Assumptions!$C$6*Assumptions!$C$8*(1+Assumptions!$C$11)^2+Assumptions!$C$16*$H955+Assumptions!$C$6*Assumptions!$C$9*(1+Assumptions!$C$12)^2</f>
        <v>758.02126</v>
      </c>
      <c r="N955" s="139">
        <f>Assumptions!$C$6*Assumptions!$C$7*(1+$G955-0.05*(1-$I955))^3+Assumptions!$C$6*Assumptions!$C$8*(1+Assumptions!$C$11)^3+Assumptions!$C$16*$I955+Assumptions!$C$6*Assumptions!$C$9*(1+Assumptions!$C$12)^3</f>
        <v>666.2549717</v>
      </c>
      <c r="O955" s="139">
        <f>Assumptions!$C$6*Assumptions!$C$7*(1+$G955-0.05*(1-$J955))^4+Assumptions!$C$6*Assumptions!$C$8*(1+Assumptions!$C$11)^4+Assumptions!$C$16*$J955+Assumptions!$C$6*Assumptions!$C$9*(1+Assumptions!$C$12)^4</f>
        <v>798.4206189</v>
      </c>
      <c r="P955" s="139">
        <f>Assumptions!$C$6*Assumptions!$C$7*(1+$G955-0.05*(1-$K955))^5+Assumptions!$C$6*Assumptions!$C$8*(1+Assumptions!$C$11)^5+Assumptions!$C$16*$K955+Assumptions!$C$6*Assumptions!$C$9*(1+Assumptions!$C$12)^5</f>
        <v>671.3975171</v>
      </c>
      <c r="Q955" s="139">
        <f>($L955*(1-(Assumptions!$C$25+0.06*(1-1))-Assumptions!$C$27)-Assumptions!$C$28)-MAX(0,($L955*(1-(Assumptions!$C$25+0.06*(1-1))-Assumptions!$C$27)-Assumptions!$C$28)*Assumptions!$C$31)+Assumptions!$C$28-Assumptions!$C$29-$L955*Assumptions!$C$30</f>
        <v>91.3254157</v>
      </c>
      <c r="R955" s="139">
        <f>($M955*(1-(Assumptions!$C$25+0.06*(1-$H955))-Assumptions!$C$27)-Assumptions!$C$28)-MAX(0,($M955*(1-(Assumptions!$C$25+0.06*(1-$H955))-Assumptions!$C$27)-Assumptions!$C$28)*Assumptions!$C$31)+Assumptions!$C$28-Assumptions!$C$29-$M955*Assumptions!$C$30</f>
        <v>95.4745709</v>
      </c>
      <c r="S955" s="139">
        <f>($N955*(1-(Assumptions!$C$25+0.06*(1-$I955))-Assumptions!$C$27)-Assumptions!$C$28)-MAX(0,($N955*(1-(Assumptions!$C$25+0.06*(1-$I955))-Assumptions!$C$27)-Assumptions!$C$28)*Assumptions!$C$31)+Assumptions!$C$28-Assumptions!$C$29-$N955*Assumptions!$C$30</f>
        <v>33.23864349</v>
      </c>
      <c r="T955" s="139">
        <f>($O955*(1-(Assumptions!$C$25+0.06*(1-$J955))-Assumptions!$C$27)-Assumptions!$C$28)-MAX(0,($O955*(1-(Assumptions!$C$25+0.06*(1-$J955))-Assumptions!$C$27)-Assumptions!$C$28)*Assumptions!$C$31)+Assumptions!$C$28-Assumptions!$C$29-$O955*Assumptions!$C$30</f>
        <v>104.1604331</v>
      </c>
      <c r="U955" s="139">
        <f>($P955*(1-(Assumptions!$C$25+0.06*(1-$K955))-Assumptions!$C$27)-Assumptions!$C$28)-MAX(0,($P955*(1-(Assumptions!$C$25+0.06*(1-$K955))-Assumptions!$C$27)-Assumptions!$C$28)*Assumptions!$C$31)+Assumptions!$C$28-Assumptions!$C$29-$P955*Assumptions!$C$30</f>
        <v>34.42142893</v>
      </c>
      <c r="V955" s="143">
        <f>(($Q955/(1+$D955)^1+$R955/(1+$D955)^2+$S955/(1+$D955)^3+$T955/(1+$D955)^4+$U955/(1+$D955)^5+$U955*(1+$E955)/($D955-$E955)/(1+$D955)^5)-Assumptions!$C$37)/Assumptions!$C$40/Assumptions!$C$38</f>
        <v>-0.6648579477</v>
      </c>
    </row>
    <row r="956" ht="12.0" customHeight="1">
      <c r="B956" s="139">
        <v>904.0</v>
      </c>
      <c r="C956" s="140">
        <f t="shared" si="6"/>
        <v>0.304452376</v>
      </c>
      <c r="D956" s="141">
        <f t="shared" si="7"/>
        <v>0.09515920053</v>
      </c>
      <c r="E956" s="141">
        <f t="shared" si="8"/>
        <v>0.02086808817</v>
      </c>
      <c r="F956" s="140">
        <f t="shared" si="9"/>
        <v>0.3321263344</v>
      </c>
      <c r="G956" s="141">
        <f t="shared" si="10"/>
        <v>0.05445050924</v>
      </c>
      <c r="H956" s="142">
        <f t="shared" si="11"/>
        <v>1</v>
      </c>
      <c r="I956" s="142">
        <f t="shared" si="12"/>
        <v>0</v>
      </c>
      <c r="J956" s="142">
        <f t="shared" si="13"/>
        <v>1</v>
      </c>
      <c r="K956" s="142">
        <f t="shared" si="14"/>
        <v>1</v>
      </c>
      <c r="L956" s="139">
        <f>Assumptions!$C$6*Assumptions!$C$7*(1+$G956-0.05*(1-1))^1+Assumptions!$C$6*Assumptions!$C$8*(1+Assumptions!$C$11)^1+Assumptions!$C$16*1+Assumptions!$C$6*Assumptions!$C$9*(1+Assumptions!$C$12)^1</f>
        <v>744.7960414</v>
      </c>
      <c r="M956" s="139">
        <f>Assumptions!$C$6*Assumptions!$C$7*(1+$G956-0.05*(1-$H956))^2+Assumptions!$C$6*Assumptions!$C$8*(1+Assumptions!$C$11)^2+Assumptions!$C$16*$H956+Assumptions!$C$6*Assumptions!$C$9*(1+Assumptions!$C$12)^2</f>
        <v>770.719414</v>
      </c>
      <c r="N956" s="139">
        <f>Assumptions!$C$6*Assumptions!$C$7*(1+$G956-0.05*(1-$I956))^3+Assumptions!$C$6*Assumptions!$C$8*(1+Assumptions!$C$11)^3+Assumptions!$C$16*$I956+Assumptions!$C$6*Assumptions!$C$9*(1+Assumptions!$C$12)^3</f>
        <v>684.3088222</v>
      </c>
      <c r="O956" s="139">
        <f>Assumptions!$C$6*Assumptions!$C$7*(1+$G956-0.05*(1-$J956))^4+Assumptions!$C$6*Assumptions!$C$8*(1+Assumptions!$C$11)^4+Assumptions!$C$16*$J956+Assumptions!$C$6*Assumptions!$C$9*(1+Assumptions!$C$12)^4</f>
        <v>826.1788723</v>
      </c>
      <c r="P956" s="139">
        <f>Assumptions!$C$6*Assumptions!$C$7*(1+$G956-0.05*(1-$K956))^5+Assumptions!$C$6*Assumptions!$C$8*(1+Assumptions!$C$11)^5+Assumptions!$C$16*$K956+Assumptions!$C$6*Assumptions!$C$9*(1+Assumptions!$C$12)^5</f>
        <v>855.8380064</v>
      </c>
      <c r="Q956" s="139">
        <f>($L956*(1-(Assumptions!$C$25+0.06*(1-1))-Assumptions!$C$27)-Assumptions!$C$28)-MAX(0,($L956*(1-(Assumptions!$C$25+0.06*(1-1))-Assumptions!$C$27)-Assumptions!$C$28)*Assumptions!$C$31)+Assumptions!$C$28-Assumptions!$C$29-$L956*Assumptions!$C$30</f>
        <v>92.6311489</v>
      </c>
      <c r="R956" s="139">
        <f>($M956*(1-(Assumptions!$C$25+0.06*(1-$H956))-Assumptions!$C$27)-Assumptions!$C$28)-MAX(0,($M956*(1-(Assumptions!$C$25+0.06*(1-$H956))-Assumptions!$C$27)-Assumptions!$C$28)*Assumptions!$C$31)+Assumptions!$C$28-Assumptions!$C$29-$M956*Assumptions!$C$30</f>
        <v>98.20467401</v>
      </c>
      <c r="S956" s="139">
        <f>($N956*(1-(Assumptions!$C$25+0.06*(1-$I956))-Assumptions!$C$27)-Assumptions!$C$28)-MAX(0,($N956*(1-(Assumptions!$C$25+0.06*(1-$I956))-Assumptions!$C$27)-Assumptions!$C$28)*Assumptions!$C$31)+Assumptions!$C$28-Assumptions!$C$29-$N956*Assumptions!$C$30</f>
        <v>37.39102912</v>
      </c>
      <c r="T956" s="139">
        <f>($O956*(1-(Assumptions!$C$25+0.06*(1-$J956))-Assumptions!$C$27)-Assumptions!$C$28)-MAX(0,($O956*(1-(Assumptions!$C$25+0.06*(1-$J956))-Assumptions!$C$27)-Assumptions!$C$28)*Assumptions!$C$31)+Assumptions!$C$28-Assumptions!$C$29-$O956*Assumptions!$C$30</f>
        <v>110.1284575</v>
      </c>
      <c r="U956" s="139">
        <f>($P956*(1-(Assumptions!$C$25+0.06*(1-$K956))-Assumptions!$C$27)-Assumptions!$C$28)-MAX(0,($P956*(1-(Assumptions!$C$25+0.06*(1-$K956))-Assumptions!$C$27)-Assumptions!$C$28)*Assumptions!$C$31)+Assumptions!$C$28-Assumptions!$C$29-$P956*Assumptions!$C$30</f>
        <v>116.5051714</v>
      </c>
      <c r="V956" s="143">
        <f>(($Q956/(1+$D956)^1+$R956/(1+$D956)^2+$S956/(1+$D956)^3+$T956/(1+$D956)^4+$U956/(1+$D956)^5+$U956*(1+$E956)/($D956-$E956)/(1+$D956)^5)-Assumptions!$C$37)/Assumptions!$C$40/Assumptions!$C$38</f>
        <v>5.228419686</v>
      </c>
    </row>
    <row r="957" ht="12.0" customHeight="1">
      <c r="B957" s="139">
        <v>905.0</v>
      </c>
      <c r="C957" s="140">
        <f t="shared" si="6"/>
        <v>0.8012907596</v>
      </c>
      <c r="D957" s="141">
        <f t="shared" si="7"/>
        <v>0.104441786</v>
      </c>
      <c r="E957" s="141">
        <f t="shared" si="8"/>
        <v>0.02436847149</v>
      </c>
      <c r="F957" s="140">
        <f t="shared" si="9"/>
        <v>0.08365211105</v>
      </c>
      <c r="G957" s="141">
        <f t="shared" si="10"/>
        <v>0.04227085164</v>
      </c>
      <c r="H957" s="142">
        <f t="shared" si="11"/>
        <v>1</v>
      </c>
      <c r="I957" s="142">
        <f t="shared" si="12"/>
        <v>1</v>
      </c>
      <c r="J957" s="142">
        <f t="shared" si="13"/>
        <v>1</v>
      </c>
      <c r="K957" s="142">
        <f t="shared" si="14"/>
        <v>0</v>
      </c>
      <c r="L957" s="139">
        <f>Assumptions!$C$6*Assumptions!$C$7*(1+$G957-0.05*(1-1))^1+Assumptions!$C$6*Assumptions!$C$8*(1+Assumptions!$C$11)^1+Assumptions!$C$16*1+Assumptions!$C$6*Assumptions!$C$9*(1+Assumptions!$C$12)^1</f>
        <v>740.6963687</v>
      </c>
      <c r="M957" s="139">
        <f>Assumptions!$C$6*Assumptions!$C$7*(1+$G957-0.05*(1-$H957))^2+Assumptions!$C$6*Assumptions!$C$8*(1+Assumptions!$C$11)^2+Assumptions!$C$16*$H957+Assumptions!$C$6*Assumptions!$C$9*(1+Assumptions!$C$12)^2</f>
        <v>762.1235426</v>
      </c>
      <c r="N957" s="139">
        <f>Assumptions!$C$6*Assumptions!$C$7*(1+$G957-0.05*(1-$I957))^3+Assumptions!$C$6*Assumptions!$C$8*(1+Assumptions!$C$11)^3+Assumptions!$C$16*$I957+Assumptions!$C$6*Assumptions!$C$9*(1+Assumptions!$C$12)^3</f>
        <v>784.3095326</v>
      </c>
      <c r="O957" s="139">
        <f>Assumptions!$C$6*Assumptions!$C$7*(1+$G957-0.05*(1-$J957))^4+Assumptions!$C$6*Assumptions!$C$8*(1+Assumptions!$C$11)^4+Assumptions!$C$16*$J957+Assumptions!$C$6*Assumptions!$C$9*(1+Assumptions!$C$12)^4</f>
        <v>807.2834758</v>
      </c>
      <c r="P957" s="139">
        <f>Assumptions!$C$6*Assumptions!$C$7*(1+$G957-0.05*(1-$K957))^5+Assumptions!$C$6*Assumptions!$C$8*(1+Assumptions!$C$11)^5+Assumptions!$C$16*$K957+Assumptions!$C$6*Assumptions!$C$9*(1+Assumptions!$C$12)^5</f>
        <v>680.8511108</v>
      </c>
      <c r="Q957" s="139">
        <f>($L957*(1-(Assumptions!$C$25+0.06*(1-1))-Assumptions!$C$27)-Assumptions!$C$28)-MAX(0,($L957*(1-(Assumptions!$C$25+0.06*(1-1))-Assumptions!$C$27)-Assumptions!$C$28)*Assumptions!$C$31)+Assumptions!$C$28-Assumptions!$C$29-$L957*Assumptions!$C$30</f>
        <v>91.74971926</v>
      </c>
      <c r="R957" s="139">
        <f>($M957*(1-(Assumptions!$C$25+0.06*(1-$H957))-Assumptions!$C$27)-Assumptions!$C$28)-MAX(0,($M957*(1-(Assumptions!$C$25+0.06*(1-$H957))-Assumptions!$C$27)-Assumptions!$C$28)*Assumptions!$C$31)+Assumptions!$C$28-Assumptions!$C$29-$M957*Assumptions!$C$30</f>
        <v>96.35656166</v>
      </c>
      <c r="S957" s="139">
        <f>($N957*(1-(Assumptions!$C$25+0.06*(1-$I957))-Assumptions!$C$27)-Assumptions!$C$28)-MAX(0,($N957*(1-(Assumptions!$C$25+0.06*(1-$I957))-Assumptions!$C$27)-Assumptions!$C$28)*Assumptions!$C$31)+Assumptions!$C$28-Assumptions!$C$29-$N957*Assumptions!$C$30</f>
        <v>101.1265495</v>
      </c>
      <c r="T957" s="139">
        <f>($O957*(1-(Assumptions!$C$25+0.06*(1-$J957))-Assumptions!$C$27)-Assumptions!$C$28)-MAX(0,($O957*(1-(Assumptions!$C$25+0.06*(1-$J957))-Assumptions!$C$27)-Assumptions!$C$28)*Assumptions!$C$31)+Assumptions!$C$28-Assumptions!$C$29-$O957*Assumptions!$C$30</f>
        <v>106.0659473</v>
      </c>
      <c r="U957" s="139">
        <f>($P957*(1-(Assumptions!$C$25+0.06*(1-$K957))-Assumptions!$C$27)-Assumptions!$C$28)-MAX(0,($P957*(1-(Assumptions!$C$25+0.06*(1-$K957))-Assumptions!$C$27)-Assumptions!$C$28)*Assumptions!$C$31)+Assumptions!$C$28-Assumptions!$C$29-$P957*Assumptions!$C$30</f>
        <v>36.59575548</v>
      </c>
      <c r="V957" s="143">
        <f>(($Q957/(1+$D957)^1+$R957/(1+$D957)^2+$S957/(1+$D957)^3+$T957/(1+$D957)^4+$U957/(1+$D957)^5+$U957*(1+$E957)/($D957-$E957)/(1+$D957)^5)-Assumptions!$C$37)/Assumptions!$C$40/Assumptions!$C$38</f>
        <v>-0.5940104556</v>
      </c>
    </row>
    <row r="958" ht="12.0" customHeight="1">
      <c r="B958" s="139">
        <v>906.0</v>
      </c>
      <c r="C958" s="140">
        <f t="shared" si="6"/>
        <v>0.6054926029</v>
      </c>
      <c r="D958" s="141">
        <f t="shared" si="7"/>
        <v>0.1001232178</v>
      </c>
      <c r="E958" s="141">
        <f t="shared" si="8"/>
        <v>0.01194257308</v>
      </c>
      <c r="F958" s="140">
        <f t="shared" si="9"/>
        <v>0.3842113328</v>
      </c>
      <c r="G958" s="141">
        <f t="shared" si="10"/>
        <v>0.05629791625</v>
      </c>
      <c r="H958" s="142">
        <f t="shared" si="11"/>
        <v>1</v>
      </c>
      <c r="I958" s="142">
        <f t="shared" si="12"/>
        <v>0</v>
      </c>
      <c r="J958" s="142">
        <f t="shared" si="13"/>
        <v>1</v>
      </c>
      <c r="K958" s="142">
        <f t="shared" si="14"/>
        <v>1</v>
      </c>
      <c r="L958" s="139">
        <f>Assumptions!$C$6*Assumptions!$C$7*(1+$G958-0.05*(1-1))^1+Assumptions!$C$6*Assumptions!$C$8*(1+Assumptions!$C$11)^1+Assumptions!$C$16*1+Assumptions!$C$6*Assumptions!$C$9*(1+Assumptions!$C$12)^1</f>
        <v>745.4178786</v>
      </c>
      <c r="M958" s="139">
        <f>Assumptions!$C$6*Assumptions!$C$7*(1+$G958-0.05*(1-$H958))^2+Assumptions!$C$6*Assumptions!$C$8*(1+Assumptions!$C$11)^2+Assumptions!$C$16*$H958+Assumptions!$C$6*Assumptions!$C$9*(1+Assumptions!$C$12)^2</f>
        <v>772.0319559</v>
      </c>
      <c r="N958" s="139">
        <f>Assumptions!$C$6*Assumptions!$C$7*(1+$G958-0.05*(1-$I958))^3+Assumptions!$C$6*Assumptions!$C$8*(1+Assumptions!$C$11)^3+Assumptions!$C$16*$I958+Assumptions!$C$6*Assumptions!$C$9*(1+Assumptions!$C$12)^3</f>
        <v>686.1944396</v>
      </c>
      <c r="O958" s="139">
        <f>Assumptions!$C$6*Assumptions!$C$7*(1+$G958-0.05*(1-$J958))^4+Assumptions!$C$6*Assumptions!$C$8*(1+Assumptions!$C$11)^4+Assumptions!$C$16*$J958+Assumptions!$C$6*Assumptions!$C$9*(1+Assumptions!$C$12)^4</f>
        <v>829.1027315</v>
      </c>
      <c r="P958" s="139">
        <f>Assumptions!$C$6*Assumptions!$C$7*(1+$G958-0.05*(1-$K958))^5+Assumptions!$C$6*Assumptions!$C$8*(1+Assumptions!$C$11)^5+Assumptions!$C$16*$K958+Assumptions!$C$6*Assumptions!$C$9*(1+Assumptions!$C$12)^5</f>
        <v>859.6952164</v>
      </c>
      <c r="Q958" s="139">
        <f>($L958*(1-(Assumptions!$C$25+0.06*(1-1))-Assumptions!$C$27)-Assumptions!$C$28)-MAX(0,($L958*(1-(Assumptions!$C$25+0.06*(1-1))-Assumptions!$C$27)-Assumptions!$C$28)*Assumptions!$C$31)+Assumptions!$C$28-Assumptions!$C$29-$L958*Assumptions!$C$30</f>
        <v>92.7648439</v>
      </c>
      <c r="R958" s="139">
        <f>($M958*(1-(Assumptions!$C$25+0.06*(1-$H958))-Assumptions!$C$27)-Assumptions!$C$28)-MAX(0,($M958*(1-(Assumptions!$C$25+0.06*(1-$H958))-Assumptions!$C$27)-Assumptions!$C$28)*Assumptions!$C$31)+Assumptions!$C$28-Assumptions!$C$29-$M958*Assumptions!$C$30</f>
        <v>98.48687052</v>
      </c>
      <c r="S958" s="139">
        <f>($N958*(1-(Assumptions!$C$25+0.06*(1-$I958))-Assumptions!$C$27)-Assumptions!$C$28)-MAX(0,($N958*(1-(Assumptions!$C$25+0.06*(1-$I958))-Assumptions!$C$27)-Assumptions!$C$28)*Assumptions!$C$31)+Assumptions!$C$28-Assumptions!$C$29-$N958*Assumptions!$C$30</f>
        <v>37.8247211</v>
      </c>
      <c r="T958" s="139">
        <f>($O958*(1-(Assumptions!$C$25+0.06*(1-$J958))-Assumptions!$C$27)-Assumptions!$C$28)-MAX(0,($O958*(1-(Assumptions!$C$25+0.06*(1-$J958))-Assumptions!$C$27)-Assumptions!$C$28)*Assumptions!$C$31)+Assumptions!$C$28-Assumptions!$C$29-$O958*Assumptions!$C$30</f>
        <v>110.7570873</v>
      </c>
      <c r="U958" s="139">
        <f>($P958*(1-(Assumptions!$C$25+0.06*(1-$K958))-Assumptions!$C$27)-Assumptions!$C$28)-MAX(0,($P958*(1-(Assumptions!$C$25+0.06*(1-$K958))-Assumptions!$C$27)-Assumptions!$C$28)*Assumptions!$C$31)+Assumptions!$C$28-Assumptions!$C$29-$P958*Assumptions!$C$30</f>
        <v>117.3344715</v>
      </c>
      <c r="V958" s="143">
        <f>(($Q958/(1+$D958)^1+$R958/(1+$D958)^2+$S958/(1+$D958)^3+$T958/(1+$D958)^4+$U958/(1+$D958)^5+$U958*(1+$E958)/($D958-$E958)/(1+$D958)^5)-Assumptions!$C$37)/Assumptions!$C$40/Assumptions!$C$38</f>
        <v>3.796177966</v>
      </c>
    </row>
    <row r="959" ht="12.0" customHeight="1">
      <c r="B959" s="139">
        <v>907.0</v>
      </c>
      <c r="C959" s="140">
        <f t="shared" si="6"/>
        <v>0.9817523013</v>
      </c>
      <c r="D959" s="141">
        <f t="shared" si="7"/>
        <v>0.1118004752</v>
      </c>
      <c r="E959" s="141">
        <f t="shared" si="8"/>
        <v>0.0110680985</v>
      </c>
      <c r="F959" s="140">
        <f t="shared" si="9"/>
        <v>0.1515718007</v>
      </c>
      <c r="G959" s="141">
        <f t="shared" si="10"/>
        <v>0.04651754344</v>
      </c>
      <c r="H959" s="142">
        <f t="shared" si="11"/>
        <v>1</v>
      </c>
      <c r="I959" s="142">
        <f t="shared" si="12"/>
        <v>1</v>
      </c>
      <c r="J959" s="142">
        <f t="shared" si="13"/>
        <v>1</v>
      </c>
      <c r="K959" s="142">
        <f t="shared" si="14"/>
        <v>0</v>
      </c>
      <c r="L959" s="139">
        <f>Assumptions!$C$6*Assumptions!$C$7*(1+$G959-0.05*(1-1))^1+Assumptions!$C$6*Assumptions!$C$8*(1+Assumptions!$C$11)^1+Assumptions!$C$16*1+Assumptions!$C$6*Assumptions!$C$9*(1+Assumptions!$C$12)^1</f>
        <v>742.1258051</v>
      </c>
      <c r="M959" s="139">
        <f>Assumptions!$C$6*Assumptions!$C$7*(1+$G959-0.05*(1-$H959))^2+Assumptions!$C$6*Assumptions!$C$8*(1+Assumptions!$C$11)^2+Assumptions!$C$16*$H959+Assumptions!$C$6*Assumptions!$C$9*(1+Assumptions!$C$12)^2</f>
        <v>765.1093329</v>
      </c>
      <c r="N959" s="139">
        <f>Assumptions!$C$6*Assumptions!$C$7*(1+$G959-0.05*(1-$I959))^3+Assumptions!$C$6*Assumptions!$C$8*(1+Assumptions!$C$11)^3+Assumptions!$C$16*$I959+Assumptions!$C$6*Assumptions!$C$9*(1+Assumptions!$C$12)^3</f>
        <v>788.9870521</v>
      </c>
      <c r="O959" s="139">
        <f>Assumptions!$C$6*Assumptions!$C$7*(1+$G959-0.05*(1-$J959))^4+Assumptions!$C$6*Assumptions!$C$8*(1+Assumptions!$C$11)^4+Assumptions!$C$16*$J959+Assumptions!$C$6*Assumptions!$C$9*(1+Assumptions!$C$12)^4</f>
        <v>813.7970595</v>
      </c>
      <c r="P959" s="139">
        <f>Assumptions!$C$6*Assumptions!$C$7*(1+$G959-0.05*(1-$K959))^5+Assumptions!$C$6*Assumptions!$C$8*(1+Assumptions!$C$11)^5+Assumptions!$C$16*$K959+Assumptions!$C$6*Assumptions!$C$9*(1+Assumptions!$C$12)^5</f>
        <v>687.8394366</v>
      </c>
      <c r="Q959" s="139">
        <f>($L959*(1-(Assumptions!$C$25+0.06*(1-1))-Assumptions!$C$27)-Assumptions!$C$28)-MAX(0,($L959*(1-(Assumptions!$C$25+0.06*(1-1))-Assumptions!$C$27)-Assumptions!$C$28)*Assumptions!$C$31)+Assumptions!$C$28-Assumptions!$C$29-$L959*Assumptions!$C$30</f>
        <v>92.0570481</v>
      </c>
      <c r="R959" s="139">
        <f>($M959*(1-(Assumptions!$C$25+0.06*(1-$H959))-Assumptions!$C$27)-Assumptions!$C$28)-MAX(0,($M959*(1-(Assumptions!$C$25+0.06*(1-$H959))-Assumptions!$C$27)-Assumptions!$C$28)*Assumptions!$C$31)+Assumptions!$C$28-Assumptions!$C$29-$M959*Assumptions!$C$30</f>
        <v>96.99850657</v>
      </c>
      <c r="S959" s="139">
        <f>($N959*(1-(Assumptions!$C$25+0.06*(1-$I959))-Assumptions!$C$27)-Assumptions!$C$28)-MAX(0,($N959*(1-(Assumptions!$C$25+0.06*(1-$I959))-Assumptions!$C$27)-Assumptions!$C$28)*Assumptions!$C$31)+Assumptions!$C$28-Assumptions!$C$29-$N959*Assumptions!$C$30</f>
        <v>102.1322162</v>
      </c>
      <c r="T959" s="139">
        <f>($O959*(1-(Assumptions!$C$25+0.06*(1-$J959))-Assumptions!$C$27)-Assumptions!$C$28)-MAX(0,($O959*(1-(Assumptions!$C$25+0.06*(1-$J959))-Assumptions!$C$27)-Assumptions!$C$28)*Assumptions!$C$31)+Assumptions!$C$28-Assumptions!$C$29-$O959*Assumptions!$C$30</f>
        <v>107.4663678</v>
      </c>
      <c r="U959" s="139">
        <f>($P959*(1-(Assumptions!$C$25+0.06*(1-$K959))-Assumptions!$C$27)-Assumptions!$C$28)-MAX(0,($P959*(1-(Assumptions!$C$25+0.06*(1-$K959))-Assumptions!$C$27)-Assumptions!$C$28)*Assumptions!$C$31)+Assumptions!$C$28-Assumptions!$C$29-$P959*Assumptions!$C$30</f>
        <v>38.20307043</v>
      </c>
      <c r="V959" s="143">
        <f>(($Q959/(1+$D959)^1+$R959/(1+$D959)^2+$S959/(1+$D959)^3+$T959/(1+$D959)^4+$U959/(1+$D959)^5+$U959*(1+$E959)/($D959-$E959)/(1+$D959)^5)-Assumptions!$C$37)/Assumptions!$C$40/Assumptions!$C$38</f>
        <v>-1.073570046</v>
      </c>
    </row>
    <row r="960" ht="12.0" customHeight="1">
      <c r="B960" s="139">
        <v>908.0</v>
      </c>
      <c r="C960" s="140">
        <f t="shared" si="6"/>
        <v>0.1813110781</v>
      </c>
      <c r="D960" s="141">
        <f t="shared" si="7"/>
        <v>0.09283992701</v>
      </c>
      <c r="E960" s="141">
        <f t="shared" si="8"/>
        <v>0.01803221403</v>
      </c>
      <c r="F960" s="140">
        <f t="shared" si="9"/>
        <v>0.08770103879</v>
      </c>
      <c r="G960" s="141">
        <f t="shared" si="10"/>
        <v>0.04256430937</v>
      </c>
      <c r="H960" s="142">
        <f t="shared" si="11"/>
        <v>1</v>
      </c>
      <c r="I960" s="142">
        <f t="shared" si="12"/>
        <v>1</v>
      </c>
      <c r="J960" s="142">
        <f t="shared" si="13"/>
        <v>0</v>
      </c>
      <c r="K960" s="142">
        <f t="shared" si="14"/>
        <v>0</v>
      </c>
      <c r="L960" s="139">
        <f>Assumptions!$C$6*Assumptions!$C$7*(1+$G960-0.05*(1-1))^1+Assumptions!$C$6*Assumptions!$C$8*(1+Assumptions!$C$11)^1+Assumptions!$C$16*1+Assumptions!$C$6*Assumptions!$C$9*(1+Assumptions!$C$12)^1</f>
        <v>740.7951465</v>
      </c>
      <c r="M960" s="139">
        <f>Assumptions!$C$6*Assumptions!$C$7*(1+$G960-0.05*(1-$H960))^2+Assumptions!$C$6*Assumptions!$C$8*(1+Assumptions!$C$11)^2+Assumptions!$C$16*$H960+Assumptions!$C$6*Assumptions!$C$9*(1+Assumptions!$C$12)^2</f>
        <v>762.3294782</v>
      </c>
      <c r="N960" s="139">
        <f>Assumptions!$C$6*Assumptions!$C$7*(1+$G960-0.05*(1-$I960))^3+Assumptions!$C$6*Assumptions!$C$8*(1+Assumptions!$C$11)^3+Assumptions!$C$16*$I960+Assumptions!$C$6*Assumptions!$C$9*(1+Assumptions!$C$12)^3</f>
        <v>784.6315389</v>
      </c>
      <c r="O960" s="139">
        <f>Assumptions!$C$6*Assumptions!$C$7*(1+$G960-0.05*(1-$J960))^4+Assumptions!$C$6*Assumptions!$C$8*(1+Assumptions!$C$11)^4+Assumptions!$C$16*$J960+Assumptions!$C$6*Assumptions!$C$9*(1+Assumptions!$C$12)^4</f>
        <v>676.7582568</v>
      </c>
      <c r="P960" s="139">
        <f>Assumptions!$C$6*Assumptions!$C$7*(1+$G960-0.05*(1-$K960))^5+Assumptions!$C$6*Assumptions!$C$8*(1+Assumptions!$C$11)^5+Assumptions!$C$16*$K960+Assumptions!$C$6*Assumptions!$C$9*(1+Assumptions!$C$12)^5</f>
        <v>681.3301902</v>
      </c>
      <c r="Q960" s="139">
        <f>($L960*(1-(Assumptions!$C$25+0.06*(1-1))-Assumptions!$C$27)-Assumptions!$C$28)-MAX(0,($L960*(1-(Assumptions!$C$25+0.06*(1-1))-Assumptions!$C$27)-Assumptions!$C$28)*Assumptions!$C$31)+Assumptions!$C$28-Assumptions!$C$29-$L960*Assumptions!$C$30</f>
        <v>91.7709565</v>
      </c>
      <c r="R960" s="139">
        <f>($M960*(1-(Assumptions!$C$25+0.06*(1-$H960))-Assumptions!$C$27)-Assumptions!$C$28)-MAX(0,($M960*(1-(Assumptions!$C$25+0.06*(1-$H960))-Assumptions!$C$27)-Assumptions!$C$28)*Assumptions!$C$31)+Assumptions!$C$28-Assumptions!$C$29-$M960*Assumptions!$C$30</f>
        <v>96.4008378</v>
      </c>
      <c r="S960" s="139">
        <f>($N960*(1-(Assumptions!$C$25+0.06*(1-$I960))-Assumptions!$C$27)-Assumptions!$C$28)-MAX(0,($N960*(1-(Assumptions!$C$25+0.06*(1-$I960))-Assumptions!$C$27)-Assumptions!$C$28)*Assumptions!$C$31)+Assumptions!$C$28-Assumptions!$C$29-$N960*Assumptions!$C$30</f>
        <v>101.1957809</v>
      </c>
      <c r="T960" s="139">
        <f>($O960*(1-(Assumptions!$C$25+0.06*(1-$J960))-Assumptions!$C$27)-Assumptions!$C$28)-MAX(0,($O960*(1-(Assumptions!$C$25+0.06*(1-$J960))-Assumptions!$C$27)-Assumptions!$C$28)*Assumptions!$C$31)+Assumptions!$C$28-Assumptions!$C$29-$O960*Assumptions!$C$30</f>
        <v>35.65439907</v>
      </c>
      <c r="U960" s="139">
        <f>($P960*(1-(Assumptions!$C$25+0.06*(1-$K960))-Assumptions!$C$27)-Assumptions!$C$28)-MAX(0,($P960*(1-(Assumptions!$C$25+0.06*(1-$K960))-Assumptions!$C$27)-Assumptions!$C$28)*Assumptions!$C$31)+Assumptions!$C$28-Assumptions!$C$29-$P960*Assumptions!$C$30</f>
        <v>36.70594374</v>
      </c>
      <c r="V960" s="143">
        <f>(($Q960/(1+$D960)^1+$R960/(1+$D960)^2+$S960/(1+$D960)^3+$T960/(1+$D960)^4+$U960/(1+$D960)^5+$U960*(1+$E960)/($D960-$E960)/(1+$D960)^5)-Assumptions!$C$37)/Assumptions!$C$40/Assumptions!$C$38</f>
        <v>-0.6280042538</v>
      </c>
    </row>
    <row r="961" ht="12.0" customHeight="1">
      <c r="B961" s="139">
        <v>909.0</v>
      </c>
      <c r="C961" s="140">
        <f t="shared" si="6"/>
        <v>0.1999764538</v>
      </c>
      <c r="D961" s="141">
        <f t="shared" si="7"/>
        <v>0.09323359082</v>
      </c>
      <c r="E961" s="141">
        <f t="shared" si="8"/>
        <v>0.02225951121</v>
      </c>
      <c r="F961" s="140">
        <f t="shared" si="9"/>
        <v>0.375358891</v>
      </c>
      <c r="G961" s="141">
        <f t="shared" si="10"/>
        <v>0.05599319149</v>
      </c>
      <c r="H961" s="142">
        <f t="shared" si="11"/>
        <v>1</v>
      </c>
      <c r="I961" s="142">
        <f t="shared" si="12"/>
        <v>0</v>
      </c>
      <c r="J961" s="142">
        <f t="shared" si="13"/>
        <v>1</v>
      </c>
      <c r="K961" s="142">
        <f t="shared" si="14"/>
        <v>0</v>
      </c>
      <c r="L961" s="139">
        <f>Assumptions!$C$6*Assumptions!$C$7*(1+$G961-0.05*(1-1))^1+Assumptions!$C$6*Assumptions!$C$8*(1+Assumptions!$C$11)^1+Assumptions!$C$16*1+Assumptions!$C$6*Assumptions!$C$9*(1+Assumptions!$C$12)^1</f>
        <v>745.3153083</v>
      </c>
      <c r="M961" s="139">
        <f>Assumptions!$C$6*Assumptions!$C$7*(1+$G961-0.05*(1-$H961))^2+Assumptions!$C$6*Assumptions!$C$8*(1+Assumptions!$C$11)^2+Assumptions!$C$16*$H961+Assumptions!$C$6*Assumptions!$C$9*(1+Assumptions!$C$12)^2</f>
        <v>771.8152975</v>
      </c>
      <c r="N961" s="139">
        <f>Assumptions!$C$6*Assumptions!$C$7*(1+$G961-0.05*(1-$I961))^3+Assumptions!$C$6*Assumptions!$C$8*(1+Assumptions!$C$11)^3+Assumptions!$C$16*$I961+Assumptions!$C$6*Assumptions!$C$9*(1+Assumptions!$C$12)^3</f>
        <v>685.8829348</v>
      </c>
      <c r="O961" s="139">
        <f>Assumptions!$C$6*Assumptions!$C$7*(1+$G961-0.05*(1-$J961))^4+Assumptions!$C$6*Assumptions!$C$8*(1+Assumptions!$C$11)^4+Assumptions!$C$16*$J961+Assumptions!$C$6*Assumptions!$C$9*(1+Assumptions!$C$12)^4</f>
        <v>828.619391</v>
      </c>
      <c r="P961" s="139">
        <f>Assumptions!$C$6*Assumptions!$C$7*(1+$G961-0.05*(1-$K961))^5+Assumptions!$C$6*Assumptions!$C$8*(1+Assumptions!$C$11)^5+Assumptions!$C$16*$K961+Assumptions!$C$6*Assumptions!$C$9*(1+Assumptions!$C$12)^5</f>
        <v>703.8679009</v>
      </c>
      <c r="Q961" s="139">
        <f>($L961*(1-(Assumptions!$C$25+0.06*(1-1))-Assumptions!$C$27)-Assumptions!$C$28)-MAX(0,($L961*(1-(Assumptions!$C$25+0.06*(1-1))-Assumptions!$C$27)-Assumptions!$C$28)*Assumptions!$C$31)+Assumptions!$C$28-Assumptions!$C$29-$L961*Assumptions!$C$30</f>
        <v>92.74279127</v>
      </c>
      <c r="R961" s="139">
        <f>($M961*(1-(Assumptions!$C$25+0.06*(1-$H961))-Assumptions!$C$27)-Assumptions!$C$28)-MAX(0,($M961*(1-(Assumptions!$C$25+0.06*(1-$H961))-Assumptions!$C$27)-Assumptions!$C$28)*Assumptions!$C$31)+Assumptions!$C$28-Assumptions!$C$29-$M961*Assumptions!$C$30</f>
        <v>98.44028895</v>
      </c>
      <c r="S961" s="139">
        <f>($N961*(1-(Assumptions!$C$25+0.06*(1-$I961))-Assumptions!$C$27)-Assumptions!$C$28)-MAX(0,($N961*(1-(Assumptions!$C$25+0.06*(1-$I961))-Assumptions!$C$27)-Assumptions!$C$28)*Assumptions!$C$31)+Assumptions!$C$28-Assumptions!$C$29-$N961*Assumptions!$C$30</f>
        <v>37.753075</v>
      </c>
      <c r="T961" s="139">
        <f>($O961*(1-(Assumptions!$C$25+0.06*(1-$J961))-Assumptions!$C$27)-Assumptions!$C$28)-MAX(0,($O961*(1-(Assumptions!$C$25+0.06*(1-$J961))-Assumptions!$C$27)-Assumptions!$C$28)*Assumptions!$C$31)+Assumptions!$C$28-Assumptions!$C$29-$O961*Assumptions!$C$30</f>
        <v>110.6531691</v>
      </c>
      <c r="U961" s="139">
        <f>($P961*(1-(Assumptions!$C$25+0.06*(1-$K961))-Assumptions!$C$27)-Assumptions!$C$28)-MAX(0,($P961*(1-(Assumptions!$C$25+0.06*(1-$K961))-Assumptions!$C$27)-Assumptions!$C$28)*Assumptions!$C$31)+Assumptions!$C$28-Assumptions!$C$29-$P961*Assumptions!$C$30</f>
        <v>41.88961722</v>
      </c>
      <c r="V961" s="143">
        <f>(($Q961/(1+$D961)^1+$R961/(1+$D961)^2+$S961/(1+$D961)^3+$T961/(1+$D961)^4+$U961/(1+$D961)^5+$U961*(1+$E961)/($D961-$E961)/(1+$D961)^5)-Assumptions!$C$37)/Assumptions!$C$40/Assumptions!$C$38</f>
        <v>-0.03859440152</v>
      </c>
    </row>
    <row r="962" ht="12.0" customHeight="1">
      <c r="B962" s="139">
        <v>910.0</v>
      </c>
      <c r="C962" s="140">
        <f t="shared" si="6"/>
        <v>0.979022564</v>
      </c>
      <c r="D962" s="141">
        <f t="shared" si="7"/>
        <v>0.1115694983</v>
      </c>
      <c r="E962" s="141">
        <f t="shared" si="8"/>
        <v>0.01026876381</v>
      </c>
      <c r="F962" s="140">
        <f t="shared" si="9"/>
        <v>0.7622359954</v>
      </c>
      <c r="G962" s="141">
        <f t="shared" si="10"/>
        <v>0.06931243832</v>
      </c>
      <c r="H962" s="142">
        <f t="shared" si="11"/>
        <v>0</v>
      </c>
      <c r="I962" s="142">
        <f t="shared" si="12"/>
        <v>0</v>
      </c>
      <c r="J962" s="142">
        <f t="shared" si="13"/>
        <v>1</v>
      </c>
      <c r="K962" s="142">
        <f t="shared" si="14"/>
        <v>1</v>
      </c>
      <c r="L962" s="139">
        <f>Assumptions!$C$6*Assumptions!$C$7*(1+$G962-0.05*(1-1))^1+Assumptions!$C$6*Assumptions!$C$8*(1+Assumptions!$C$11)^1+Assumptions!$C$16*1+Assumptions!$C$6*Assumptions!$C$9*(1+Assumptions!$C$12)^1</f>
        <v>749.7985667</v>
      </c>
      <c r="M962" s="139">
        <f>Assumptions!$C$6*Assumptions!$C$7*(1+$G962-0.05*(1-$H962))^2+Assumptions!$C$6*Assumptions!$C$8*(1+Assumptions!$C$11)^2+Assumptions!$C$16*$H962+Assumptions!$C$6*Assumptions!$C$9*(1+Assumptions!$C$12)^2</f>
        <v>686.1920353</v>
      </c>
      <c r="N962" s="139">
        <f>Assumptions!$C$6*Assumptions!$C$7*(1+$G962-0.05*(1-$I962))^3+Assumptions!$C$6*Assumptions!$C$8*(1+Assumptions!$C$11)^3+Assumptions!$C$16*$I962+Assumptions!$C$6*Assumptions!$C$9*(1+Assumptions!$C$12)^3</f>
        <v>699.6754173</v>
      </c>
      <c r="O962" s="139">
        <f>Assumptions!$C$6*Assumptions!$C$7*(1+$G962-0.05*(1-$J962))^4+Assumptions!$C$6*Assumptions!$C$8*(1+Assumptions!$C$11)^4+Assumptions!$C$16*$J962+Assumptions!$C$6*Assumptions!$C$9*(1+Assumptions!$C$12)^4</f>
        <v>850.1395273</v>
      </c>
      <c r="P962" s="139">
        <f>Assumptions!$C$6*Assumptions!$C$7*(1+$G962-0.05*(1-$K962))^5+Assumptions!$C$6*Assumptions!$C$8*(1+Assumptions!$C$11)^5+Assumptions!$C$16*$K962+Assumptions!$C$6*Assumptions!$C$9*(1+Assumptions!$C$12)^5</f>
        <v>887.6437834</v>
      </c>
      <c r="Q962" s="139">
        <f>($L962*(1-(Assumptions!$C$25+0.06*(1-1))-Assumptions!$C$27)-Assumptions!$C$28)-MAX(0,($L962*(1-(Assumptions!$C$25+0.06*(1-1))-Assumptions!$C$27)-Assumptions!$C$28)*Assumptions!$C$31)+Assumptions!$C$28-Assumptions!$C$29-$L962*Assumptions!$C$30</f>
        <v>93.70669185</v>
      </c>
      <c r="R962" s="139">
        <f>($M962*(1-(Assumptions!$C$25+0.06*(1-$H962))-Assumptions!$C$27)-Assumptions!$C$28)-MAX(0,($M962*(1-(Assumptions!$C$25+0.06*(1-$H962))-Assumptions!$C$27)-Assumptions!$C$28)*Assumptions!$C$31)+Assumptions!$C$28-Assumptions!$C$29-$M962*Assumptions!$C$30</f>
        <v>37.82416811</v>
      </c>
      <c r="S962" s="139">
        <f>($N962*(1-(Assumptions!$C$25+0.06*(1-$I962))-Assumptions!$C$27)-Assumptions!$C$28)-MAX(0,($N962*(1-(Assumptions!$C$25+0.06*(1-$I962))-Assumptions!$C$27)-Assumptions!$C$28)*Assumptions!$C$31)+Assumptions!$C$28-Assumptions!$C$29-$N962*Assumptions!$C$30</f>
        <v>40.92534598</v>
      </c>
      <c r="T962" s="139">
        <f>($O962*(1-(Assumptions!$C$25+0.06*(1-$J962))-Assumptions!$C$27)-Assumptions!$C$28)-MAX(0,($O962*(1-(Assumptions!$C$25+0.06*(1-$J962))-Assumptions!$C$27)-Assumptions!$C$28)*Assumptions!$C$31)+Assumptions!$C$28-Assumptions!$C$29-$O962*Assumptions!$C$30</f>
        <v>115.2799984</v>
      </c>
      <c r="U962" s="139">
        <f>($P962*(1-(Assumptions!$C$25+0.06*(1-$K962))-Assumptions!$C$27)-Assumptions!$C$28)-MAX(0,($P962*(1-(Assumptions!$C$25+0.06*(1-$K962))-Assumptions!$C$27)-Assumptions!$C$28)*Assumptions!$C$31)+Assumptions!$C$28-Assumptions!$C$29-$P962*Assumptions!$C$30</f>
        <v>123.3434134</v>
      </c>
      <c r="V962" s="143">
        <f>(($Q962/(1+$D962)^1+$R962/(1+$D962)^2+$S962/(1+$D962)^3+$T962/(1+$D962)^4+$U962/(1+$D962)^5+$U962*(1+$E962)/($D962-$E962)/(1+$D962)^5)-Assumptions!$C$37)/Assumptions!$C$40/Assumptions!$C$38</f>
        <v>2.544637596</v>
      </c>
    </row>
    <row r="963" ht="12.0" customHeight="1">
      <c r="B963" s="139">
        <v>911.0</v>
      </c>
      <c r="C963" s="140">
        <f t="shared" si="6"/>
        <v>0.4475119671</v>
      </c>
      <c r="D963" s="141">
        <f t="shared" si="7"/>
        <v>0.09739472277</v>
      </c>
      <c r="E963" s="141">
        <f t="shared" si="8"/>
        <v>0.02102965451</v>
      </c>
      <c r="F963" s="140">
        <f t="shared" si="9"/>
        <v>0.9565164399</v>
      </c>
      <c r="G963" s="141">
        <f t="shared" si="10"/>
        <v>0.08115294353</v>
      </c>
      <c r="H963" s="142">
        <f t="shared" si="11"/>
        <v>1</v>
      </c>
      <c r="I963" s="142">
        <f t="shared" si="12"/>
        <v>1</v>
      </c>
      <c r="J963" s="142">
        <f t="shared" si="13"/>
        <v>0</v>
      </c>
      <c r="K963" s="142">
        <f t="shared" si="14"/>
        <v>0</v>
      </c>
      <c r="L963" s="139">
        <f>Assumptions!$C$6*Assumptions!$C$7*(1+$G963-0.05*(1-1))^1+Assumptions!$C$6*Assumptions!$C$8*(1+Assumptions!$C$11)^1+Assumptions!$C$16*1+Assumptions!$C$6*Assumptions!$C$9*(1+Assumptions!$C$12)^1</f>
        <v>753.7840808</v>
      </c>
      <c r="M963" s="139">
        <f>Assumptions!$C$6*Assumptions!$C$7*(1+$G963-0.05*(1-$H963))^2+Assumptions!$C$6*Assumptions!$C$8*(1+Assumptions!$C$11)^2+Assumptions!$C$16*$H963+Assumptions!$C$6*Assumptions!$C$9*(1+Assumptions!$C$12)^2</f>
        <v>789.9143019</v>
      </c>
      <c r="N963" s="139">
        <f>Assumptions!$C$6*Assumptions!$C$7*(1+$G963-0.05*(1-$I963))^3+Assumptions!$C$6*Assumptions!$C$8*(1+Assumptions!$C$11)^3+Assumptions!$C$16*$I963+Assumptions!$C$6*Assumptions!$C$9*(1+Assumptions!$C$12)^3</f>
        <v>828.5731489</v>
      </c>
      <c r="O963" s="139">
        <f>Assumptions!$C$6*Assumptions!$C$7*(1+$G963-0.05*(1-$J963))^4+Assumptions!$C$6*Assumptions!$C$8*(1+Assumptions!$C$11)^4+Assumptions!$C$16*$J963+Assumptions!$C$6*Assumptions!$C$9*(1+Assumptions!$C$12)^4</f>
        <v>730.6039417</v>
      </c>
      <c r="P963" s="139">
        <f>Assumptions!$C$6*Assumptions!$C$7*(1+$G963-0.05*(1-$K963))^5+Assumptions!$C$6*Assumptions!$C$8*(1+Assumptions!$C$11)^5+Assumptions!$C$16*$K963+Assumptions!$C$6*Assumptions!$C$9*(1+Assumptions!$C$12)^5</f>
        <v>749.4602216</v>
      </c>
      <c r="Q963" s="139">
        <f>($L963*(1-(Assumptions!$C$25+0.06*(1-1))-Assumptions!$C$27)-Assumptions!$C$28)-MAX(0,($L963*(1-(Assumptions!$C$25+0.06*(1-1))-Assumptions!$C$27)-Assumptions!$C$28)*Assumptions!$C$31)+Assumptions!$C$28-Assumptions!$C$29-$L963*Assumptions!$C$30</f>
        <v>94.56357737</v>
      </c>
      <c r="R963" s="139">
        <f>($M963*(1-(Assumptions!$C$25+0.06*(1-$H963))-Assumptions!$C$27)-Assumptions!$C$28)-MAX(0,($M963*(1-(Assumptions!$C$25+0.06*(1-$H963))-Assumptions!$C$27)-Assumptions!$C$28)*Assumptions!$C$31)+Assumptions!$C$28-Assumptions!$C$29-$M963*Assumptions!$C$30</f>
        <v>102.3315749</v>
      </c>
      <c r="S963" s="139">
        <f>($N963*(1-(Assumptions!$C$25+0.06*(1-$I963))-Assumptions!$C$27)-Assumptions!$C$28)-MAX(0,($N963*(1-(Assumptions!$C$25+0.06*(1-$I963))-Assumptions!$C$27)-Assumptions!$C$28)*Assumptions!$C$31)+Assumptions!$C$28-Assumptions!$C$29-$N963*Assumptions!$C$30</f>
        <v>110.643227</v>
      </c>
      <c r="T963" s="139">
        <f>($O963*(1-(Assumptions!$C$25+0.06*(1-$J963))-Assumptions!$C$27)-Assumptions!$C$28)-MAX(0,($O963*(1-(Assumptions!$C$25+0.06*(1-$J963))-Assumptions!$C$27)-Assumptions!$C$28)*Assumptions!$C$31)+Assumptions!$C$28-Assumptions!$C$29-$O963*Assumptions!$C$30</f>
        <v>48.03890658</v>
      </c>
      <c r="U963" s="139">
        <f>($P963*(1-(Assumptions!$C$25+0.06*(1-$K963))-Assumptions!$C$27)-Assumptions!$C$28)-MAX(0,($P963*(1-(Assumptions!$C$25+0.06*(1-$K963))-Assumptions!$C$27)-Assumptions!$C$28)*Assumptions!$C$31)+Assumptions!$C$28-Assumptions!$C$29-$P963*Assumptions!$C$30</f>
        <v>52.37585098</v>
      </c>
      <c r="V963" s="143">
        <f>(($Q963/(1+$D963)^1+$R963/(1+$D963)^2+$S963/(1+$D963)^3+$T963/(1+$D963)^4+$U963/(1+$D963)^5+$U963*(1+$E963)/($D963-$E963)/(1+$D963)^5)-Assumptions!$C$37)/Assumptions!$C$40/Assumptions!$C$38</f>
        <v>0.5400872005</v>
      </c>
    </row>
    <row r="964" ht="12.0" customHeight="1">
      <c r="B964" s="139">
        <v>912.0</v>
      </c>
      <c r="C964" s="140">
        <f t="shared" si="6"/>
        <v>0.9193479419</v>
      </c>
      <c r="D964" s="141">
        <f t="shared" si="7"/>
        <v>0.1082734998</v>
      </c>
      <c r="E964" s="141">
        <f t="shared" si="8"/>
        <v>0.02593542254</v>
      </c>
      <c r="F964" s="140">
        <f t="shared" si="9"/>
        <v>0.3714979359</v>
      </c>
      <c r="G964" s="141">
        <f t="shared" si="10"/>
        <v>0.05585916249</v>
      </c>
      <c r="H964" s="142">
        <f t="shared" si="11"/>
        <v>1</v>
      </c>
      <c r="I964" s="142">
        <f t="shared" si="12"/>
        <v>1</v>
      </c>
      <c r="J964" s="142">
        <f t="shared" si="13"/>
        <v>1</v>
      </c>
      <c r="K964" s="142">
        <f t="shared" si="14"/>
        <v>0</v>
      </c>
      <c r="L964" s="139">
        <f>Assumptions!$C$6*Assumptions!$C$7*(1+$G964-0.05*(1-1))^1+Assumptions!$C$6*Assumptions!$C$8*(1+Assumptions!$C$11)^1+Assumptions!$C$16*1+Assumptions!$C$6*Assumptions!$C$9*(1+Assumptions!$C$12)^1</f>
        <v>745.2701941</v>
      </c>
      <c r="M964" s="139">
        <f>Assumptions!$C$6*Assumptions!$C$7*(1+$G964-0.05*(1-$H964))^2+Assumptions!$C$6*Assumptions!$C$8*(1+Assumptions!$C$11)^2+Assumptions!$C$16*$H964+Assumptions!$C$6*Assumptions!$C$9*(1+Assumptions!$C$12)^2</f>
        <v>771.720023</v>
      </c>
      <c r="N964" s="139">
        <f>Assumptions!$C$6*Assumptions!$C$7*(1+$G964-0.05*(1-$I964))^3+Assumptions!$C$6*Assumptions!$C$8*(1+Assumptions!$C$11)^3+Assumptions!$C$16*$I964+Assumptions!$C$6*Assumptions!$C$9*(1+Assumptions!$C$12)^3</f>
        <v>799.4107414</v>
      </c>
      <c r="O964" s="139">
        <f>Assumptions!$C$6*Assumptions!$C$7*(1+$G964-0.05*(1-$J964))^4+Assumptions!$C$6*Assumptions!$C$8*(1+Assumptions!$C$11)^4+Assumptions!$C$16*$J964+Assumptions!$C$6*Assumptions!$C$9*(1+Assumptions!$C$12)^4</f>
        <v>828.4069328</v>
      </c>
      <c r="P964" s="139">
        <f>Assumptions!$C$6*Assumptions!$C$7*(1+$G964-0.05*(1-$K964))^5+Assumptions!$C$6*Assumptions!$C$8*(1+Assumptions!$C$11)^5+Assumptions!$C$16*$K964+Assumptions!$C$6*Assumptions!$C$9*(1+Assumptions!$C$12)^5</f>
        <v>703.6369353</v>
      </c>
      <c r="Q964" s="139">
        <f>($L964*(1-(Assumptions!$C$25+0.06*(1-1))-Assumptions!$C$27)-Assumptions!$C$28)-MAX(0,($L964*(1-(Assumptions!$C$25+0.06*(1-1))-Assumptions!$C$27)-Assumptions!$C$28)*Assumptions!$C$31)+Assumptions!$C$28-Assumptions!$C$29-$L964*Assumptions!$C$30</f>
        <v>92.73309173</v>
      </c>
      <c r="R964" s="139">
        <f>($M964*(1-(Assumptions!$C$25+0.06*(1-$H964))-Assumptions!$C$27)-Assumptions!$C$28)-MAX(0,($M964*(1-(Assumptions!$C$25+0.06*(1-$H964))-Assumptions!$C$27)-Assumptions!$C$28)*Assumptions!$C$31)+Assumptions!$C$28-Assumptions!$C$29-$M964*Assumptions!$C$30</f>
        <v>98.41980495</v>
      </c>
      <c r="S964" s="139">
        <f>($N964*(1-(Assumptions!$C$25+0.06*(1-$I964))-Assumptions!$C$27)-Assumptions!$C$28)-MAX(0,($N964*(1-(Assumptions!$C$25+0.06*(1-$I964))-Assumptions!$C$27)-Assumptions!$C$28)*Assumptions!$C$31)+Assumptions!$C$28-Assumptions!$C$29-$N964*Assumptions!$C$30</f>
        <v>104.3733094</v>
      </c>
      <c r="T964" s="139">
        <f>($O964*(1-(Assumptions!$C$25+0.06*(1-$J964))-Assumptions!$C$27)-Assumptions!$C$28)-MAX(0,($O964*(1-(Assumptions!$C$25+0.06*(1-$J964))-Assumptions!$C$27)-Assumptions!$C$28)*Assumptions!$C$31)+Assumptions!$C$28-Assumptions!$C$29-$O964*Assumptions!$C$30</f>
        <v>110.6074906</v>
      </c>
      <c r="U964" s="139">
        <f>($P964*(1-(Assumptions!$C$25+0.06*(1-$K964))-Assumptions!$C$27)-Assumptions!$C$28)-MAX(0,($P964*(1-(Assumptions!$C$25+0.06*(1-$K964))-Assumptions!$C$27)-Assumptions!$C$28)*Assumptions!$C$31)+Assumptions!$C$28-Assumptions!$C$29-$P964*Assumptions!$C$30</f>
        <v>41.83649512</v>
      </c>
      <c r="V964" s="143">
        <f>(($Q964/(1+$D964)^1+$R964/(1+$D964)^2+$S964/(1+$D964)^3+$T964/(1+$D964)^4+$U964/(1+$D964)^5+$U964*(1+$E964)/($D964-$E964)/(1+$D964)^5)-Assumptions!$C$37)/Assumptions!$C$40/Assumptions!$C$38</f>
        <v>-0.3208373961</v>
      </c>
    </row>
    <row r="965" ht="12.0" customHeight="1">
      <c r="B965" s="139">
        <v>913.0</v>
      </c>
      <c r="C965" s="140">
        <f t="shared" si="6"/>
        <v>0.05926877944</v>
      </c>
      <c r="D965" s="141">
        <f t="shared" si="7"/>
        <v>0.08948242303</v>
      </c>
      <c r="E965" s="141">
        <f t="shared" si="8"/>
        <v>0.01382407649</v>
      </c>
      <c r="F965" s="140">
        <f t="shared" si="9"/>
        <v>0.2586883491</v>
      </c>
      <c r="G965" s="141">
        <f t="shared" si="10"/>
        <v>0.05157867068</v>
      </c>
      <c r="H965" s="142">
        <f t="shared" si="11"/>
        <v>1</v>
      </c>
      <c r="I965" s="142">
        <f t="shared" si="12"/>
        <v>0</v>
      </c>
      <c r="J965" s="142">
        <f t="shared" si="13"/>
        <v>1</v>
      </c>
      <c r="K965" s="142">
        <f t="shared" si="14"/>
        <v>1</v>
      </c>
      <c r="L965" s="139">
        <f>Assumptions!$C$6*Assumptions!$C$7*(1+$G965-0.05*(1-1))^1+Assumptions!$C$6*Assumptions!$C$8*(1+Assumptions!$C$11)^1+Assumptions!$C$16*1+Assumptions!$C$6*Assumptions!$C$9*(1+Assumptions!$C$12)^1</f>
        <v>743.8293806</v>
      </c>
      <c r="M965" s="139">
        <f>Assumptions!$C$6*Assumptions!$C$7*(1+$G965-0.05*(1-$H965))^2+Assumptions!$C$6*Assumptions!$C$8*(1+Assumptions!$C$11)^2+Assumptions!$C$16*$H965+Assumptions!$C$6*Assumptions!$C$9*(1+Assumptions!$C$12)^2</f>
        <v>768.683598</v>
      </c>
      <c r="N965" s="139">
        <f>Assumptions!$C$6*Assumptions!$C$7*(1+$G965-0.05*(1-$I965))^3+Assumptions!$C$6*Assumptions!$C$8*(1+Assumptions!$C$11)^3+Assumptions!$C$16*$I965+Assumptions!$C$6*Assumptions!$C$9*(1+Assumptions!$C$12)^3</f>
        <v>681.3913268</v>
      </c>
      <c r="O965" s="139">
        <f>Assumptions!$C$6*Assumptions!$C$7*(1+$G965-0.05*(1-$J965))^4+Assumptions!$C$6*Assumptions!$C$8*(1+Assumptions!$C$11)^4+Assumptions!$C$16*$J965+Assumptions!$C$6*Assumptions!$C$9*(1+Assumptions!$C$12)^4</f>
        <v>821.6640767</v>
      </c>
      <c r="P965" s="139">
        <f>Assumptions!$C$6*Assumptions!$C$7*(1+$G965-0.05*(1-$K965))^5+Assumptions!$C$6*Assumptions!$C$8*(1+Assumptions!$C$11)^5+Assumptions!$C$16*$K965+Assumptions!$C$6*Assumptions!$C$9*(1+Assumptions!$C$12)^5</f>
        <v>849.8953132</v>
      </c>
      <c r="Q965" s="139">
        <f>($L965*(1-(Assumptions!$C$25+0.06*(1-1))-Assumptions!$C$27)-Assumptions!$C$28)-MAX(0,($L965*(1-(Assumptions!$C$25+0.06*(1-1))-Assumptions!$C$27)-Assumptions!$C$28)*Assumptions!$C$31)+Assumptions!$C$28-Assumptions!$C$29-$L965*Assumptions!$C$30</f>
        <v>92.42331682</v>
      </c>
      <c r="R965" s="139">
        <f>($M965*(1-(Assumptions!$C$25+0.06*(1-$H965))-Assumptions!$C$27)-Assumptions!$C$28)-MAX(0,($M965*(1-(Assumptions!$C$25+0.06*(1-$H965))-Assumptions!$C$27)-Assumptions!$C$28)*Assumptions!$C$31)+Assumptions!$C$28-Assumptions!$C$29-$M965*Assumptions!$C$30</f>
        <v>97.76697358</v>
      </c>
      <c r="S965" s="139">
        <f>($N965*(1-(Assumptions!$C$25+0.06*(1-$I965))-Assumptions!$C$27)-Assumptions!$C$28)-MAX(0,($N965*(1-(Assumptions!$C$25+0.06*(1-$I965))-Assumptions!$C$27)-Assumptions!$C$28)*Assumptions!$C$31)+Assumptions!$C$28-Assumptions!$C$29-$N965*Assumptions!$C$30</f>
        <v>36.72000516</v>
      </c>
      <c r="T965" s="139">
        <f>($O965*(1-(Assumptions!$C$25+0.06*(1-$J965))-Assumptions!$C$27)-Assumptions!$C$28)-MAX(0,($O965*(1-(Assumptions!$C$25+0.06*(1-$J965))-Assumptions!$C$27)-Assumptions!$C$28)*Assumptions!$C$31)+Assumptions!$C$28-Assumptions!$C$29-$O965*Assumptions!$C$30</f>
        <v>109.1577765</v>
      </c>
      <c r="U965" s="139">
        <f>($P965*(1-(Assumptions!$C$25+0.06*(1-$K965))-Assumptions!$C$27)-Assumptions!$C$28)-MAX(0,($P965*(1-(Assumptions!$C$25+0.06*(1-$K965))-Assumptions!$C$27)-Assumptions!$C$28)*Assumptions!$C$31)+Assumptions!$C$28-Assumptions!$C$29-$P965*Assumptions!$C$30</f>
        <v>115.2274923</v>
      </c>
      <c r="V965" s="143">
        <f>(($Q965/(1+$D965)^1+$R965/(1+$D965)^2+$S965/(1+$D965)^3+$T965/(1+$D965)^4+$U965/(1+$D965)^5+$U965*(1+$E965)/($D965-$E965)/(1+$D965)^5)-Assumptions!$C$37)/Assumptions!$C$40/Assumptions!$C$38</f>
        <v>5.168978749</v>
      </c>
    </row>
    <row r="966" ht="12.0" customHeight="1">
      <c r="B966" s="139">
        <v>914.0</v>
      </c>
      <c r="C966" s="140">
        <f t="shared" si="6"/>
        <v>0.1314818315</v>
      </c>
      <c r="D966" s="141">
        <f t="shared" si="7"/>
        <v>0.09167625201</v>
      </c>
      <c r="E966" s="141">
        <f t="shared" si="8"/>
        <v>0.02585343117</v>
      </c>
      <c r="F966" s="140">
        <f t="shared" si="9"/>
        <v>0.6197178985</v>
      </c>
      <c r="G966" s="141">
        <f t="shared" si="10"/>
        <v>0.06383690036</v>
      </c>
      <c r="H966" s="142">
        <f t="shared" si="11"/>
        <v>0</v>
      </c>
      <c r="I966" s="142">
        <f t="shared" si="12"/>
        <v>1</v>
      </c>
      <c r="J966" s="142">
        <f t="shared" si="13"/>
        <v>0</v>
      </c>
      <c r="K966" s="142">
        <f t="shared" si="14"/>
        <v>0</v>
      </c>
      <c r="L966" s="139">
        <f>Assumptions!$C$6*Assumptions!$C$7*(1+$G966-0.05*(1-1))^1+Assumptions!$C$6*Assumptions!$C$8*(1+Assumptions!$C$11)^1+Assumptions!$C$16*1+Assumptions!$C$6*Assumptions!$C$9*(1+Assumptions!$C$12)^1</f>
        <v>747.9555007</v>
      </c>
      <c r="M966" s="139">
        <f>Assumptions!$C$6*Assumptions!$C$7*(1+$G966-0.05*(1-$H966))^2+Assumptions!$C$6*Assumptions!$C$8*(1+Assumptions!$C$11)^2+Assumptions!$C$16*$H966+Assumptions!$C$6*Assumptions!$C$9*(1+Assumptions!$C$12)^2</f>
        <v>682.4448067</v>
      </c>
      <c r="N966" s="139">
        <f>Assumptions!$C$6*Assumptions!$C$7*(1+$G966-0.05*(1-$I966))^3+Assumptions!$C$6*Assumptions!$C$8*(1+Assumptions!$C$11)^3+Assumptions!$C$16*$I966+Assumptions!$C$6*Assumptions!$C$9*(1+Assumptions!$C$12)^3</f>
        <v>808.4598203</v>
      </c>
      <c r="O966" s="139">
        <f>Assumptions!$C$6*Assumptions!$C$7*(1+$G966-0.05*(1-$J966))^4+Assumptions!$C$6*Assumptions!$C$8*(1+Assumptions!$C$11)^4+Assumptions!$C$16*$J966+Assumptions!$C$6*Assumptions!$C$9*(1+Assumptions!$C$12)^4</f>
        <v>705.6788147</v>
      </c>
      <c r="P966" s="139">
        <f>Assumptions!$C$6*Assumptions!$C$7*(1+$G966-0.05*(1-$K966))^5+Assumptions!$C$6*Assumptions!$C$8*(1+Assumptions!$C$11)^5+Assumptions!$C$16*$K966+Assumptions!$C$6*Assumptions!$C$9*(1+Assumptions!$C$12)^5</f>
        <v>717.6006679</v>
      </c>
      <c r="Q966" s="139">
        <f>($L966*(1-(Assumptions!$C$25+0.06*(1-1))-Assumptions!$C$27)-Assumptions!$C$28)-MAX(0,($L966*(1-(Assumptions!$C$25+0.06*(1-1))-Assumptions!$C$27)-Assumptions!$C$28)*Assumptions!$C$31)+Assumptions!$C$28-Assumptions!$C$29-$L966*Assumptions!$C$30</f>
        <v>93.31043264</v>
      </c>
      <c r="R966" s="139">
        <f>($M966*(1-(Assumptions!$C$25+0.06*(1-$H966))-Assumptions!$C$27)-Assumptions!$C$28)-MAX(0,($M966*(1-(Assumptions!$C$25+0.06*(1-$H966))-Assumptions!$C$27)-Assumptions!$C$28)*Assumptions!$C$31)+Assumptions!$C$28-Assumptions!$C$29-$M966*Assumptions!$C$30</f>
        <v>36.96230554</v>
      </c>
      <c r="S966" s="139">
        <f>($N966*(1-(Assumptions!$C$25+0.06*(1-$I966))-Assumptions!$C$27)-Assumptions!$C$28)-MAX(0,($N966*(1-(Assumptions!$C$25+0.06*(1-$I966))-Assumptions!$C$27)-Assumptions!$C$28)*Assumptions!$C$31)+Assumptions!$C$28-Assumptions!$C$29-$N966*Assumptions!$C$30</f>
        <v>106.3188614</v>
      </c>
      <c r="T966" s="139">
        <f>($O966*(1-(Assumptions!$C$25+0.06*(1-$J966))-Assumptions!$C$27)-Assumptions!$C$28)-MAX(0,($O966*(1-(Assumptions!$C$25+0.06*(1-$J966))-Assumptions!$C$27)-Assumptions!$C$28)*Assumptions!$C$31)+Assumptions!$C$28-Assumptions!$C$29-$O966*Assumptions!$C$30</f>
        <v>42.30612737</v>
      </c>
      <c r="U966" s="139">
        <f>($P966*(1-(Assumptions!$C$25+0.06*(1-$K966))-Assumptions!$C$27)-Assumptions!$C$28)-MAX(0,($P966*(1-(Assumptions!$C$25+0.06*(1-$K966))-Assumptions!$C$27)-Assumptions!$C$28)*Assumptions!$C$31)+Assumptions!$C$28-Assumptions!$C$29-$P966*Assumptions!$C$30</f>
        <v>45.04815362</v>
      </c>
      <c r="V966" s="143">
        <f>(($Q966/(1+$D966)^1+$R966/(1+$D966)^2+$S966/(1+$D966)^3+$T966/(1+$D966)^4+$U966/(1+$D966)^5+$U966*(1+$E966)/($D966-$E966)/(1+$D966)^5)-Assumptions!$C$37)/Assumptions!$C$40/Assumptions!$C$38</f>
        <v>0.1417293522</v>
      </c>
    </row>
    <row r="967" ht="12.0" customHeight="1">
      <c r="B967" s="139">
        <v>915.0</v>
      </c>
      <c r="C967" s="140">
        <f t="shared" si="6"/>
        <v>0.7194871668</v>
      </c>
      <c r="D967" s="141">
        <f t="shared" si="7"/>
        <v>0.1024553717</v>
      </c>
      <c r="E967" s="141">
        <f t="shared" si="8"/>
        <v>0.02490038423</v>
      </c>
      <c r="F967" s="140">
        <f t="shared" si="9"/>
        <v>0.8357543595</v>
      </c>
      <c r="G967" s="141">
        <f t="shared" si="10"/>
        <v>0.07280575233</v>
      </c>
      <c r="H967" s="142">
        <f t="shared" si="11"/>
        <v>1</v>
      </c>
      <c r="I967" s="142">
        <f t="shared" si="12"/>
        <v>0</v>
      </c>
      <c r="J967" s="142">
        <f t="shared" si="13"/>
        <v>1</v>
      </c>
      <c r="K967" s="142">
        <f t="shared" si="14"/>
        <v>1</v>
      </c>
      <c r="L967" s="139">
        <f>Assumptions!$C$6*Assumptions!$C$7*(1+$G967-0.05*(1-1))^1+Assumptions!$C$6*Assumptions!$C$8*(1+Assumptions!$C$11)^1+Assumptions!$C$16*1+Assumptions!$C$6*Assumptions!$C$9*(1+Assumptions!$C$12)^1</f>
        <v>750.9744162</v>
      </c>
      <c r="M967" s="139">
        <f>Assumptions!$C$6*Assumptions!$C$7*(1+$G967-0.05*(1-$H967))^2+Assumptions!$C$6*Assumptions!$C$8*(1+Assumptions!$C$11)^2+Assumptions!$C$16*$H967+Assumptions!$C$6*Assumptions!$C$9*(1+Assumptions!$C$12)^2</f>
        <v>783.8624005</v>
      </c>
      <c r="N967" s="139">
        <f>Assumptions!$C$6*Assumptions!$C$7*(1+$G967-0.05*(1-$I967))^3+Assumptions!$C$6*Assumptions!$C$8*(1+Assumptions!$C$11)^3+Assumptions!$C$16*$I967+Assumptions!$C$6*Assumptions!$C$9*(1+Assumptions!$C$12)^3</f>
        <v>703.3531078</v>
      </c>
      <c r="O967" s="139">
        <f>Assumptions!$C$6*Assumptions!$C$7*(1+$G967-0.05*(1-$J967))^4+Assumptions!$C$6*Assumptions!$C$8*(1+Assumptions!$C$11)^4+Assumptions!$C$16*$J967+Assumptions!$C$6*Assumptions!$C$9*(1+Assumptions!$C$12)^4</f>
        <v>855.9185339</v>
      </c>
      <c r="P967" s="139">
        <f>Assumptions!$C$6*Assumptions!$C$7*(1+$G967-0.05*(1-$K967))^5+Assumptions!$C$6*Assumptions!$C$8*(1+Assumptions!$C$11)^5+Assumptions!$C$16*$K967+Assumptions!$C$6*Assumptions!$C$9*(1+Assumptions!$C$12)^5</f>
        <v>895.3808759</v>
      </c>
      <c r="Q967" s="139">
        <f>($L967*(1-(Assumptions!$C$25+0.06*(1-1))-Assumptions!$C$27)-Assumptions!$C$28)-MAX(0,($L967*(1-(Assumptions!$C$25+0.06*(1-1))-Assumptions!$C$27)-Assumptions!$C$28)*Assumptions!$C$31)+Assumptions!$C$28-Assumptions!$C$29-$L967*Assumptions!$C$30</f>
        <v>93.95949949</v>
      </c>
      <c r="R967" s="139">
        <f>($M967*(1-(Assumptions!$C$25+0.06*(1-$H967))-Assumptions!$C$27)-Assumptions!$C$28)-MAX(0,($M967*(1-(Assumptions!$C$25+0.06*(1-$H967))-Assumptions!$C$27)-Assumptions!$C$28)*Assumptions!$C$31)+Assumptions!$C$28-Assumptions!$C$29-$M967*Assumptions!$C$30</f>
        <v>101.0304161</v>
      </c>
      <c r="S967" s="139">
        <f>($N967*(1-(Assumptions!$C$25+0.06*(1-$I967))-Assumptions!$C$27)-Assumptions!$C$28)-MAX(0,($N967*(1-(Assumptions!$C$25+0.06*(1-$I967))-Assumptions!$C$27)-Assumptions!$C$28)*Assumptions!$C$31)+Assumptions!$C$28-Assumptions!$C$29-$N967*Assumptions!$C$30</f>
        <v>41.77121479</v>
      </c>
      <c r="T967" s="139">
        <f>($O967*(1-(Assumptions!$C$25+0.06*(1-$J967))-Assumptions!$C$27)-Assumptions!$C$28)-MAX(0,($O967*(1-(Assumptions!$C$25+0.06*(1-$J967))-Assumptions!$C$27)-Assumptions!$C$28)*Assumptions!$C$31)+Assumptions!$C$28-Assumptions!$C$29-$O967*Assumptions!$C$30</f>
        <v>116.5224848</v>
      </c>
      <c r="U967" s="139">
        <f>($P967*(1-(Assumptions!$C$25+0.06*(1-$K967))-Assumptions!$C$27)-Assumptions!$C$28)-MAX(0,($P967*(1-(Assumptions!$C$25+0.06*(1-$K967))-Assumptions!$C$27)-Assumptions!$C$28)*Assumptions!$C$31)+Assumptions!$C$28-Assumptions!$C$29-$P967*Assumptions!$C$30</f>
        <v>125.0068883</v>
      </c>
      <c r="V967" s="143">
        <f>(($Q967/(1+$D967)^1+$R967/(1+$D967)^2+$S967/(1+$D967)^3+$T967/(1+$D967)^4+$U967/(1+$D967)^5+$U967*(1+$E967)/($D967-$E967)/(1+$D967)^5)-Assumptions!$C$37)/Assumptions!$C$40/Assumptions!$C$38</f>
        <v>5.289880054</v>
      </c>
    </row>
    <row r="968" ht="12.0" customHeight="1">
      <c r="B968" s="139">
        <v>916.0</v>
      </c>
      <c r="C968" s="140">
        <f t="shared" si="6"/>
        <v>0.6789659926</v>
      </c>
      <c r="D968" s="141">
        <f t="shared" si="7"/>
        <v>0.101579863</v>
      </c>
      <c r="E968" s="141">
        <f t="shared" si="8"/>
        <v>0.02670744167</v>
      </c>
      <c r="F968" s="140">
        <f t="shared" si="9"/>
        <v>0.392913899</v>
      </c>
      <c r="G968" s="141">
        <f t="shared" si="10"/>
        <v>0.05659407863</v>
      </c>
      <c r="H968" s="142">
        <f t="shared" si="11"/>
        <v>1</v>
      </c>
      <c r="I968" s="142">
        <f t="shared" si="12"/>
        <v>1</v>
      </c>
      <c r="J968" s="142">
        <f t="shared" si="13"/>
        <v>0</v>
      </c>
      <c r="K968" s="142">
        <f t="shared" si="14"/>
        <v>1</v>
      </c>
      <c r="L968" s="139">
        <f>Assumptions!$C$6*Assumptions!$C$7*(1+$G968-0.05*(1-1))^1+Assumptions!$C$6*Assumptions!$C$8*(1+Assumptions!$C$11)^1+Assumptions!$C$16*1+Assumptions!$C$6*Assumptions!$C$9*(1+Assumptions!$C$12)^1</f>
        <v>745.5175669</v>
      </c>
      <c r="M968" s="139">
        <f>Assumptions!$C$6*Assumptions!$C$7*(1+$G968-0.05*(1-$H968))^2+Assumptions!$C$6*Assumptions!$C$8*(1+Assumptions!$C$11)^2+Assumptions!$C$16*$H968+Assumptions!$C$6*Assumptions!$C$9*(1+Assumptions!$C$12)^2</f>
        <v>772.2425864</v>
      </c>
      <c r="N968" s="139">
        <f>Assumptions!$C$6*Assumptions!$C$7*(1+$G968-0.05*(1-$I968))^3+Assumptions!$C$6*Assumptions!$C$8*(1+Assumptions!$C$11)^3+Assumptions!$C$16*$I968+Assumptions!$C$6*Assumptions!$C$9*(1+Assumptions!$C$12)^3</f>
        <v>800.2386595</v>
      </c>
      <c r="O968" s="139">
        <f>Assumptions!$C$6*Assumptions!$C$7*(1+$G968-0.05*(1-$J968))^4+Assumptions!$C$6*Assumptions!$C$8*(1+Assumptions!$C$11)^4+Assumptions!$C$16*$J968+Assumptions!$C$6*Assumptions!$C$9*(1+Assumptions!$C$12)^4</f>
        <v>695.6250307</v>
      </c>
      <c r="P968" s="139">
        <f>Assumptions!$C$6*Assumptions!$C$7*(1+$G968-0.05*(1-$K968))^5+Assumptions!$C$6*Assumptions!$C$8*(1+Assumptions!$C$11)^5+Assumptions!$C$16*$K968+Assumptions!$C$6*Assumptions!$C$9*(1+Assumptions!$C$12)^5</f>
        <v>860.31609</v>
      </c>
      <c r="Q968" s="139">
        <f>($L968*(1-(Assumptions!$C$25+0.06*(1-1))-Assumptions!$C$27)-Assumptions!$C$28)-MAX(0,($L968*(1-(Assumptions!$C$25+0.06*(1-1))-Assumptions!$C$27)-Assumptions!$C$28)*Assumptions!$C$31)+Assumptions!$C$28-Assumptions!$C$29-$L968*Assumptions!$C$30</f>
        <v>92.78627688</v>
      </c>
      <c r="R968" s="139">
        <f>($M968*(1-(Assumptions!$C$25+0.06*(1-$H968))-Assumptions!$C$27)-Assumptions!$C$28)-MAX(0,($M968*(1-(Assumptions!$C$25+0.06*(1-$H968))-Assumptions!$C$27)-Assumptions!$C$28)*Assumptions!$C$31)+Assumptions!$C$28-Assumptions!$C$29-$M968*Assumptions!$C$30</f>
        <v>98.53215608</v>
      </c>
      <c r="S968" s="139">
        <f>($N968*(1-(Assumptions!$C$25+0.06*(1-$I968))-Assumptions!$C$27)-Assumptions!$C$28)-MAX(0,($N968*(1-(Assumptions!$C$25+0.06*(1-$I968))-Assumptions!$C$27)-Assumptions!$C$28)*Assumptions!$C$31)+Assumptions!$C$28-Assumptions!$C$29-$N968*Assumptions!$C$30</f>
        <v>104.5513118</v>
      </c>
      <c r="T968" s="139">
        <f>($O968*(1-(Assumptions!$C$25+0.06*(1-$J968))-Assumptions!$C$27)-Assumptions!$C$28)-MAX(0,($O968*(1-(Assumptions!$C$25+0.06*(1-$J968))-Assumptions!$C$27)-Assumptions!$C$28)*Assumptions!$C$31)+Assumptions!$C$28-Assumptions!$C$29-$O968*Assumptions!$C$30</f>
        <v>39.99375706</v>
      </c>
      <c r="U968" s="139">
        <f>($P968*(1-(Assumptions!$C$25+0.06*(1-$K968))-Assumptions!$C$27)-Assumptions!$C$28)-MAX(0,($P968*(1-(Assumptions!$C$25+0.06*(1-$K968))-Assumptions!$C$27)-Assumptions!$C$28)*Assumptions!$C$31)+Assumptions!$C$28-Assumptions!$C$29-$P968*Assumptions!$C$30</f>
        <v>117.4679594</v>
      </c>
      <c r="V968" s="143">
        <f>(($Q968/(1+$D968)^1+$R968/(1+$D968)^2+$S968/(1+$D968)^3+$T968/(1+$D968)^4+$U968/(1+$D968)^5+$U968*(1+$E968)/($D968-$E968)/(1+$D968)^5)-Assumptions!$C$37)/Assumptions!$C$40/Assumptions!$C$38</f>
        <v>5.03006833</v>
      </c>
    </row>
    <row r="969" ht="12.0" customHeight="1">
      <c r="B969" s="139">
        <v>917.0</v>
      </c>
      <c r="C969" s="140">
        <f t="shared" si="6"/>
        <v>0.8425310372</v>
      </c>
      <c r="D969" s="141">
        <f t="shared" si="7"/>
        <v>0.1056010592</v>
      </c>
      <c r="E969" s="141">
        <f t="shared" si="8"/>
        <v>0.01949684698</v>
      </c>
      <c r="F969" s="140">
        <f t="shared" si="9"/>
        <v>0.007945838275</v>
      </c>
      <c r="G969" s="141">
        <f t="shared" si="10"/>
        <v>0.0337818658</v>
      </c>
      <c r="H969" s="142">
        <f t="shared" si="11"/>
        <v>1</v>
      </c>
      <c r="I969" s="142">
        <f t="shared" si="12"/>
        <v>1</v>
      </c>
      <c r="J969" s="142">
        <f t="shared" si="13"/>
        <v>0</v>
      </c>
      <c r="K969" s="142">
        <f t="shared" si="14"/>
        <v>1</v>
      </c>
      <c r="L969" s="139">
        <f>Assumptions!$C$6*Assumptions!$C$7*(1+$G969-0.05*(1-1))^1+Assumptions!$C$6*Assumptions!$C$8*(1+Assumptions!$C$11)^1+Assumptions!$C$16*1+Assumptions!$C$6*Assumptions!$C$9*(1+Assumptions!$C$12)^1</f>
        <v>737.838976</v>
      </c>
      <c r="M969" s="139">
        <f>Assumptions!$C$6*Assumptions!$C$7*(1+$G969-0.05*(1-$H969))^2+Assumptions!$C$6*Assumptions!$C$8*(1+Assumptions!$C$11)^2+Assumptions!$C$16*$H969+Assumptions!$C$6*Assumptions!$C$9*(1+Assumptions!$C$12)^2</f>
        <v>756.1914448</v>
      </c>
      <c r="N969" s="139">
        <f>Assumptions!$C$6*Assumptions!$C$7*(1+$G969-0.05*(1-$I969))^3+Assumptions!$C$6*Assumptions!$C$8*(1+Assumptions!$C$11)^3+Assumptions!$C$16*$I969+Assumptions!$C$6*Assumptions!$C$9*(1+Assumptions!$C$12)^3</f>
        <v>775.0729704</v>
      </c>
      <c r="O969" s="139">
        <f>Assumptions!$C$6*Assumptions!$C$7*(1+$G969-0.05*(1-$J969))^4+Assumptions!$C$6*Assumptions!$C$8*(1+Assumptions!$C$11)^4+Assumptions!$C$16*$J969+Assumptions!$C$6*Assumptions!$C$9*(1+Assumptions!$C$12)^4</f>
        <v>665.3479555</v>
      </c>
      <c r="P969" s="139">
        <f>Assumptions!$C$6*Assumptions!$C$7*(1+$G969-0.05*(1-$K969))^5+Assumptions!$C$6*Assumptions!$C$8*(1+Assumptions!$C$11)^5+Assumptions!$C$16*$K969+Assumptions!$C$6*Assumptions!$C$9*(1+Assumptions!$C$12)^5</f>
        <v>814.4879137</v>
      </c>
      <c r="Q969" s="139">
        <f>($L969*(1-(Assumptions!$C$25+0.06*(1-1))-Assumptions!$C$27)-Assumptions!$C$28)-MAX(0,($L969*(1-(Assumptions!$C$25+0.06*(1-1))-Assumptions!$C$27)-Assumptions!$C$28)*Assumptions!$C$31)+Assumptions!$C$28-Assumptions!$C$29-$L969*Assumptions!$C$30</f>
        <v>91.13537985</v>
      </c>
      <c r="R969" s="139">
        <f>($M969*(1-(Assumptions!$C$25+0.06*(1-$H969))-Assumptions!$C$27)-Assumptions!$C$28)-MAX(0,($M969*(1-(Assumptions!$C$25+0.06*(1-$H969))-Assumptions!$C$27)-Assumptions!$C$28)*Assumptions!$C$31)+Assumptions!$C$28-Assumptions!$C$29-$M969*Assumptions!$C$30</f>
        <v>95.08116064</v>
      </c>
      <c r="S969" s="139">
        <f>($N969*(1-(Assumptions!$C$25+0.06*(1-$I969))-Assumptions!$C$27)-Assumptions!$C$28)-MAX(0,($N969*(1-(Assumptions!$C$25+0.06*(1-$I969))-Assumptions!$C$27)-Assumptions!$C$28)*Assumptions!$C$31)+Assumptions!$C$28-Assumptions!$C$29-$N969*Assumptions!$C$30</f>
        <v>99.14068863</v>
      </c>
      <c r="T969" s="139">
        <f>($O969*(1-(Assumptions!$C$25+0.06*(1-$J969))-Assumptions!$C$27)-Assumptions!$C$28)-MAX(0,($O969*(1-(Assumptions!$C$25+0.06*(1-$J969))-Assumptions!$C$27)-Assumptions!$C$28)*Assumptions!$C$31)+Assumptions!$C$28-Assumptions!$C$29-$O969*Assumptions!$C$30</f>
        <v>33.03002977</v>
      </c>
      <c r="U969" s="139">
        <f>($P969*(1-(Assumptions!$C$25+0.06*(1-$K969))-Assumptions!$C$27)-Assumptions!$C$28)-MAX(0,($P969*(1-(Assumptions!$C$25+0.06*(1-$K969))-Assumptions!$C$27)-Assumptions!$C$28)*Assumptions!$C$31)+Assumptions!$C$28-Assumptions!$C$29-$P969*Assumptions!$C$30</f>
        <v>107.6149014</v>
      </c>
      <c r="V969" s="143">
        <f>(($Q969/(1+$D969)^1+$R969/(1+$D969)^2+$S969/(1+$D969)^3+$T969/(1+$D969)^4+$U969/(1+$D969)^5+$U969*(1+$E969)/($D969-$E969)/(1+$D969)^5)-Assumptions!$C$37)/Assumptions!$C$40/Assumptions!$C$38</f>
        <v>3.12516902</v>
      </c>
    </row>
    <row r="970" ht="12.0" customHeight="1">
      <c r="B970" s="139">
        <v>918.0</v>
      </c>
      <c r="C970" s="140">
        <f t="shared" si="6"/>
        <v>0.7860737051</v>
      </c>
      <c r="D970" s="141">
        <f t="shared" si="7"/>
        <v>0.1040449714</v>
      </c>
      <c r="E970" s="141">
        <f t="shared" si="8"/>
        <v>0.01111603048</v>
      </c>
      <c r="F970" s="140">
        <f t="shared" si="9"/>
        <v>0.2700914645</v>
      </c>
      <c r="G970" s="141">
        <f t="shared" si="10"/>
        <v>0.05204914139</v>
      </c>
      <c r="H970" s="142">
        <f t="shared" si="11"/>
        <v>0</v>
      </c>
      <c r="I970" s="142">
        <f t="shared" si="12"/>
        <v>1</v>
      </c>
      <c r="J970" s="142">
        <f t="shared" si="13"/>
        <v>1</v>
      </c>
      <c r="K970" s="142">
        <f t="shared" si="14"/>
        <v>1</v>
      </c>
      <c r="L970" s="139">
        <f>Assumptions!$C$6*Assumptions!$C$7*(1+$G970-0.05*(1-1))^1+Assumptions!$C$6*Assumptions!$C$8*(1+Assumptions!$C$11)^1+Assumptions!$C$16*1+Assumptions!$C$6*Assumptions!$C$9*(1+Assumptions!$C$12)^1</f>
        <v>743.987741</v>
      </c>
      <c r="M970" s="139">
        <f>Assumptions!$C$6*Assumptions!$C$7*(1+$G970-0.05*(1-$H970))^2+Assumptions!$C$6*Assumptions!$C$8*(1+Assumptions!$C$11)^2+Assumptions!$C$16*$H970+Assumptions!$C$6*Assumptions!$C$9*(1+Assumptions!$C$12)^2</f>
        <v>674.4462554</v>
      </c>
      <c r="N970" s="139">
        <f>Assumptions!$C$6*Assumptions!$C$7*(1+$G970-0.05*(1-$I970))^3+Assumptions!$C$6*Assumptions!$C$8*(1+Assumptions!$C$11)^3+Assumptions!$C$16*$I970+Assumptions!$C$6*Assumptions!$C$9*(1+Assumptions!$C$12)^3</f>
        <v>795.1370156</v>
      </c>
      <c r="O970" s="139">
        <f>Assumptions!$C$6*Assumptions!$C$7*(1+$G970-0.05*(1-$J970))^4+Assumptions!$C$6*Assumptions!$C$8*(1+Assumptions!$C$11)^4+Assumptions!$C$16*$J970+Assumptions!$C$6*Assumptions!$C$9*(1+Assumptions!$C$12)^4</f>
        <v>822.4011716</v>
      </c>
      <c r="P970" s="139">
        <f>Assumptions!$C$6*Assumptions!$C$7*(1+$G970-0.05*(1-$K970))^5+Assumptions!$C$6*Assumptions!$C$8*(1+Assumptions!$C$11)^5+Assumptions!$C$16*$K970+Assumptions!$C$6*Assumptions!$C$9*(1+Assumptions!$C$12)^5</f>
        <v>850.8644217</v>
      </c>
      <c r="Q970" s="139">
        <f>($L970*(1-(Assumptions!$C$25+0.06*(1-1))-Assumptions!$C$27)-Assumptions!$C$28)-MAX(0,($L970*(1-(Assumptions!$C$25+0.06*(1-1))-Assumptions!$C$27)-Assumptions!$C$28)*Assumptions!$C$31)+Assumptions!$C$28-Assumptions!$C$29-$L970*Assumptions!$C$30</f>
        <v>92.45736431</v>
      </c>
      <c r="R970" s="139">
        <f>($M970*(1-(Assumptions!$C$25+0.06*(1-$H970))-Assumptions!$C$27)-Assumptions!$C$28)-MAX(0,($M970*(1-(Assumptions!$C$25+0.06*(1-$H970))-Assumptions!$C$27)-Assumptions!$C$28)*Assumptions!$C$31)+Assumptions!$C$28-Assumptions!$C$29-$M970*Assumptions!$C$30</f>
        <v>35.12263873</v>
      </c>
      <c r="S970" s="139">
        <f>($N970*(1-(Assumptions!$C$25+0.06*(1-$I970))-Assumptions!$C$27)-Assumptions!$C$28)-MAX(0,($N970*(1-(Assumptions!$C$25+0.06*(1-$I970))-Assumptions!$C$27)-Assumptions!$C$28)*Assumptions!$C$31)+Assumptions!$C$28-Assumptions!$C$29-$N970*Assumptions!$C$30</f>
        <v>103.4544583</v>
      </c>
      <c r="T970" s="139">
        <f>($O970*(1-(Assumptions!$C$25+0.06*(1-$J970))-Assumptions!$C$27)-Assumptions!$C$28)-MAX(0,($O970*(1-(Assumptions!$C$25+0.06*(1-$J970))-Assumptions!$C$27)-Assumptions!$C$28)*Assumptions!$C$31)+Assumptions!$C$28-Assumptions!$C$29-$O970*Assumptions!$C$30</f>
        <v>109.3162519</v>
      </c>
      <c r="U970" s="139">
        <f>($P970*(1-(Assumptions!$C$25+0.06*(1-$K970))-Assumptions!$C$27)-Assumptions!$C$28)-MAX(0,($P970*(1-(Assumptions!$C$25+0.06*(1-$K970))-Assumptions!$C$27)-Assumptions!$C$28)*Assumptions!$C$31)+Assumptions!$C$28-Assumptions!$C$29-$P970*Assumptions!$C$30</f>
        <v>115.4358507</v>
      </c>
      <c r="V970" s="143">
        <f>(($Q970/(1+$D970)^1+$R970/(1+$D970)^2+$S970/(1+$D970)^3+$T970/(1+$D970)^4+$U970/(1+$D970)^5+$U970*(1+$E970)/($D970-$E970)/(1+$D970)^5)-Assumptions!$C$37)/Assumptions!$C$40/Assumptions!$C$38</f>
        <v>3.179185576</v>
      </c>
    </row>
    <row r="971" ht="12.0" customHeight="1">
      <c r="B971" s="139">
        <v>919.0</v>
      </c>
      <c r="C971" s="140">
        <f t="shared" si="6"/>
        <v>0.1581490295</v>
      </c>
      <c r="D971" s="141">
        <f t="shared" si="7"/>
        <v>0.09232205716</v>
      </c>
      <c r="E971" s="141">
        <f t="shared" si="8"/>
        <v>0.0246738263</v>
      </c>
      <c r="F971" s="140">
        <f t="shared" si="9"/>
        <v>0.2327713283</v>
      </c>
      <c r="G971" s="141">
        <f t="shared" si="10"/>
        <v>0.05046920592</v>
      </c>
      <c r="H971" s="142">
        <f t="shared" si="11"/>
        <v>1</v>
      </c>
      <c r="I971" s="142">
        <f t="shared" si="12"/>
        <v>1</v>
      </c>
      <c r="J971" s="142">
        <f t="shared" si="13"/>
        <v>0</v>
      </c>
      <c r="K971" s="142">
        <f t="shared" si="14"/>
        <v>1</v>
      </c>
      <c r="L971" s="139">
        <f>Assumptions!$C$6*Assumptions!$C$7*(1+$G971-0.05*(1-1))^1+Assumptions!$C$6*Assumptions!$C$8*(1+Assumptions!$C$11)^1+Assumptions!$C$16*1+Assumptions!$C$6*Assumptions!$C$9*(1+Assumptions!$C$12)^1</f>
        <v>743.4559347</v>
      </c>
      <c r="M971" s="139">
        <f>Assumptions!$C$6*Assumptions!$C$7*(1+$G971-0.05*(1-$H971))^2+Assumptions!$C$6*Assumptions!$C$8*(1+Assumptions!$C$11)^2+Assumptions!$C$16*$H971+Assumptions!$C$6*Assumptions!$C$9*(1+Assumptions!$C$12)^2</f>
        <v>767.898597</v>
      </c>
      <c r="N971" s="139">
        <f>Assumptions!$C$6*Assumptions!$C$7*(1+$G971-0.05*(1-$I971))^3+Assumptions!$C$6*Assumptions!$C$8*(1+Assumptions!$C$11)^3+Assumptions!$C$16*$I971+Assumptions!$C$6*Assumptions!$C$9*(1+Assumptions!$C$12)^3</f>
        <v>793.3738447</v>
      </c>
      <c r="O971" s="139">
        <f>Assumptions!$C$6*Assumptions!$C$7*(1+$G971-0.05*(1-$J971))^4+Assumptions!$C$6*Assumptions!$C$8*(1+Assumptions!$C$11)^4+Assumptions!$C$16*$J971+Assumptions!$C$6*Assumptions!$C$9*(1+Assumptions!$C$12)^4</f>
        <v>687.2907442</v>
      </c>
      <c r="P971" s="139">
        <f>Assumptions!$C$6*Assumptions!$C$7*(1+$G971-0.05*(1-$K971))^5+Assumptions!$C$6*Assumptions!$C$8*(1+Assumptions!$C$11)^5+Assumptions!$C$16*$K971+Assumptions!$C$6*Assumptions!$C$9*(1+Assumptions!$C$12)^5</f>
        <v>847.6168171</v>
      </c>
      <c r="Q971" s="139">
        <f>($L971*(1-(Assumptions!$C$25+0.06*(1-1))-Assumptions!$C$27)-Assumptions!$C$28)-MAX(0,($L971*(1-(Assumptions!$C$25+0.06*(1-1))-Assumptions!$C$27)-Assumptions!$C$28)*Assumptions!$C$31)+Assumptions!$C$28-Assumptions!$C$29-$L971*Assumptions!$C$30</f>
        <v>92.34302596</v>
      </c>
      <c r="R971" s="139">
        <f>($M971*(1-(Assumptions!$C$25+0.06*(1-$H971))-Assumptions!$C$27)-Assumptions!$C$28)-MAX(0,($M971*(1-(Assumptions!$C$25+0.06*(1-$H971))-Assumptions!$C$27)-Assumptions!$C$28)*Assumptions!$C$31)+Assumptions!$C$28-Assumptions!$C$29-$M971*Assumptions!$C$30</f>
        <v>97.59819836</v>
      </c>
      <c r="S971" s="139">
        <f>($N971*(1-(Assumptions!$C$25+0.06*(1-$I971))-Assumptions!$C$27)-Assumptions!$C$28)-MAX(0,($N971*(1-(Assumptions!$C$25+0.06*(1-$I971))-Assumptions!$C$27)-Assumptions!$C$28)*Assumptions!$C$31)+Assumptions!$C$28-Assumptions!$C$29-$N971*Assumptions!$C$30</f>
        <v>103.0753766</v>
      </c>
      <c r="T971" s="139">
        <f>($O971*(1-(Assumptions!$C$25+0.06*(1-$J971))-Assumptions!$C$27)-Assumptions!$C$28)-MAX(0,($O971*(1-(Assumptions!$C$25+0.06*(1-$J971))-Assumptions!$C$27)-Assumptions!$C$28)*Assumptions!$C$31)+Assumptions!$C$28-Assumptions!$C$29-$O971*Assumptions!$C$30</f>
        <v>38.07687116</v>
      </c>
      <c r="U971" s="139">
        <f>($P971*(1-(Assumptions!$C$25+0.06*(1-$K971))-Assumptions!$C$27)-Assumptions!$C$28)-MAX(0,($P971*(1-(Assumptions!$C$25+0.06*(1-$K971))-Assumptions!$C$27)-Assumptions!$C$28)*Assumptions!$C$31)+Assumptions!$C$28-Assumptions!$C$29-$P971*Assumptions!$C$30</f>
        <v>114.7376157</v>
      </c>
      <c r="V971" s="143">
        <f>(($Q971/(1+$D971)^1+$R971/(1+$D971)^2+$S971/(1+$D971)^3+$T971/(1+$D971)^4+$U971/(1+$D971)^5+$U971*(1+$E971)/($D971-$E971)/(1+$D971)^5)-Assumptions!$C$37)/Assumptions!$C$40/Assumptions!$C$38</f>
        <v>6.023397399</v>
      </c>
    </row>
    <row r="972" ht="12.0" customHeight="1">
      <c r="B972" s="139">
        <v>920.0</v>
      </c>
      <c r="C972" s="140">
        <f t="shared" si="6"/>
        <v>0.0645996483</v>
      </c>
      <c r="D972" s="141">
        <f t="shared" si="7"/>
        <v>0.08967966674</v>
      </c>
      <c r="E972" s="141">
        <f t="shared" si="8"/>
        <v>0.01765625121</v>
      </c>
      <c r="F972" s="140">
        <f t="shared" si="9"/>
        <v>0.2951287709</v>
      </c>
      <c r="G972" s="141">
        <f t="shared" si="10"/>
        <v>0.05304846606</v>
      </c>
      <c r="H972" s="142">
        <f t="shared" si="11"/>
        <v>1</v>
      </c>
      <c r="I972" s="142">
        <f t="shared" si="12"/>
        <v>1</v>
      </c>
      <c r="J972" s="142">
        <f t="shared" si="13"/>
        <v>0</v>
      </c>
      <c r="K972" s="142">
        <f t="shared" si="14"/>
        <v>0</v>
      </c>
      <c r="L972" s="139">
        <f>Assumptions!$C$6*Assumptions!$C$7*(1+$G972-0.05*(1-1))^1+Assumptions!$C$6*Assumptions!$C$8*(1+Assumptions!$C$11)^1+Assumptions!$C$16*1+Assumptions!$C$6*Assumptions!$C$9*(1+Assumptions!$C$12)^1</f>
        <v>744.3241137</v>
      </c>
      <c r="M972" s="139">
        <f>Assumptions!$C$6*Assumptions!$C$7*(1+$G972-0.05*(1-$H972))^2+Assumptions!$C$6*Assumptions!$C$8*(1+Assumptions!$C$11)^2+Assumptions!$C$16*$H972+Assumptions!$C$6*Assumptions!$C$9*(1+Assumptions!$C$12)^2</f>
        <v>769.7248268</v>
      </c>
      <c r="N972" s="139">
        <f>Assumptions!$C$6*Assumptions!$C$7*(1+$G972-0.05*(1-$I972))^3+Assumptions!$C$6*Assumptions!$C$8*(1+Assumptions!$C$11)^3+Assumptions!$C$16*$I972+Assumptions!$C$6*Assumptions!$C$9*(1+Assumptions!$C$12)^3</f>
        <v>796.2549761</v>
      </c>
      <c r="O972" s="139">
        <f>Assumptions!$C$6*Assumptions!$C$7*(1+$G972-0.05*(1-$J972))^4+Assumptions!$C$6*Assumptions!$C$8*(1+Assumptions!$C$11)^4+Assumptions!$C$16*$J972+Assumptions!$C$6*Assumptions!$C$9*(1+Assumptions!$C$12)^4</f>
        <v>690.7818219</v>
      </c>
      <c r="P972" s="139">
        <f>Assumptions!$C$6*Assumptions!$C$7*(1+$G972-0.05*(1-$K972))^5+Assumptions!$C$6*Assumptions!$C$8*(1+Assumptions!$C$11)^5+Assumptions!$C$16*$K972+Assumptions!$C$6*Assumptions!$C$9*(1+Assumptions!$C$12)^5</f>
        <v>698.8216764</v>
      </c>
      <c r="Q972" s="139">
        <f>($L972*(1-(Assumptions!$C$25+0.06*(1-1))-Assumptions!$C$27)-Assumptions!$C$28)-MAX(0,($L972*(1-(Assumptions!$C$25+0.06*(1-1))-Assumptions!$C$27)-Assumptions!$C$28)*Assumptions!$C$31)+Assumptions!$C$28-Assumptions!$C$29-$L972*Assumptions!$C$30</f>
        <v>92.52968444</v>
      </c>
      <c r="R972" s="139">
        <f>($M972*(1-(Assumptions!$C$25+0.06*(1-$H972))-Assumptions!$C$27)-Assumptions!$C$28)-MAX(0,($M972*(1-(Assumptions!$C$25+0.06*(1-$H972))-Assumptions!$C$27)-Assumptions!$C$28)*Assumptions!$C$31)+Assumptions!$C$28-Assumptions!$C$29-$M972*Assumptions!$C$30</f>
        <v>97.99083776</v>
      </c>
      <c r="S972" s="139">
        <f>($N972*(1-(Assumptions!$C$25+0.06*(1-$I972))-Assumptions!$C$27)-Assumptions!$C$28)-MAX(0,($N972*(1-(Assumptions!$C$25+0.06*(1-$I972))-Assumptions!$C$27)-Assumptions!$C$28)*Assumptions!$C$31)+Assumptions!$C$28-Assumptions!$C$29-$N972*Assumptions!$C$30</f>
        <v>103.6948199</v>
      </c>
      <c r="T972" s="139">
        <f>($O972*(1-(Assumptions!$C$25+0.06*(1-$J972))-Assumptions!$C$27)-Assumptions!$C$28)-MAX(0,($O972*(1-(Assumptions!$C$25+0.06*(1-$J972))-Assumptions!$C$27)-Assumptions!$C$28)*Assumptions!$C$31)+Assumptions!$C$28-Assumptions!$C$29-$O972*Assumptions!$C$30</f>
        <v>38.87981903</v>
      </c>
      <c r="U972" s="139">
        <f>($P972*(1-(Assumptions!$C$25+0.06*(1-$K972))-Assumptions!$C$27)-Assumptions!$C$28)-MAX(0,($P972*(1-(Assumptions!$C$25+0.06*(1-$K972))-Assumptions!$C$27)-Assumptions!$C$28)*Assumptions!$C$31)+Assumptions!$C$28-Assumptions!$C$29-$P972*Assumptions!$C$30</f>
        <v>40.72898556</v>
      </c>
      <c r="V972" s="143">
        <f>(($Q972/(1+$D972)^1+$R972/(1+$D972)^2+$S972/(1+$D972)^3+$T972/(1+$D972)^4+$U972/(1+$D972)^5+$U972*(1+$E972)/($D972-$E972)/(1+$D972)^5)-Assumptions!$C$37)/Assumptions!$C$40/Assumptions!$C$38</f>
        <v>-0.1206404812</v>
      </c>
    </row>
    <row r="973" ht="12.0" customHeight="1">
      <c r="B973" s="139">
        <v>921.0</v>
      </c>
      <c r="C973" s="140">
        <f t="shared" si="6"/>
        <v>0.2222693193</v>
      </c>
      <c r="D973" s="141">
        <f t="shared" si="7"/>
        <v>0.09368039741</v>
      </c>
      <c r="E973" s="141">
        <f t="shared" si="8"/>
        <v>0.02456043871</v>
      </c>
      <c r="F973" s="140">
        <f t="shared" si="9"/>
        <v>0.04421553464</v>
      </c>
      <c r="G973" s="141">
        <f t="shared" si="10"/>
        <v>0.03892120857</v>
      </c>
      <c r="H973" s="142">
        <f t="shared" si="11"/>
        <v>1</v>
      </c>
      <c r="I973" s="142">
        <f t="shared" si="12"/>
        <v>1</v>
      </c>
      <c r="J973" s="142">
        <f t="shared" si="13"/>
        <v>0</v>
      </c>
      <c r="K973" s="142">
        <f t="shared" si="14"/>
        <v>1</v>
      </c>
      <c r="L973" s="139">
        <f>Assumptions!$C$6*Assumptions!$C$7*(1+$G973-0.05*(1-1))^1+Assumptions!$C$6*Assumptions!$C$8*(1+Assumptions!$C$11)^1+Assumptions!$C$16*1+Assumptions!$C$6*Assumptions!$C$9*(1+Assumptions!$C$12)^1</f>
        <v>739.5688788</v>
      </c>
      <c r="M973" s="139">
        <f>Assumptions!$C$6*Assumptions!$C$7*(1+$G973-0.05*(1-$H973))^2+Assumptions!$C$6*Assumptions!$C$8*(1+Assumptions!$C$11)^2+Assumptions!$C$16*$H973+Assumptions!$C$6*Assumptions!$C$9*(1+Assumptions!$C$12)^2</f>
        <v>759.7770196</v>
      </c>
      <c r="N973" s="139">
        <f>Assumptions!$C$6*Assumptions!$C$7*(1+$G973-0.05*(1-$I973))^3+Assumptions!$C$6*Assumptions!$C$8*(1+Assumptions!$C$11)^3+Assumptions!$C$16*$I973+Assumptions!$C$6*Assumptions!$C$9*(1+Assumptions!$C$12)^3</f>
        <v>780.6468557</v>
      </c>
      <c r="O973" s="139">
        <f>Assumptions!$C$6*Assumptions!$C$7*(1+$G973-0.05*(1-$J973))^4+Assumptions!$C$6*Assumptions!$C$8*(1+Assumptions!$C$11)^4+Assumptions!$C$16*$J973+Assumptions!$C$6*Assumptions!$C$9*(1+Assumptions!$C$12)^4</f>
        <v>671.9881349</v>
      </c>
      <c r="P973" s="139">
        <f>Assumptions!$C$6*Assumptions!$C$7*(1+$G973-0.05*(1-$K973))^5+Assumptions!$C$6*Assumptions!$C$8*(1+Assumptions!$C$11)^5+Assumptions!$C$16*$K973+Assumptions!$C$6*Assumptions!$C$9*(1+Assumptions!$C$12)^5</f>
        <v>824.4654984</v>
      </c>
      <c r="Q973" s="139">
        <f>($L973*(1-(Assumptions!$C$25+0.06*(1-1))-Assumptions!$C$27)-Assumptions!$C$28)-MAX(0,($L973*(1-(Assumptions!$C$25+0.06*(1-1))-Assumptions!$C$27)-Assumptions!$C$28)*Assumptions!$C$31)+Assumptions!$C$28-Assumptions!$C$29-$L973*Assumptions!$C$30</f>
        <v>91.50730894</v>
      </c>
      <c r="R973" s="139">
        <f>($M973*(1-(Assumptions!$C$25+0.06*(1-$H973))-Assumptions!$C$27)-Assumptions!$C$28)-MAX(0,($M973*(1-(Assumptions!$C$25+0.06*(1-$H973))-Assumptions!$C$27)-Assumptions!$C$28)*Assumptions!$C$31)+Assumptions!$C$28-Assumptions!$C$29-$M973*Assumptions!$C$30</f>
        <v>95.85205922</v>
      </c>
      <c r="S973" s="139">
        <f>($N973*(1-(Assumptions!$C$25+0.06*(1-$I973))-Assumptions!$C$27)-Assumptions!$C$28)-MAX(0,($N973*(1-(Assumptions!$C$25+0.06*(1-$I973))-Assumptions!$C$27)-Assumptions!$C$28)*Assumptions!$C$31)+Assumptions!$C$28-Assumptions!$C$29-$N973*Assumptions!$C$30</f>
        <v>100.339074</v>
      </c>
      <c r="T973" s="139">
        <f>($O973*(1-(Assumptions!$C$25+0.06*(1-$J973))-Assumptions!$C$27)-Assumptions!$C$28)-MAX(0,($O973*(1-(Assumptions!$C$25+0.06*(1-$J973))-Assumptions!$C$27)-Assumptions!$C$28)*Assumptions!$C$31)+Assumptions!$C$28-Assumptions!$C$29-$O973*Assumptions!$C$30</f>
        <v>34.55727103</v>
      </c>
      <c r="U973" s="139">
        <f>($P973*(1-(Assumptions!$C$25+0.06*(1-$K973))-Assumptions!$C$27)-Assumptions!$C$28)-MAX(0,($P973*(1-(Assumptions!$C$25+0.06*(1-$K973))-Assumptions!$C$27)-Assumptions!$C$28)*Assumptions!$C$31)+Assumptions!$C$28-Assumptions!$C$29-$P973*Assumptions!$C$30</f>
        <v>109.7600822</v>
      </c>
      <c r="V973" s="143">
        <f>(($Q973/(1+$D973)^1+$R973/(1+$D973)^2+$S973/(1+$D973)^3+$T973/(1+$D973)^4+$U973/(1+$D973)^5+$U973*(1+$E973)/($D973-$E973)/(1+$D973)^5)-Assumptions!$C$37)/Assumptions!$C$40/Assumptions!$C$38</f>
        <v>5.328906197</v>
      </c>
    </row>
    <row r="974" ht="12.0" customHeight="1">
      <c r="B974" s="139">
        <v>922.0</v>
      </c>
      <c r="C974" s="140">
        <f t="shared" si="6"/>
        <v>0.8813055667</v>
      </c>
      <c r="D974" s="141">
        <f t="shared" si="7"/>
        <v>0.1068398789</v>
      </c>
      <c r="E974" s="141">
        <f t="shared" si="8"/>
        <v>0.01271857947</v>
      </c>
      <c r="F974" s="140">
        <f t="shared" si="9"/>
        <v>0.7920825394</v>
      </c>
      <c r="G974" s="141">
        <f t="shared" si="10"/>
        <v>0.07065442094</v>
      </c>
      <c r="H974" s="142">
        <f t="shared" si="11"/>
        <v>1</v>
      </c>
      <c r="I974" s="142">
        <f t="shared" si="12"/>
        <v>1</v>
      </c>
      <c r="J974" s="142">
        <f t="shared" si="13"/>
        <v>1</v>
      </c>
      <c r="K974" s="142">
        <f t="shared" si="14"/>
        <v>0</v>
      </c>
      <c r="L974" s="139">
        <f>Assumptions!$C$6*Assumptions!$C$7*(1+$G974-0.05*(1-1))^1+Assumptions!$C$6*Assumptions!$C$8*(1+Assumptions!$C$11)^1+Assumptions!$C$16*1+Assumptions!$C$6*Assumptions!$C$9*(1+Assumptions!$C$12)^1</f>
        <v>750.2502781</v>
      </c>
      <c r="M974" s="139">
        <f>Assumptions!$C$6*Assumptions!$C$7*(1+$G974-0.05*(1-$H974))^2+Assumptions!$C$6*Assumptions!$C$8*(1+Assumptions!$C$11)^2+Assumptions!$C$16*$H974+Assumptions!$C$6*Assumptions!$C$9*(1+Assumptions!$C$12)^2</f>
        <v>782.3102393</v>
      </c>
      <c r="N974" s="139">
        <f>Assumptions!$C$6*Assumptions!$C$7*(1+$G974-0.05*(1-$I974))^3+Assumptions!$C$6*Assumptions!$C$8*(1+Assumptions!$C$11)^3+Assumptions!$C$16*$I974+Assumptions!$C$6*Assumptions!$C$9*(1+Assumptions!$C$12)^3</f>
        <v>816.301193</v>
      </c>
      <c r="O974" s="139">
        <f>Assumptions!$C$6*Assumptions!$C$7*(1+$G974-0.05*(1-$J974))^4+Assumptions!$C$6*Assumptions!$C$8*(1+Assumptions!$C$11)^4+Assumptions!$C$16*$J974+Assumptions!$C$6*Assumptions!$C$9*(1+Assumptions!$C$12)^4</f>
        <v>852.3528887</v>
      </c>
      <c r="P974" s="139">
        <f>Assumptions!$C$6*Assumptions!$C$7*(1+$G974-0.05*(1-$K974))^5+Assumptions!$C$6*Assumptions!$C$8*(1+Assumptions!$C$11)^5+Assumptions!$C$16*$K974+Assumptions!$C$6*Assumptions!$C$9*(1+Assumptions!$C$12)^5</f>
        <v>729.8870413</v>
      </c>
      <c r="Q974" s="139">
        <f>($L974*(1-(Assumptions!$C$25+0.06*(1-1))-Assumptions!$C$27)-Assumptions!$C$28)-MAX(0,($L974*(1-(Assumptions!$C$25+0.06*(1-1))-Assumptions!$C$27)-Assumptions!$C$28)*Assumptions!$C$31)+Assumptions!$C$28-Assumptions!$C$29-$L974*Assumptions!$C$30</f>
        <v>93.80380979</v>
      </c>
      <c r="R974" s="139">
        <f>($M974*(1-(Assumptions!$C$25+0.06*(1-$H974))-Assumptions!$C$27)-Assumptions!$C$28)-MAX(0,($M974*(1-(Assumptions!$C$25+0.06*(1-$H974))-Assumptions!$C$27)-Assumptions!$C$28)*Assumptions!$C$31)+Assumptions!$C$28-Assumptions!$C$29-$M974*Assumptions!$C$30</f>
        <v>100.6967014</v>
      </c>
      <c r="S974" s="139">
        <f>($N974*(1-(Assumptions!$C$25+0.06*(1-$I974))-Assumptions!$C$27)-Assumptions!$C$28)-MAX(0,($N974*(1-(Assumptions!$C$25+0.06*(1-$I974))-Assumptions!$C$27)-Assumptions!$C$28)*Assumptions!$C$31)+Assumptions!$C$28-Assumptions!$C$29-$N974*Assumptions!$C$30</f>
        <v>108.0047565</v>
      </c>
      <c r="T974" s="139">
        <f>($O974*(1-(Assumptions!$C$25+0.06*(1-$J974))-Assumptions!$C$27)-Assumptions!$C$28)-MAX(0,($O974*(1-(Assumptions!$C$25+0.06*(1-$J974))-Assumptions!$C$27)-Assumptions!$C$28)*Assumptions!$C$31)+Assumptions!$C$28-Assumptions!$C$29-$O974*Assumptions!$C$30</f>
        <v>115.7558711</v>
      </c>
      <c r="U974" s="139">
        <f>($P974*(1-(Assumptions!$C$25+0.06*(1-$K974))-Assumptions!$C$27)-Assumptions!$C$28)-MAX(0,($P974*(1-(Assumptions!$C$25+0.06*(1-$K974))-Assumptions!$C$27)-Assumptions!$C$28)*Assumptions!$C$31)+Assumptions!$C$28-Assumptions!$C$29-$P974*Assumptions!$C$30</f>
        <v>47.8740195</v>
      </c>
      <c r="V974" s="143">
        <f>(($Q974/(1+$D974)^1+$R974/(1+$D974)^2+$S974/(1+$D974)^3+$T974/(1+$D974)^4+$U974/(1+$D974)^5+$U974*(1+$E974)/($D974-$E974)/(1+$D974)^5)-Assumptions!$C$37)/Assumptions!$C$40/Assumptions!$C$38</f>
        <v>-0.2269217682</v>
      </c>
    </row>
    <row r="975" ht="12.0" customHeight="1">
      <c r="B975" s="139">
        <v>923.0</v>
      </c>
      <c r="C975" s="140">
        <f t="shared" si="6"/>
        <v>0.1182205398</v>
      </c>
      <c r="D975" s="141">
        <f t="shared" si="7"/>
        <v>0.09133062106</v>
      </c>
      <c r="E975" s="141">
        <f t="shared" si="8"/>
        <v>0.02045232711</v>
      </c>
      <c r="F975" s="140">
        <f t="shared" si="9"/>
        <v>0.05182022118</v>
      </c>
      <c r="G975" s="141">
        <f t="shared" si="10"/>
        <v>0.0396579707</v>
      </c>
      <c r="H975" s="142">
        <f t="shared" si="11"/>
        <v>1</v>
      </c>
      <c r="I975" s="142">
        <f t="shared" si="12"/>
        <v>1</v>
      </c>
      <c r="J975" s="142">
        <f t="shared" si="13"/>
        <v>1</v>
      </c>
      <c r="K975" s="142">
        <f t="shared" si="14"/>
        <v>0</v>
      </c>
      <c r="L975" s="139">
        <f>Assumptions!$C$6*Assumptions!$C$7*(1+$G975-0.05*(1-1))^1+Assumptions!$C$6*Assumptions!$C$8*(1+Assumptions!$C$11)^1+Assumptions!$C$16*1+Assumptions!$C$6*Assumptions!$C$9*(1+Assumptions!$C$12)^1</f>
        <v>739.8168729</v>
      </c>
      <c r="M975" s="139">
        <f>Assumptions!$C$6*Assumptions!$C$7*(1+$G975-0.05*(1-$H975))^2+Assumptions!$C$6*Assumptions!$C$8*(1+Assumptions!$C$11)^2+Assumptions!$C$16*$H975+Assumptions!$C$6*Assumptions!$C$9*(1+Assumptions!$C$12)^2</f>
        <v>760.2924951</v>
      </c>
      <c r="N975" s="139">
        <f>Assumptions!$C$6*Assumptions!$C$7*(1+$G975-0.05*(1-$I975))^3+Assumptions!$C$6*Assumptions!$C$8*(1+Assumptions!$C$11)^3+Assumptions!$C$16*$I975+Assumptions!$C$6*Assumptions!$C$9*(1+Assumptions!$C$12)^3</f>
        <v>781.4504482</v>
      </c>
      <c r="O975" s="139">
        <f>Assumptions!$C$6*Assumptions!$C$7*(1+$G975-0.05*(1-$J975))^4+Assumptions!$C$6*Assumptions!$C$8*(1+Assumptions!$C$11)^4+Assumptions!$C$16*$J975+Assumptions!$C$6*Assumptions!$C$9*(1+Assumptions!$C$12)^4</f>
        <v>803.3151982</v>
      </c>
      <c r="P975" s="139">
        <f>Assumptions!$C$6*Assumptions!$C$7*(1+$G975-0.05*(1-$K975))^5+Assumptions!$C$6*Assumptions!$C$8*(1+Assumptions!$C$11)^5+Assumptions!$C$16*$K975+Assumptions!$C$6*Assumptions!$C$9*(1+Assumptions!$C$12)^5</f>
        <v>676.6104115</v>
      </c>
      <c r="Q975" s="139">
        <f>($L975*(1-(Assumptions!$C$25+0.06*(1-1))-Assumptions!$C$27)-Assumptions!$C$28)-MAX(0,($L975*(1-(Assumptions!$C$25+0.06*(1-1))-Assumptions!$C$27)-Assumptions!$C$28)*Assumptions!$C$31)+Assumptions!$C$28-Assumptions!$C$29-$L975*Assumptions!$C$30</f>
        <v>91.56062768</v>
      </c>
      <c r="R975" s="139">
        <f>($M975*(1-(Assumptions!$C$25+0.06*(1-$H975))-Assumptions!$C$27)-Assumptions!$C$28)-MAX(0,($M975*(1-(Assumptions!$C$25+0.06*(1-$H975))-Assumptions!$C$27)-Assumptions!$C$28)*Assumptions!$C$31)+Assumptions!$C$28-Assumptions!$C$29-$M975*Assumptions!$C$30</f>
        <v>95.96288644</v>
      </c>
      <c r="S975" s="139">
        <f>($N975*(1-(Assumptions!$C$25+0.06*(1-$I975))-Assumptions!$C$27)-Assumptions!$C$28)-MAX(0,($N975*(1-(Assumptions!$C$25+0.06*(1-$I975))-Assumptions!$C$27)-Assumptions!$C$28)*Assumptions!$C$31)+Assumptions!$C$28-Assumptions!$C$29-$N975*Assumptions!$C$30</f>
        <v>100.5118464</v>
      </c>
      <c r="T975" s="139">
        <f>($O975*(1-(Assumptions!$C$25+0.06*(1-$J975))-Assumptions!$C$27)-Assumptions!$C$28)-MAX(0,($O975*(1-(Assumptions!$C$25+0.06*(1-$J975))-Assumptions!$C$27)-Assumptions!$C$28)*Assumptions!$C$31)+Assumptions!$C$28-Assumptions!$C$29-$O975*Assumptions!$C$30</f>
        <v>105.2127676</v>
      </c>
      <c r="U975" s="139">
        <f>($P975*(1-(Assumptions!$C$25+0.06*(1-$K975))-Assumptions!$C$27)-Assumptions!$C$28)-MAX(0,($P975*(1-(Assumptions!$C$25+0.06*(1-$K975))-Assumptions!$C$27)-Assumptions!$C$28)*Assumptions!$C$31)+Assumptions!$C$28-Assumptions!$C$29-$P975*Assumptions!$C$30</f>
        <v>35.62039465</v>
      </c>
      <c r="V975" s="143">
        <f>(($Q975/(1+$D975)^1+$R975/(1+$D975)^2+$S975/(1+$D975)^3+$T975/(1+$D975)^4+$U975/(1+$D975)^5+$U975*(1+$E975)/($D975-$E975)/(1+$D975)^5)-Assumptions!$C$37)/Assumptions!$C$40/Assumptions!$C$38</f>
        <v>-0.1672786432</v>
      </c>
    </row>
    <row r="976" ht="12.0" customHeight="1">
      <c r="B976" s="139">
        <v>924.0</v>
      </c>
      <c r="C976" s="140">
        <f t="shared" si="6"/>
        <v>0.3053770702</v>
      </c>
      <c r="D976" s="141">
        <f t="shared" si="7"/>
        <v>0.09517461679</v>
      </c>
      <c r="E976" s="141">
        <f t="shared" si="8"/>
        <v>0.01242668492</v>
      </c>
      <c r="F976" s="140">
        <f t="shared" si="9"/>
        <v>0.8589799042</v>
      </c>
      <c r="G976" s="141">
        <f t="shared" si="10"/>
        <v>0.07406776311</v>
      </c>
      <c r="H976" s="142">
        <f t="shared" si="11"/>
        <v>0</v>
      </c>
      <c r="I976" s="142">
        <f t="shared" si="12"/>
        <v>0</v>
      </c>
      <c r="J976" s="142">
        <f t="shared" si="13"/>
        <v>1</v>
      </c>
      <c r="K976" s="142">
        <f t="shared" si="14"/>
        <v>0</v>
      </c>
      <c r="L976" s="139">
        <f>Assumptions!$C$6*Assumptions!$C$7*(1+$G976-0.05*(1-1))^1+Assumptions!$C$6*Assumptions!$C$8*(1+Assumptions!$C$11)^1+Assumptions!$C$16*1+Assumptions!$C$6*Assumptions!$C$9*(1+Assumptions!$C$12)^1</f>
        <v>751.3992091</v>
      </c>
      <c r="M976" s="139">
        <f>Assumptions!$C$6*Assumptions!$C$7*(1+$G976-0.05*(1-$H976))^2+Assumptions!$C$6*Assumptions!$C$8*(1+Assumptions!$C$11)^2+Assumptions!$C$16*$H976+Assumptions!$C$6*Assumptions!$C$9*(1+Assumptions!$C$12)^2</f>
        <v>689.4627561</v>
      </c>
      <c r="N976" s="139">
        <f>Assumptions!$C$6*Assumptions!$C$7*(1+$G976-0.05*(1-$I976))^3+Assumptions!$C$6*Assumptions!$C$8*(1+Assumptions!$C$11)^3+Assumptions!$C$16*$I976+Assumptions!$C$6*Assumptions!$C$9*(1+Assumptions!$C$12)^3</f>
        <v>704.687921</v>
      </c>
      <c r="O976" s="139">
        <f>Assumptions!$C$6*Assumptions!$C$7*(1+$G976-0.05*(1-$J976))^4+Assumptions!$C$6*Assumptions!$C$8*(1+Assumptions!$C$11)^4+Assumptions!$C$16*$J976+Assumptions!$C$6*Assumptions!$C$9*(1+Assumptions!$C$12)^4</f>
        <v>858.0202144</v>
      </c>
      <c r="P976" s="139">
        <f>Assumptions!$C$6*Assumptions!$C$7*(1+$G976-0.05*(1-$K976))^5+Assumptions!$C$6*Assumptions!$C$8*(1+Assumptions!$C$11)^5+Assumptions!$C$16*$K976+Assumptions!$C$6*Assumptions!$C$9*(1+Assumptions!$C$12)^5</f>
        <v>736.1630511</v>
      </c>
      <c r="Q976" s="139">
        <f>($L976*(1-(Assumptions!$C$25+0.06*(1-1))-Assumptions!$C$27)-Assumptions!$C$28)-MAX(0,($L976*(1-(Assumptions!$C$25+0.06*(1-1))-Assumptions!$C$27)-Assumptions!$C$28)*Assumptions!$C$31)+Assumptions!$C$28-Assumptions!$C$29-$L976*Assumptions!$C$30</f>
        <v>94.05082995</v>
      </c>
      <c r="R976" s="139">
        <f>($M976*(1-(Assumptions!$C$25+0.06*(1-$H976))-Assumptions!$C$27)-Assumptions!$C$28)-MAX(0,($M976*(1-(Assumptions!$C$25+0.06*(1-$H976))-Assumptions!$C$27)-Assumptions!$C$28)*Assumptions!$C$31)+Assumptions!$C$28-Assumptions!$C$29-$M976*Assumptions!$C$30</f>
        <v>38.5764339</v>
      </c>
      <c r="S976" s="139">
        <f>($N976*(1-(Assumptions!$C$25+0.06*(1-$I976))-Assumptions!$C$27)-Assumptions!$C$28)-MAX(0,($N976*(1-(Assumptions!$C$25+0.06*(1-$I976))-Assumptions!$C$27)-Assumptions!$C$28)*Assumptions!$C$31)+Assumptions!$C$28-Assumptions!$C$29-$N976*Assumptions!$C$30</f>
        <v>42.07822183</v>
      </c>
      <c r="T976" s="139">
        <f>($O976*(1-(Assumptions!$C$25+0.06*(1-$J976))-Assumptions!$C$27)-Assumptions!$C$28)-MAX(0,($O976*(1-(Assumptions!$C$25+0.06*(1-$J976))-Assumptions!$C$27)-Assumptions!$C$28)*Assumptions!$C$31)+Assumptions!$C$28-Assumptions!$C$29-$O976*Assumptions!$C$30</f>
        <v>116.9743461</v>
      </c>
      <c r="U976" s="139">
        <f>($P976*(1-(Assumptions!$C$25+0.06*(1-$K976))-Assumptions!$C$27)-Assumptions!$C$28)-MAX(0,($P976*(1-(Assumptions!$C$25+0.06*(1-$K976))-Assumptions!$C$27)-Assumptions!$C$28)*Assumptions!$C$31)+Assumptions!$C$28-Assumptions!$C$29-$P976*Assumptions!$C$30</f>
        <v>49.31750176</v>
      </c>
      <c r="V976" s="143">
        <f>(($Q976/(1+$D976)^1+$R976/(1+$D976)^2+$S976/(1+$D976)^3+$T976/(1+$D976)^4+$U976/(1+$D976)^5+$U976*(1+$E976)/($D976-$E976)/(1+$D976)^5)-Assumptions!$C$37)/Assumptions!$C$40/Assumptions!$C$38</f>
        <v>-0.359120634</v>
      </c>
    </row>
    <row r="977" ht="12.0" customHeight="1">
      <c r="B977" s="139">
        <v>925.0</v>
      </c>
      <c r="C977" s="140">
        <f t="shared" si="6"/>
        <v>0.7323555284</v>
      </c>
      <c r="D977" s="141">
        <f t="shared" si="7"/>
        <v>0.1027464883</v>
      </c>
      <c r="E977" s="141">
        <f t="shared" si="8"/>
        <v>0.01056560268</v>
      </c>
      <c r="F977" s="140">
        <f t="shared" si="9"/>
        <v>0.9487169707</v>
      </c>
      <c r="G977" s="141">
        <f t="shared" si="10"/>
        <v>0.08039221916</v>
      </c>
      <c r="H977" s="142">
        <f t="shared" si="11"/>
        <v>1</v>
      </c>
      <c r="I977" s="142">
        <f t="shared" si="12"/>
        <v>1</v>
      </c>
      <c r="J977" s="142">
        <f t="shared" si="13"/>
        <v>0</v>
      </c>
      <c r="K977" s="142">
        <f t="shared" si="14"/>
        <v>0</v>
      </c>
      <c r="L977" s="139">
        <f>Assumptions!$C$6*Assumptions!$C$7*(1+$G977-0.05*(1-1))^1+Assumptions!$C$6*Assumptions!$C$8*(1+Assumptions!$C$11)^1+Assumptions!$C$16*1+Assumptions!$C$6*Assumptions!$C$9*(1+Assumptions!$C$12)^1</f>
        <v>753.528021</v>
      </c>
      <c r="M977" s="139">
        <f>Assumptions!$C$6*Assumptions!$C$7*(1+$G977-0.05*(1-$H977))^2+Assumptions!$C$6*Assumptions!$C$8*(1+Assumptions!$C$11)^2+Assumptions!$C$16*$H977+Assumptions!$C$6*Assumptions!$C$9*(1+Assumptions!$C$12)^2</f>
        <v>789.3608171</v>
      </c>
      <c r="N977" s="139">
        <f>Assumptions!$C$6*Assumptions!$C$7*(1+$G977-0.05*(1-$I977))^3+Assumptions!$C$6*Assumptions!$C$8*(1+Assumptions!$C$11)^3+Assumptions!$C$16*$I977+Assumptions!$C$6*Assumptions!$C$9*(1+Assumptions!$C$12)^3</f>
        <v>827.675862</v>
      </c>
      <c r="O977" s="139">
        <f>Assumptions!$C$6*Assumptions!$C$7*(1+$G977-0.05*(1-$J977))^4+Assumptions!$C$6*Assumptions!$C$8*(1+Assumptions!$C$11)^4+Assumptions!$C$16*$J977+Assumptions!$C$6*Assumptions!$C$9*(1+Assumptions!$C$12)^4</f>
        <v>729.4822072</v>
      </c>
      <c r="P977" s="139">
        <f>Assumptions!$C$6*Assumptions!$C$7*(1+$G977-0.05*(1-$K977))^5+Assumptions!$C$6*Assumptions!$C$8*(1+Assumptions!$C$11)^5+Assumptions!$C$16*$K977+Assumptions!$C$6*Assumptions!$C$9*(1+Assumptions!$C$12)^5</f>
        <v>748.014905</v>
      </c>
      <c r="Q977" s="139">
        <f>($L977*(1-(Assumptions!$C$25+0.06*(1-1))-Assumptions!$C$27)-Assumptions!$C$28)-MAX(0,($L977*(1-(Assumptions!$C$25+0.06*(1-1))-Assumptions!$C$27)-Assumptions!$C$28)*Assumptions!$C$31)+Assumptions!$C$28-Assumptions!$C$29-$L977*Assumptions!$C$30</f>
        <v>94.50852451</v>
      </c>
      <c r="R977" s="139">
        <f>($M977*(1-(Assumptions!$C$25+0.06*(1-$H977))-Assumptions!$C$27)-Assumptions!$C$28)-MAX(0,($M977*(1-(Assumptions!$C$25+0.06*(1-$H977))-Assumptions!$C$27)-Assumptions!$C$28)*Assumptions!$C$31)+Assumptions!$C$28-Assumptions!$C$29-$M977*Assumptions!$C$30</f>
        <v>102.2125757</v>
      </c>
      <c r="S977" s="139">
        <f>($N977*(1-(Assumptions!$C$25+0.06*(1-$I977))-Assumptions!$C$27)-Assumptions!$C$28)-MAX(0,($N977*(1-(Assumptions!$C$25+0.06*(1-$I977))-Assumptions!$C$27)-Assumptions!$C$28)*Assumptions!$C$31)+Assumptions!$C$28-Assumptions!$C$29-$N977*Assumptions!$C$30</f>
        <v>110.4503103</v>
      </c>
      <c r="T977" s="139">
        <f>($O977*(1-(Assumptions!$C$25+0.06*(1-$J977))-Assumptions!$C$27)-Assumptions!$C$28)-MAX(0,($O977*(1-(Assumptions!$C$25+0.06*(1-$J977))-Assumptions!$C$27)-Assumptions!$C$28)*Assumptions!$C$31)+Assumptions!$C$28-Assumptions!$C$29-$O977*Assumptions!$C$30</f>
        <v>47.78090765</v>
      </c>
      <c r="U977" s="139">
        <f>($P977*(1-(Assumptions!$C$25+0.06*(1-$K977))-Assumptions!$C$27)-Assumptions!$C$28)-MAX(0,($P977*(1-(Assumptions!$C$25+0.06*(1-$K977))-Assumptions!$C$27)-Assumptions!$C$28)*Assumptions!$C$31)+Assumptions!$C$28-Assumptions!$C$29-$P977*Assumptions!$C$30</f>
        <v>52.04342816</v>
      </c>
      <c r="V977" s="143">
        <f>(($Q977/(1+$D977)^1+$R977/(1+$D977)^2+$S977/(1+$D977)^3+$T977/(1+$D977)^4+$U977/(1+$D977)^5+$U977*(1+$E977)/($D977-$E977)/(1+$D977)^5)-Assumptions!$C$37)/Assumptions!$C$40/Assumptions!$C$38</f>
        <v>-0.1988498589</v>
      </c>
    </row>
    <row r="978" ht="12.0" customHeight="1">
      <c r="B978" s="139">
        <v>926.0</v>
      </c>
      <c r="C978" s="140">
        <f t="shared" si="6"/>
        <v>0.4325215133</v>
      </c>
      <c r="D978" s="141">
        <f t="shared" si="7"/>
        <v>0.09715748249</v>
      </c>
      <c r="E978" s="141">
        <f t="shared" si="8"/>
        <v>0.02014355107</v>
      </c>
      <c r="F978" s="140">
        <f t="shared" si="9"/>
        <v>0.3122197665</v>
      </c>
      <c r="G978" s="141">
        <f t="shared" si="10"/>
        <v>0.05370644595</v>
      </c>
      <c r="H978" s="142">
        <f t="shared" si="11"/>
        <v>1</v>
      </c>
      <c r="I978" s="142">
        <f t="shared" si="12"/>
        <v>1</v>
      </c>
      <c r="J978" s="142">
        <f t="shared" si="13"/>
        <v>0</v>
      </c>
      <c r="K978" s="142">
        <f t="shared" si="14"/>
        <v>1</v>
      </c>
      <c r="L978" s="139">
        <f>Assumptions!$C$6*Assumptions!$C$7*(1+$G978-0.05*(1-1))^1+Assumptions!$C$6*Assumptions!$C$8*(1+Assumptions!$C$11)^1+Assumptions!$C$16*1+Assumptions!$C$6*Assumptions!$C$9*(1+Assumptions!$C$12)^1</f>
        <v>744.5455897</v>
      </c>
      <c r="M978" s="139">
        <f>Assumptions!$C$6*Assumptions!$C$7*(1+$G978-0.05*(1-$H978))^2+Assumptions!$C$6*Assumptions!$C$8*(1+Assumptions!$C$11)^2+Assumptions!$C$16*$H978+Assumptions!$C$6*Assumptions!$C$9*(1+Assumptions!$C$12)^2</f>
        <v>770.1914225</v>
      </c>
      <c r="N978" s="139">
        <f>Assumptions!$C$6*Assumptions!$C$7*(1+$G978-0.05*(1-$I978))^3+Assumptions!$C$6*Assumptions!$C$8*(1+Assumptions!$C$11)^3+Assumptions!$C$16*$I978+Assumptions!$C$6*Assumptions!$C$9*(1+Assumptions!$C$12)^3</f>
        <v>796.9922283</v>
      </c>
      <c r="O978" s="139">
        <f>Assumptions!$C$6*Assumptions!$C$7*(1+$G978-0.05*(1-$J978))^4+Assumptions!$C$6*Assumptions!$C$8*(1+Assumptions!$C$11)^4+Assumptions!$C$16*$J978+Assumptions!$C$6*Assumptions!$C$9*(1+Assumptions!$C$12)^4</f>
        <v>691.6767327</v>
      </c>
      <c r="P978" s="139">
        <f>Assumptions!$C$6*Assumptions!$C$7*(1+$G978-0.05*(1-$K978))^5+Assumptions!$C$6*Assumptions!$C$8*(1+Assumptions!$C$11)^5+Assumptions!$C$16*$K978+Assumptions!$C$6*Assumptions!$C$9*(1+Assumptions!$C$12)^5</f>
        <v>854.2920904</v>
      </c>
      <c r="Q978" s="139">
        <f>($L978*(1-(Assumptions!$C$25+0.06*(1-1))-Assumptions!$C$27)-Assumptions!$C$28)-MAX(0,($L978*(1-(Assumptions!$C$25+0.06*(1-1))-Assumptions!$C$27)-Assumptions!$C$28)*Assumptions!$C$31)+Assumptions!$C$28-Assumptions!$C$29-$L978*Assumptions!$C$30</f>
        <v>92.57730179</v>
      </c>
      <c r="R978" s="139">
        <f>($M978*(1-(Assumptions!$C$25+0.06*(1-$H978))-Assumptions!$C$27)-Assumptions!$C$28)-MAX(0,($M978*(1-(Assumptions!$C$25+0.06*(1-$H978))-Assumptions!$C$27)-Assumptions!$C$28)*Assumptions!$C$31)+Assumptions!$C$28-Assumptions!$C$29-$M978*Assumptions!$C$30</f>
        <v>98.09115584</v>
      </c>
      <c r="S978" s="139">
        <f>($N978*(1-(Assumptions!$C$25+0.06*(1-$I978))-Assumptions!$C$27)-Assumptions!$C$28)-MAX(0,($N978*(1-(Assumptions!$C$25+0.06*(1-$I978))-Assumptions!$C$27)-Assumptions!$C$28)*Assumptions!$C$31)+Assumptions!$C$28-Assumptions!$C$29-$N978*Assumptions!$C$30</f>
        <v>103.8533291</v>
      </c>
      <c r="T978" s="139">
        <f>($O978*(1-(Assumptions!$C$25+0.06*(1-$J978))-Assumptions!$C$27)-Assumptions!$C$28)-MAX(0,($O978*(1-(Assumptions!$C$25+0.06*(1-$J978))-Assumptions!$C$27)-Assumptions!$C$28)*Assumptions!$C$31)+Assumptions!$C$28-Assumptions!$C$29-$O978*Assumptions!$C$30</f>
        <v>39.08564853</v>
      </c>
      <c r="U978" s="139">
        <f>($P978*(1-(Assumptions!$C$25+0.06*(1-$K978))-Assumptions!$C$27)-Assumptions!$C$28)-MAX(0,($P978*(1-(Assumptions!$C$25+0.06*(1-$K978))-Assumptions!$C$27)-Assumptions!$C$28)*Assumptions!$C$31)+Assumptions!$C$28-Assumptions!$C$29-$P978*Assumptions!$C$30</f>
        <v>116.1727994</v>
      </c>
      <c r="V978" s="143">
        <f>(($Q978/(1+$D978)^1+$R978/(1+$D978)^2+$S978/(1+$D978)^3+$T978/(1+$D978)^4+$U978/(1+$D978)^5+$U978*(1+$E978)/($D978-$E978)/(1+$D978)^5)-Assumptions!$C$37)/Assumptions!$C$40/Assumptions!$C$38</f>
        <v>4.844667804</v>
      </c>
    </row>
    <row r="979" ht="12.0" customHeight="1">
      <c r="B979" s="139">
        <v>927.0</v>
      </c>
      <c r="C979" s="140">
        <f t="shared" si="6"/>
        <v>0.1208699875</v>
      </c>
      <c r="D979" s="141">
        <f t="shared" si="7"/>
        <v>0.09140116597</v>
      </c>
      <c r="E979" s="141">
        <f t="shared" si="8"/>
        <v>0.01427653358</v>
      </c>
      <c r="F979" s="140">
        <f t="shared" si="9"/>
        <v>0.7379397846</v>
      </c>
      <c r="G979" s="141">
        <f t="shared" si="10"/>
        <v>0.06828115133</v>
      </c>
      <c r="H979" s="142">
        <f t="shared" si="11"/>
        <v>0</v>
      </c>
      <c r="I979" s="142">
        <f t="shared" si="12"/>
        <v>0</v>
      </c>
      <c r="J979" s="142">
        <f t="shared" si="13"/>
        <v>0</v>
      </c>
      <c r="K979" s="142">
        <f t="shared" si="14"/>
        <v>1</v>
      </c>
      <c r="L979" s="139">
        <f>Assumptions!$C$6*Assumptions!$C$7*(1+$G979-0.05*(1-1))^1+Assumptions!$C$6*Assumptions!$C$8*(1+Assumptions!$C$11)^1+Assumptions!$C$16*1+Assumptions!$C$6*Assumptions!$C$9*(1+Assumptions!$C$12)^1</f>
        <v>749.4514355</v>
      </c>
      <c r="M979" s="139">
        <f>Assumptions!$C$6*Assumptions!$C$7*(1+$G979-0.05*(1-$H979))^2+Assumptions!$C$6*Assumptions!$C$8*(1+Assumptions!$C$11)^2+Assumptions!$C$16*$H979+Assumptions!$C$6*Assumptions!$C$9*(1+Assumptions!$C$12)^2</f>
        <v>685.484723</v>
      </c>
      <c r="N979" s="139">
        <f>Assumptions!$C$6*Assumptions!$C$7*(1+$G979-0.05*(1-$I979))^3+Assumptions!$C$6*Assumptions!$C$8*(1+Assumptions!$C$11)^3+Assumptions!$C$16*$I979+Assumptions!$C$6*Assumptions!$C$9*(1+Assumptions!$C$12)^3</f>
        <v>698.594506</v>
      </c>
      <c r="O979" s="139">
        <f>Assumptions!$C$6*Assumptions!$C$7*(1+$G979-0.05*(1-$J979))^4+Assumptions!$C$6*Assumptions!$C$8*(1+Assumptions!$C$11)^4+Assumptions!$C$16*$J979+Assumptions!$C$6*Assumptions!$C$9*(1+Assumptions!$C$12)^4</f>
        <v>711.9555175</v>
      </c>
      <c r="P979" s="139">
        <f>Assumptions!$C$6*Assumptions!$C$7*(1+$G979-0.05*(1-$K979))^5+Assumptions!$C$6*Assumptions!$C$8*(1+Assumptions!$C$11)^5+Assumptions!$C$16*$K979+Assumptions!$C$6*Assumptions!$C$9*(1+Assumptions!$C$12)^5</f>
        <v>885.3789074</v>
      </c>
      <c r="Q979" s="139">
        <f>($L979*(1-(Assumptions!$C$25+0.06*(1-1))-Assumptions!$C$27)-Assumptions!$C$28)-MAX(0,($L979*(1-(Assumptions!$C$25+0.06*(1-1))-Assumptions!$C$27)-Assumptions!$C$28)*Assumptions!$C$31)+Assumptions!$C$28-Assumptions!$C$29-$L979*Assumptions!$C$30</f>
        <v>93.63205864</v>
      </c>
      <c r="R979" s="139">
        <f>($M979*(1-(Assumptions!$C$25+0.06*(1-$H979))-Assumptions!$C$27)-Assumptions!$C$28)-MAX(0,($M979*(1-(Assumptions!$C$25+0.06*(1-$H979))-Assumptions!$C$27)-Assumptions!$C$28)*Assumptions!$C$31)+Assumptions!$C$28-Assumptions!$C$29-$M979*Assumptions!$C$30</f>
        <v>37.66148628</v>
      </c>
      <c r="S979" s="139">
        <f>($N979*(1-(Assumptions!$C$25+0.06*(1-$I979))-Assumptions!$C$27)-Assumptions!$C$28)-MAX(0,($N979*(1-(Assumptions!$C$25+0.06*(1-$I979))-Assumptions!$C$27)-Assumptions!$C$28)*Assumptions!$C$31)+Assumptions!$C$28-Assumptions!$C$29-$N979*Assumptions!$C$30</f>
        <v>40.67673637</v>
      </c>
      <c r="T979" s="139">
        <f>($O979*(1-(Assumptions!$C$25+0.06*(1-$J979))-Assumptions!$C$27)-Assumptions!$C$28)-MAX(0,($O979*(1-(Assumptions!$C$25+0.06*(1-$J979))-Assumptions!$C$27)-Assumptions!$C$28)*Assumptions!$C$31)+Assumptions!$C$28-Assumptions!$C$29-$O979*Assumptions!$C$30</f>
        <v>43.74976903</v>
      </c>
      <c r="U979" s="139">
        <f>($P979*(1-(Assumptions!$C$25+0.06*(1-$K979))-Assumptions!$C$27)-Assumptions!$C$28)-MAX(0,($P979*(1-(Assumptions!$C$25+0.06*(1-$K979))-Assumptions!$C$27)-Assumptions!$C$28)*Assumptions!$C$31)+Assumptions!$C$28-Assumptions!$C$29-$P979*Assumptions!$C$30</f>
        <v>122.8564651</v>
      </c>
      <c r="V979" s="143">
        <f>(($Q979/(1+$D979)^1+$R979/(1+$D979)^2+$S979/(1+$D979)^3+$T979/(1+$D979)^4+$U979/(1+$D979)^5+$U979*(1+$E979)/($D979-$E979)/(1+$D979)^5)-Assumptions!$C$37)/Assumptions!$C$40/Assumptions!$C$38</f>
        <v>4.764640788</v>
      </c>
    </row>
    <row r="980" ht="12.0" customHeight="1">
      <c r="B980" s="139">
        <v>928.0</v>
      </c>
      <c r="C980" s="140">
        <f t="shared" si="6"/>
        <v>0.8378141152</v>
      </c>
      <c r="D980" s="141">
        <f t="shared" si="7"/>
        <v>0.1054613271</v>
      </c>
      <c r="E980" s="141">
        <f t="shared" si="8"/>
        <v>0.02035225492</v>
      </c>
      <c r="F980" s="140">
        <f t="shared" si="9"/>
        <v>0.4405337935</v>
      </c>
      <c r="G980" s="141">
        <f t="shared" si="10"/>
        <v>0.05815956016</v>
      </c>
      <c r="H980" s="142">
        <f t="shared" si="11"/>
        <v>1</v>
      </c>
      <c r="I980" s="142">
        <f t="shared" si="12"/>
        <v>0</v>
      </c>
      <c r="J980" s="142">
        <f t="shared" si="13"/>
        <v>0</v>
      </c>
      <c r="K980" s="142">
        <f t="shared" si="14"/>
        <v>0</v>
      </c>
      <c r="L980" s="139">
        <f>Assumptions!$C$6*Assumptions!$C$7*(1+$G980-0.05*(1-1))^1+Assumptions!$C$6*Assumptions!$C$8*(1+Assumptions!$C$11)^1+Assumptions!$C$16*1+Assumptions!$C$6*Assumptions!$C$9*(1+Assumptions!$C$12)^1</f>
        <v>746.0445079</v>
      </c>
      <c r="M980" s="139">
        <f>Assumptions!$C$6*Assumptions!$C$7*(1+$G980-0.05*(1-$H980))^2+Assumptions!$C$6*Assumptions!$C$8*(1+Assumptions!$C$11)^2+Assumptions!$C$16*$H980+Assumptions!$C$6*Assumptions!$C$9*(1+Assumptions!$C$12)^2</f>
        <v>773.356937</v>
      </c>
      <c r="N980" s="139">
        <f>Assumptions!$C$6*Assumptions!$C$7*(1+$G980-0.05*(1-$I980))^3+Assumptions!$C$6*Assumptions!$C$8*(1+Assumptions!$C$11)^3+Assumptions!$C$16*$I980+Assumptions!$C$6*Assumptions!$C$9*(1+Assumptions!$C$12)^3</f>
        <v>688.1016048</v>
      </c>
      <c r="O980" s="139">
        <f>Assumptions!$C$6*Assumptions!$C$7*(1+$G980-0.05*(1-$J980))^4+Assumptions!$C$6*Assumptions!$C$8*(1+Assumptions!$C$11)^4+Assumptions!$C$16*$J980+Assumptions!$C$6*Assumptions!$C$9*(1+Assumptions!$C$12)^4</f>
        <v>697.779787</v>
      </c>
      <c r="P980" s="139">
        <f>Assumptions!$C$6*Assumptions!$C$7*(1+$G980-0.05*(1-$K980))^5+Assumptions!$C$6*Assumptions!$C$8*(1+Assumptions!$C$11)^5+Assumptions!$C$16*$K980+Assumptions!$C$6*Assumptions!$C$9*(1+Assumptions!$C$12)^5</f>
        <v>707.6182105</v>
      </c>
      <c r="Q980" s="139">
        <f>($L980*(1-(Assumptions!$C$25+0.06*(1-1))-Assumptions!$C$27)-Assumptions!$C$28)-MAX(0,($L980*(1-(Assumptions!$C$25+0.06*(1-1))-Assumptions!$C$27)-Assumptions!$C$28)*Assumptions!$C$31)+Assumptions!$C$28-Assumptions!$C$29-$L980*Assumptions!$C$30</f>
        <v>92.89956921</v>
      </c>
      <c r="R980" s="139">
        <f>($M980*(1-(Assumptions!$C$25+0.06*(1-$H980))-Assumptions!$C$27)-Assumptions!$C$28)-MAX(0,($M980*(1-(Assumptions!$C$25+0.06*(1-$H980))-Assumptions!$C$27)-Assumptions!$C$28)*Assumptions!$C$31)+Assumptions!$C$28-Assumptions!$C$29-$M980*Assumptions!$C$30</f>
        <v>98.77174145</v>
      </c>
      <c r="S980" s="139">
        <f>($N980*(1-(Assumptions!$C$25+0.06*(1-$I980))-Assumptions!$C$27)-Assumptions!$C$28)-MAX(0,($N980*(1-(Assumptions!$C$25+0.06*(1-$I980))-Assumptions!$C$27)-Assumptions!$C$28)*Assumptions!$C$31)+Assumptions!$C$28-Assumptions!$C$29-$N980*Assumptions!$C$30</f>
        <v>38.2633691</v>
      </c>
      <c r="T980" s="139">
        <f>($O980*(1-(Assumptions!$C$25+0.06*(1-$J980))-Assumptions!$C$27)-Assumptions!$C$28)-MAX(0,($O980*(1-(Assumptions!$C$25+0.06*(1-$J980))-Assumptions!$C$27)-Assumptions!$C$28)*Assumptions!$C$31)+Assumptions!$C$28-Assumptions!$C$29-$O980*Assumptions!$C$30</f>
        <v>40.48935102</v>
      </c>
      <c r="U980" s="139">
        <f>($P980*(1-(Assumptions!$C$25+0.06*(1-$K980))-Assumptions!$C$27)-Assumptions!$C$28)-MAX(0,($P980*(1-(Assumptions!$C$25+0.06*(1-$K980))-Assumptions!$C$27)-Assumptions!$C$28)*Assumptions!$C$31)+Assumptions!$C$28-Assumptions!$C$29-$P980*Assumptions!$C$30</f>
        <v>42.75218842</v>
      </c>
      <c r="V980" s="143">
        <f>(($Q980/(1+$D980)^1+$R980/(1+$D980)^2+$S980/(1+$D980)^3+$T980/(1+$D980)^4+$U980/(1+$D980)^5+$U980*(1+$E980)/($D980-$E980)/(1+$D980)^5)-Assumptions!$C$37)/Assumptions!$C$40/Assumptions!$C$38</f>
        <v>-1.053838517</v>
      </c>
    </row>
    <row r="981" ht="12.0" customHeight="1">
      <c r="B981" s="139">
        <v>929.0</v>
      </c>
      <c r="C981" s="140">
        <f t="shared" si="6"/>
        <v>0.8352597272</v>
      </c>
      <c r="D981" s="141">
        <f t="shared" si="7"/>
        <v>0.1053865046</v>
      </c>
      <c r="E981" s="141">
        <f t="shared" si="8"/>
        <v>0.01169833964</v>
      </c>
      <c r="F981" s="140">
        <f t="shared" si="9"/>
        <v>0.2785001379</v>
      </c>
      <c r="G981" s="141">
        <f t="shared" si="10"/>
        <v>0.05238973533</v>
      </c>
      <c r="H981" s="142">
        <f t="shared" si="11"/>
        <v>1</v>
      </c>
      <c r="I981" s="142">
        <f t="shared" si="12"/>
        <v>1</v>
      </c>
      <c r="J981" s="142">
        <f t="shared" si="13"/>
        <v>1</v>
      </c>
      <c r="K981" s="142">
        <f t="shared" si="14"/>
        <v>1</v>
      </c>
      <c r="L981" s="139">
        <f>Assumptions!$C$6*Assumptions!$C$7*(1+$G981-0.05*(1-1))^1+Assumptions!$C$6*Assumptions!$C$8*(1+Assumptions!$C$11)^1+Assumptions!$C$16*1+Assumptions!$C$6*Assumptions!$C$9*(1+Assumptions!$C$12)^1</f>
        <v>744.1023849</v>
      </c>
      <c r="M981" s="139">
        <f>Assumptions!$C$6*Assumptions!$C$7*(1+$G981-0.05*(1-$H981))^2+Assumptions!$C$6*Assumptions!$C$8*(1+Assumptions!$C$11)^2+Assumptions!$C$16*$H981+Assumptions!$C$6*Assumptions!$C$9*(1+Assumptions!$C$12)^2</f>
        <v>769.2579906</v>
      </c>
      <c r="N981" s="139">
        <f>Assumptions!$C$6*Assumptions!$C$7*(1+$G981-0.05*(1-$I981))^3+Assumptions!$C$6*Assumptions!$C$8*(1+Assumptions!$C$11)^3+Assumptions!$C$16*$I981+Assumptions!$C$6*Assumptions!$C$9*(1+Assumptions!$C$12)^3</f>
        <v>795.517805</v>
      </c>
      <c r="O981" s="139">
        <f>Assumptions!$C$6*Assumptions!$C$7*(1+$G981-0.05*(1-$J981))^4+Assumptions!$C$6*Assumptions!$C$8*(1+Assumptions!$C$11)^4+Assumptions!$C$16*$J981+Assumptions!$C$6*Assumptions!$C$9*(1+Assumptions!$C$12)^4</f>
        <v>822.9354037</v>
      </c>
      <c r="P981" s="139">
        <f>Assumptions!$C$6*Assumptions!$C$7*(1+$G981-0.05*(1-$K981))^5+Assumptions!$C$6*Assumptions!$C$8*(1+Assumptions!$C$11)^5+Assumptions!$C$16*$K981+Assumptions!$C$6*Assumptions!$C$9*(1+Assumptions!$C$12)^5</f>
        <v>851.5670835</v>
      </c>
      <c r="Q981" s="139">
        <f>($L981*(1-(Assumptions!$C$25+0.06*(1-1))-Assumptions!$C$27)-Assumptions!$C$28)-MAX(0,($L981*(1-(Assumptions!$C$25+0.06*(1-1))-Assumptions!$C$27)-Assumptions!$C$28)*Assumptions!$C$31)+Assumptions!$C$28-Assumptions!$C$29-$L981*Assumptions!$C$30</f>
        <v>92.48201276</v>
      </c>
      <c r="R981" s="139">
        <f>($M981*(1-(Assumptions!$C$25+0.06*(1-$H981))-Assumptions!$C$27)-Assumptions!$C$28)-MAX(0,($M981*(1-(Assumptions!$C$25+0.06*(1-$H981))-Assumptions!$C$27)-Assumptions!$C$28)*Assumptions!$C$31)+Assumptions!$C$28-Assumptions!$C$29-$M981*Assumptions!$C$30</f>
        <v>97.89046798</v>
      </c>
      <c r="S981" s="139">
        <f>($N981*(1-(Assumptions!$C$25+0.06*(1-$I981))-Assumptions!$C$27)-Assumptions!$C$28)-MAX(0,($N981*(1-(Assumptions!$C$25+0.06*(1-$I981))-Assumptions!$C$27)-Assumptions!$C$28)*Assumptions!$C$31)+Assumptions!$C$28-Assumptions!$C$29-$N981*Assumptions!$C$30</f>
        <v>103.5363281</v>
      </c>
      <c r="T981" s="139">
        <f>($O981*(1-(Assumptions!$C$25+0.06*(1-$J981))-Assumptions!$C$27)-Assumptions!$C$28)-MAX(0,($O981*(1-(Assumptions!$C$25+0.06*(1-$J981))-Assumptions!$C$27)-Assumptions!$C$28)*Assumptions!$C$31)+Assumptions!$C$28-Assumptions!$C$29-$O981*Assumptions!$C$30</f>
        <v>109.4311118</v>
      </c>
      <c r="U981" s="139">
        <f>($P981*(1-(Assumptions!$C$25+0.06*(1-$K981))-Assumptions!$C$27)-Assumptions!$C$28)-MAX(0,($P981*(1-(Assumptions!$C$25+0.06*(1-$K981))-Assumptions!$C$27)-Assumptions!$C$28)*Assumptions!$C$31)+Assumptions!$C$28-Assumptions!$C$29-$P981*Assumptions!$C$30</f>
        <v>115.5869229</v>
      </c>
      <c r="V981" s="143">
        <f>(($Q981/(1+$D981)^1+$R981/(1+$D981)^2+$S981/(1+$D981)^3+$T981/(1+$D981)^4+$U981/(1+$D981)^5+$U981*(1+$E981)/($D981-$E981)/(1+$D981)^5)-Assumptions!$C$37)/Assumptions!$C$40/Assumptions!$C$38</f>
        <v>3.499213523</v>
      </c>
    </row>
    <row r="982" ht="12.0" customHeight="1">
      <c r="B982" s="139">
        <v>930.0</v>
      </c>
      <c r="C982" s="140">
        <f t="shared" si="6"/>
        <v>0.3937489162</v>
      </c>
      <c r="D982" s="141">
        <f t="shared" si="7"/>
        <v>0.09655801372</v>
      </c>
      <c r="E982" s="141">
        <f t="shared" si="8"/>
        <v>0.01780953015</v>
      </c>
      <c r="F982" s="140">
        <f t="shared" si="9"/>
        <v>0.5197151603</v>
      </c>
      <c r="G982" s="141">
        <f t="shared" si="10"/>
        <v>0.06059740298</v>
      </c>
      <c r="H982" s="142">
        <f t="shared" si="11"/>
        <v>1</v>
      </c>
      <c r="I982" s="142">
        <f t="shared" si="12"/>
        <v>1</v>
      </c>
      <c r="J982" s="142">
        <f t="shared" si="13"/>
        <v>0</v>
      </c>
      <c r="K982" s="142">
        <f t="shared" si="14"/>
        <v>0</v>
      </c>
      <c r="L982" s="139">
        <f>Assumptions!$C$6*Assumptions!$C$7*(1+$G982-0.05*(1-1))^1+Assumptions!$C$6*Assumptions!$C$8*(1+Assumptions!$C$11)^1+Assumptions!$C$16*1+Assumptions!$C$6*Assumptions!$C$9*(1+Assumptions!$C$12)^1</f>
        <v>746.8650858</v>
      </c>
      <c r="M982" s="139">
        <f>Assumptions!$C$6*Assumptions!$C$7*(1+$G982-0.05*(1-$H982))^2+Assumptions!$C$6*Assumptions!$C$8*(1+Assumptions!$C$11)^2+Assumptions!$C$16*$H982+Assumptions!$C$6*Assumptions!$C$9*(1+Assumptions!$C$12)^2</f>
        <v>775.0955421</v>
      </c>
      <c r="N982" s="139">
        <f>Assumptions!$C$6*Assumptions!$C$7*(1+$G982-0.05*(1-$I982))^3+Assumptions!$C$6*Assumptions!$C$8*(1+Assumptions!$C$11)^3+Assumptions!$C$16*$I982+Assumptions!$C$6*Assumptions!$C$9*(1+Assumptions!$C$12)^3</f>
        <v>804.768855</v>
      </c>
      <c r="O982" s="139">
        <f>Assumptions!$C$6*Assumptions!$C$7*(1+$G982-0.05*(1-$J982))^4+Assumptions!$C$6*Assumptions!$C$8*(1+Assumptions!$C$11)^4+Assumptions!$C$16*$J982+Assumptions!$C$6*Assumptions!$C$9*(1+Assumptions!$C$12)^4</f>
        <v>701.1553216</v>
      </c>
      <c r="P982" s="139">
        <f>Assumptions!$C$6*Assumptions!$C$7*(1+$G982-0.05*(1-$K982))^5+Assumptions!$C$6*Assumptions!$C$8*(1+Assumptions!$C$11)^5+Assumptions!$C$16*$K982+Assumptions!$C$6*Assumptions!$C$9*(1+Assumptions!$C$12)^5</f>
        <v>711.8772067</v>
      </c>
      <c r="Q982" s="139">
        <f>($L982*(1-(Assumptions!$C$25+0.06*(1-1))-Assumptions!$C$27)-Assumptions!$C$28)-MAX(0,($L982*(1-(Assumptions!$C$25+0.06*(1-1))-Assumptions!$C$27)-Assumptions!$C$28)*Assumptions!$C$31)+Assumptions!$C$28-Assumptions!$C$29-$L982*Assumptions!$C$30</f>
        <v>93.07599346</v>
      </c>
      <c r="R982" s="139">
        <f>($M982*(1-(Assumptions!$C$25+0.06*(1-$H982))-Assumptions!$C$27)-Assumptions!$C$28)-MAX(0,($M982*(1-(Assumptions!$C$25+0.06*(1-$H982))-Assumptions!$C$27)-Assumptions!$C$28)*Assumptions!$C$31)+Assumptions!$C$28-Assumptions!$C$29-$M982*Assumptions!$C$30</f>
        <v>99.14554156</v>
      </c>
      <c r="S982" s="139">
        <f>($N982*(1-(Assumptions!$C$25+0.06*(1-$I982))-Assumptions!$C$27)-Assumptions!$C$28)-MAX(0,($N982*(1-(Assumptions!$C$25+0.06*(1-$I982))-Assumptions!$C$27)-Assumptions!$C$28)*Assumptions!$C$31)+Assumptions!$C$28-Assumptions!$C$29-$N982*Assumptions!$C$30</f>
        <v>105.5253038</v>
      </c>
      <c r="T982" s="139">
        <f>($O982*(1-(Assumptions!$C$25+0.06*(1-$J982))-Assumptions!$C$27)-Assumptions!$C$28)-MAX(0,($O982*(1-(Assumptions!$C$25+0.06*(1-$J982))-Assumptions!$C$27)-Assumptions!$C$28)*Assumptions!$C$31)+Assumptions!$C$28-Assumptions!$C$29-$O982*Assumptions!$C$30</f>
        <v>41.26572398</v>
      </c>
      <c r="U982" s="139">
        <f>($P982*(1-(Assumptions!$C$25+0.06*(1-$K982))-Assumptions!$C$27)-Assumptions!$C$28)-MAX(0,($P982*(1-(Assumptions!$C$25+0.06*(1-$K982))-Assumptions!$C$27)-Assumptions!$C$28)*Assumptions!$C$31)+Assumptions!$C$28-Assumptions!$C$29-$P982*Assumptions!$C$30</f>
        <v>43.73175755</v>
      </c>
      <c r="V982" s="143">
        <f>(($Q982/(1+$D982)^1+$R982/(1+$D982)^2+$S982/(1+$D982)^3+$T982/(1+$D982)^4+$U982/(1+$D982)^5+$U982*(1+$E982)/($D982-$E982)/(1+$D982)^5)-Assumptions!$C$37)/Assumptions!$C$40/Assumptions!$C$38</f>
        <v>-0.2474491109</v>
      </c>
    </row>
    <row r="983" ht="12.0" customHeight="1">
      <c r="B983" s="139">
        <v>931.0</v>
      </c>
      <c r="C983" s="140">
        <f t="shared" si="6"/>
        <v>0.8620714754</v>
      </c>
      <c r="D983" s="141">
        <f t="shared" si="7"/>
        <v>0.106203529</v>
      </c>
      <c r="E983" s="141">
        <f t="shared" si="8"/>
        <v>0.02211011875</v>
      </c>
      <c r="F983" s="140">
        <f t="shared" si="9"/>
        <v>0.6214854813</v>
      </c>
      <c r="G983" s="141">
        <f t="shared" si="10"/>
        <v>0.06389777531</v>
      </c>
      <c r="H983" s="142">
        <f t="shared" si="11"/>
        <v>1</v>
      </c>
      <c r="I983" s="142">
        <f t="shared" si="12"/>
        <v>0</v>
      </c>
      <c r="J983" s="142">
        <f t="shared" si="13"/>
        <v>0</v>
      </c>
      <c r="K983" s="142">
        <f t="shared" si="14"/>
        <v>1</v>
      </c>
      <c r="L983" s="139">
        <f>Assumptions!$C$6*Assumptions!$C$7*(1+$G983-0.05*(1-1))^1+Assumptions!$C$6*Assumptions!$C$8*(1+Assumptions!$C$11)^1+Assumptions!$C$16*1+Assumptions!$C$6*Assumptions!$C$9*(1+Assumptions!$C$12)^1</f>
        <v>747.9759912</v>
      </c>
      <c r="M983" s="139">
        <f>Assumptions!$C$6*Assumptions!$C$7*(1+$G983-0.05*(1-$H983))^2+Assumptions!$C$6*Assumptions!$C$8*(1+Assumptions!$C$11)^2+Assumptions!$C$16*$H983+Assumptions!$C$6*Assumptions!$C$9*(1+Assumptions!$C$12)^2</f>
        <v>777.4556551</v>
      </c>
      <c r="N983" s="139">
        <f>Assumptions!$C$6*Assumptions!$C$7*(1+$G983-0.05*(1-$I983))^3+Assumptions!$C$6*Assumptions!$C$8*(1+Assumptions!$C$11)^3+Assumptions!$C$16*$I983+Assumptions!$C$6*Assumptions!$C$9*(1+Assumptions!$C$12)^3</f>
        <v>694.0245853</v>
      </c>
      <c r="O983" s="139">
        <f>Assumptions!$C$6*Assumptions!$C$7*(1+$G983-0.05*(1-$J983))^4+Assumptions!$C$6*Assumptions!$C$8*(1+Assumptions!$C$11)^4+Assumptions!$C$16*$J983+Assumptions!$C$6*Assumptions!$C$9*(1+Assumptions!$C$12)^4</f>
        <v>705.764234</v>
      </c>
      <c r="P983" s="139">
        <f>Assumptions!$C$6*Assumptions!$C$7*(1+$G983-0.05*(1-$K983))^5+Assumptions!$C$6*Assumptions!$C$8*(1+Assumptions!$C$11)^5+Assumptions!$C$16*$K983+Assumptions!$C$6*Assumptions!$C$9*(1+Assumptions!$C$12)^5</f>
        <v>875.8493854</v>
      </c>
      <c r="Q983" s="139">
        <f>($L983*(1-(Assumptions!$C$25+0.06*(1-1))-Assumptions!$C$27)-Assumptions!$C$28)-MAX(0,($L983*(1-(Assumptions!$C$25+0.06*(1-1))-Assumptions!$C$27)-Assumptions!$C$28)*Assumptions!$C$31)+Assumptions!$C$28-Assumptions!$C$29-$L983*Assumptions!$C$30</f>
        <v>93.3148381</v>
      </c>
      <c r="R983" s="139">
        <f>($M983*(1-(Assumptions!$C$25+0.06*(1-$H983))-Assumptions!$C$27)-Assumptions!$C$28)-MAX(0,($M983*(1-(Assumptions!$C$25+0.06*(1-$H983))-Assumptions!$C$27)-Assumptions!$C$28)*Assumptions!$C$31)+Assumptions!$C$28-Assumptions!$C$29-$M983*Assumptions!$C$30</f>
        <v>99.65296585</v>
      </c>
      <c r="S983" s="139">
        <f>($N983*(1-(Assumptions!$C$25+0.06*(1-$I983))-Assumptions!$C$27)-Assumptions!$C$28)-MAX(0,($N983*(1-(Assumptions!$C$25+0.06*(1-$I983))-Assumptions!$C$27)-Assumptions!$C$28)*Assumptions!$C$31)+Assumptions!$C$28-Assumptions!$C$29-$N983*Assumptions!$C$30</f>
        <v>39.62565461</v>
      </c>
      <c r="T983" s="139">
        <f>($O983*(1-(Assumptions!$C$25+0.06*(1-$J983))-Assumptions!$C$27)-Assumptions!$C$28)-MAX(0,($O983*(1-(Assumptions!$C$25+0.06*(1-$J983))-Assumptions!$C$27)-Assumptions!$C$28)*Assumptions!$C$31)+Assumptions!$C$28-Assumptions!$C$29-$O983*Assumptions!$C$30</f>
        <v>42.32577382</v>
      </c>
      <c r="U983" s="139">
        <f>($P983*(1-(Assumptions!$C$25+0.06*(1-$K983))-Assumptions!$C$27)-Assumptions!$C$28)-MAX(0,($P983*(1-(Assumptions!$C$25+0.06*(1-$K983))-Assumptions!$C$27)-Assumptions!$C$28)*Assumptions!$C$31)+Assumptions!$C$28-Assumptions!$C$29-$P983*Assumptions!$C$30</f>
        <v>120.8076179</v>
      </c>
      <c r="V983" s="143">
        <f>(($Q983/(1+$D983)^1+$R983/(1+$D983)^2+$S983/(1+$D983)^3+$T983/(1+$D983)^4+$U983/(1+$D983)^5+$U983*(1+$E983)/($D983-$E983)/(1+$D983)^5)-Assumptions!$C$37)/Assumptions!$C$40/Assumptions!$C$38</f>
        <v>3.83186619</v>
      </c>
    </row>
    <row r="984" ht="12.0" customHeight="1">
      <c r="B984" s="139">
        <v>932.0</v>
      </c>
      <c r="C984" s="140">
        <f t="shared" si="6"/>
        <v>0.2744576254</v>
      </c>
      <c r="D984" s="141">
        <f t="shared" si="7"/>
        <v>0.09464578328</v>
      </c>
      <c r="E984" s="141">
        <f t="shared" si="8"/>
        <v>0.01949886304</v>
      </c>
      <c r="F984" s="140">
        <f t="shared" si="9"/>
        <v>0.8333030659</v>
      </c>
      <c r="G984" s="141">
        <f t="shared" si="10"/>
        <v>0.07267791925</v>
      </c>
      <c r="H984" s="142">
        <f t="shared" si="11"/>
        <v>0</v>
      </c>
      <c r="I984" s="142">
        <f t="shared" si="12"/>
        <v>0</v>
      </c>
      <c r="J984" s="142">
        <f t="shared" si="13"/>
        <v>1</v>
      </c>
      <c r="K984" s="142">
        <f t="shared" si="14"/>
        <v>0</v>
      </c>
      <c r="L984" s="139">
        <f>Assumptions!$C$6*Assumptions!$C$7*(1+$G984-0.05*(1-1))^1+Assumptions!$C$6*Assumptions!$C$8*(1+Assumptions!$C$11)^1+Assumptions!$C$16*1+Assumptions!$C$6*Assumptions!$C$9*(1+Assumptions!$C$12)^1</f>
        <v>750.9313876</v>
      </c>
      <c r="M984" s="139">
        <f>Assumptions!$C$6*Assumptions!$C$7*(1+$G984-0.05*(1-$H984))^2+Assumptions!$C$6*Assumptions!$C$8*(1+Assumptions!$C$11)^2+Assumptions!$C$16*$H984+Assumptions!$C$6*Assumptions!$C$9*(1+Assumptions!$C$12)^2</f>
        <v>688.5052446</v>
      </c>
      <c r="N984" s="139">
        <f>Assumptions!$C$6*Assumptions!$C$7*(1+$G984-0.05*(1-$I984))^3+Assumptions!$C$6*Assumptions!$C$8*(1+Assumptions!$C$11)^3+Assumptions!$C$16*$I984+Assumptions!$C$6*Assumptions!$C$9*(1+Assumptions!$C$12)^3</f>
        <v>703.2180839</v>
      </c>
      <c r="O984" s="139">
        <f>Assumptions!$C$6*Assumptions!$C$7*(1+$G984-0.05*(1-$J984))^4+Assumptions!$C$6*Assumptions!$C$8*(1+Assumptions!$C$11)^4+Assumptions!$C$16*$J984+Assumptions!$C$6*Assumptions!$C$9*(1+Assumptions!$C$12)^4</f>
        <v>855.7060612</v>
      </c>
      <c r="P984" s="139">
        <f>Assumptions!$C$6*Assumptions!$C$7*(1+$G984-0.05*(1-$K984))^5+Assumptions!$C$6*Assumptions!$C$8*(1+Assumptions!$C$11)^5+Assumptions!$C$16*$K984+Assumptions!$C$6*Assumptions!$C$9*(1+Assumptions!$C$12)^5</f>
        <v>733.5974681</v>
      </c>
      <c r="Q984" s="139">
        <f>($L984*(1-(Assumptions!$C$25+0.06*(1-1))-Assumptions!$C$27)-Assumptions!$C$28)-MAX(0,($L984*(1-(Assumptions!$C$25+0.06*(1-1))-Assumptions!$C$27)-Assumptions!$C$28)*Assumptions!$C$31)+Assumptions!$C$28-Assumptions!$C$29-$L984*Assumptions!$C$30</f>
        <v>93.95024834</v>
      </c>
      <c r="R984" s="139">
        <f>($M984*(1-(Assumptions!$C$25+0.06*(1-$H984))-Assumptions!$C$27)-Assumptions!$C$28)-MAX(0,($M984*(1-(Assumptions!$C$25+0.06*(1-$H984))-Assumptions!$C$27)-Assumptions!$C$28)*Assumptions!$C$31)+Assumptions!$C$28-Assumptions!$C$29-$M984*Assumptions!$C$30</f>
        <v>38.35620626</v>
      </c>
      <c r="S984" s="139">
        <f>($N984*(1-(Assumptions!$C$25+0.06*(1-$I984))-Assumptions!$C$27)-Assumptions!$C$28)-MAX(0,($N984*(1-(Assumptions!$C$25+0.06*(1-$I984))-Assumptions!$C$27)-Assumptions!$C$28)*Assumptions!$C$31)+Assumptions!$C$28-Assumptions!$C$29-$N984*Assumptions!$C$30</f>
        <v>41.74015929</v>
      </c>
      <c r="T984" s="139">
        <f>($O984*(1-(Assumptions!$C$25+0.06*(1-$J984))-Assumptions!$C$27)-Assumptions!$C$28)-MAX(0,($O984*(1-(Assumptions!$C$25+0.06*(1-$J984))-Assumptions!$C$27)-Assumptions!$C$28)*Assumptions!$C$31)+Assumptions!$C$28-Assumptions!$C$29-$O984*Assumptions!$C$30</f>
        <v>116.4768032</v>
      </c>
      <c r="U984" s="139">
        <f>($P984*(1-(Assumptions!$C$25+0.06*(1-$K984))-Assumptions!$C$27)-Assumptions!$C$28)-MAX(0,($P984*(1-(Assumptions!$C$25+0.06*(1-$K984))-Assumptions!$C$27)-Assumptions!$C$28)*Assumptions!$C$31)+Assumptions!$C$28-Assumptions!$C$29-$P984*Assumptions!$C$30</f>
        <v>48.72741766</v>
      </c>
      <c r="V984" s="143">
        <f>(($Q984/(1+$D984)^1+$R984/(1+$D984)^2+$S984/(1+$D984)^3+$T984/(1+$D984)^4+$U984/(1+$D984)^5+$U984*(1+$E984)/($D984-$E984)/(1+$D984)^5)-Assumptions!$C$37)/Assumptions!$C$40/Assumptions!$C$38</f>
        <v>-0.0725980312</v>
      </c>
    </row>
    <row r="985" ht="12.0" customHeight="1">
      <c r="B985" s="139">
        <v>933.0</v>
      </c>
      <c r="C985" s="140">
        <f t="shared" si="6"/>
        <v>0.5437267995</v>
      </c>
      <c r="D985" s="141">
        <f t="shared" si="7"/>
        <v>0.09900096048</v>
      </c>
      <c r="E985" s="141">
        <f t="shared" si="8"/>
        <v>0.02001544696</v>
      </c>
      <c r="F985" s="140">
        <f t="shared" si="9"/>
        <v>0.5621951339</v>
      </c>
      <c r="G985" s="141">
        <f t="shared" si="10"/>
        <v>0.06192779384</v>
      </c>
      <c r="H985" s="142">
        <f t="shared" si="11"/>
        <v>1</v>
      </c>
      <c r="I985" s="142">
        <f t="shared" si="12"/>
        <v>1</v>
      </c>
      <c r="J985" s="142">
        <f t="shared" si="13"/>
        <v>1</v>
      </c>
      <c r="K985" s="142">
        <f t="shared" si="14"/>
        <v>1</v>
      </c>
      <c r="L985" s="139">
        <f>Assumptions!$C$6*Assumptions!$C$7*(1+$G985-0.05*(1-1))^1+Assumptions!$C$6*Assumptions!$C$8*(1+Assumptions!$C$11)^1+Assumptions!$C$16*1+Assumptions!$C$6*Assumptions!$C$9*(1+Assumptions!$C$12)^1</f>
        <v>747.3128954</v>
      </c>
      <c r="M985" s="139">
        <f>Assumptions!$C$6*Assumptions!$C$7*(1+$G985-0.05*(1-$H985))^2+Assumptions!$C$6*Assumptions!$C$8*(1+Assumptions!$C$11)^2+Assumptions!$C$16*$H985+Assumptions!$C$6*Assumptions!$C$9*(1+Assumptions!$C$12)^2</f>
        <v>776.0460292</v>
      </c>
      <c r="N985" s="139">
        <f>Assumptions!$C$6*Assumptions!$C$7*(1+$G985-0.05*(1-$I985))^3+Assumptions!$C$6*Assumptions!$C$8*(1+Assumptions!$C$11)^3+Assumptions!$C$16*$I985+Assumptions!$C$6*Assumptions!$C$9*(1+Assumptions!$C$12)^3</f>
        <v>806.2819298</v>
      </c>
      <c r="O985" s="139">
        <f>Assumptions!$C$6*Assumptions!$C$7*(1+$G985-0.05*(1-$J985))^4+Assumptions!$C$6*Assumptions!$C$8*(1+Assumptions!$C$11)^4+Assumptions!$C$16*$J985+Assumptions!$C$6*Assumptions!$C$9*(1+Assumptions!$C$12)^4</f>
        <v>838.1081281</v>
      </c>
      <c r="P985" s="139">
        <f>Assumptions!$C$6*Assumptions!$C$7*(1+$G985-0.05*(1-$K985))^5+Assumptions!$C$6*Assumptions!$C$8*(1+Assumptions!$C$11)^5+Assumptions!$C$16*$K985+Assumptions!$C$6*Assumptions!$C$9*(1+Assumptions!$C$12)^5</f>
        <v>871.6174646</v>
      </c>
      <c r="Q985" s="139">
        <f>($L985*(1-(Assumptions!$C$25+0.06*(1-1))-Assumptions!$C$27)-Assumptions!$C$28)-MAX(0,($L985*(1-(Assumptions!$C$25+0.06*(1-1))-Assumptions!$C$27)-Assumptions!$C$28)*Assumptions!$C$31)+Assumptions!$C$28-Assumptions!$C$29-$L985*Assumptions!$C$30</f>
        <v>93.17227251</v>
      </c>
      <c r="R985" s="139">
        <f>($M985*(1-(Assumptions!$C$25+0.06*(1-$H985))-Assumptions!$C$27)-Assumptions!$C$28)-MAX(0,($M985*(1-(Assumptions!$C$25+0.06*(1-$H985))-Assumptions!$C$27)-Assumptions!$C$28)*Assumptions!$C$31)+Assumptions!$C$28-Assumptions!$C$29-$M985*Assumptions!$C$30</f>
        <v>99.34989628</v>
      </c>
      <c r="S985" s="139">
        <f>($N985*(1-(Assumptions!$C$25+0.06*(1-$I985))-Assumptions!$C$27)-Assumptions!$C$28)-MAX(0,($N985*(1-(Assumptions!$C$25+0.06*(1-$I985))-Assumptions!$C$27)-Assumptions!$C$28)*Assumptions!$C$31)+Assumptions!$C$28-Assumptions!$C$29-$N985*Assumptions!$C$30</f>
        <v>105.8506149</v>
      </c>
      <c r="T985" s="139">
        <f>($O985*(1-(Assumptions!$C$25+0.06*(1-$J985))-Assumptions!$C$27)-Assumptions!$C$28)-MAX(0,($O985*(1-(Assumptions!$C$25+0.06*(1-$J985))-Assumptions!$C$27)-Assumptions!$C$28)*Assumptions!$C$31)+Assumptions!$C$28-Assumptions!$C$29-$O985*Assumptions!$C$30</f>
        <v>112.6932475</v>
      </c>
      <c r="U985" s="139">
        <f>($P985*(1-(Assumptions!$C$25+0.06*(1-$K985))-Assumptions!$C$27)-Assumptions!$C$28)-MAX(0,($P985*(1-(Assumptions!$C$25+0.06*(1-$K985))-Assumptions!$C$27)-Assumptions!$C$28)*Assumptions!$C$31)+Assumptions!$C$28-Assumptions!$C$29-$P985*Assumptions!$C$30</f>
        <v>119.8977549</v>
      </c>
      <c r="V985" s="143">
        <f>(($Q985/(1+$D985)^1+$R985/(1+$D985)^2+$S985/(1+$D985)^3+$T985/(1+$D985)^4+$U985/(1+$D985)^5+$U985*(1+$E985)/($D985-$E985)/(1+$D985)^5)-Assumptions!$C$37)/Assumptions!$C$40/Assumptions!$C$38</f>
        <v>5.251297633</v>
      </c>
    </row>
    <row r="986" ht="12.0" customHeight="1">
      <c r="B986" s="139">
        <v>934.0</v>
      </c>
      <c r="C986" s="140">
        <f t="shared" si="6"/>
        <v>0.113639105</v>
      </c>
      <c r="D986" s="141">
        <f t="shared" si="7"/>
        <v>0.09120674283</v>
      </c>
      <c r="E986" s="141">
        <f t="shared" si="8"/>
        <v>0.01154556782</v>
      </c>
      <c r="F986" s="140">
        <f t="shared" si="9"/>
        <v>0.02702608822</v>
      </c>
      <c r="G986" s="141">
        <f t="shared" si="10"/>
        <v>0.03697473718</v>
      </c>
      <c r="H986" s="142">
        <f t="shared" si="11"/>
        <v>0</v>
      </c>
      <c r="I986" s="142">
        <f t="shared" si="12"/>
        <v>1</v>
      </c>
      <c r="J986" s="142">
        <f t="shared" si="13"/>
        <v>1</v>
      </c>
      <c r="K986" s="142">
        <f t="shared" si="14"/>
        <v>1</v>
      </c>
      <c r="L986" s="139">
        <f>Assumptions!$C$6*Assumptions!$C$7*(1+$G986-0.05*(1-1))^1+Assumptions!$C$6*Assumptions!$C$8*(1+Assumptions!$C$11)^1+Assumptions!$C$16*1+Assumptions!$C$6*Assumptions!$C$9*(1+Assumptions!$C$12)^1</f>
        <v>738.9136965</v>
      </c>
      <c r="M986" s="139">
        <f>Assumptions!$C$6*Assumptions!$C$7*(1+$G986-0.05*(1-$H986))^2+Assumptions!$C$6*Assumptions!$C$8*(1+Assumptions!$C$11)^2+Assumptions!$C$16*$H986+Assumptions!$C$6*Assumptions!$C$9*(1+Assumptions!$C$12)^2</f>
        <v>664.3538598</v>
      </c>
      <c r="N986" s="139">
        <f>Assumptions!$C$6*Assumptions!$C$7*(1+$G986-0.05*(1-$I986))^3+Assumptions!$C$6*Assumptions!$C$8*(1+Assumptions!$C$11)^3+Assumptions!$C$16*$I986+Assumptions!$C$6*Assumptions!$C$9*(1+Assumptions!$C$12)^3</f>
        <v>778.5293008</v>
      </c>
      <c r="O986" s="139">
        <f>Assumptions!$C$6*Assumptions!$C$7*(1+$G986-0.05*(1-$J986))^4+Assumptions!$C$6*Assumptions!$C$8*(1+Assumptions!$C$11)^4+Assumptions!$C$16*$J986+Assumptions!$C$6*Assumptions!$C$9*(1+Assumptions!$C$12)^4</f>
        <v>799.2710936</v>
      </c>
      <c r="P986" s="139">
        <f>Assumptions!$C$6*Assumptions!$C$7*(1+$G986-0.05*(1-$K986))^5+Assumptions!$C$6*Assumptions!$C$8*(1+Assumptions!$C$11)^5+Assumptions!$C$16*$K986+Assumptions!$C$6*Assumptions!$C$9*(1+Assumptions!$C$12)^5</f>
        <v>820.6632959</v>
      </c>
      <c r="Q986" s="139">
        <f>($L986*(1-(Assumptions!$C$25+0.06*(1-1))-Assumptions!$C$27)-Assumptions!$C$28)-MAX(0,($L986*(1-(Assumptions!$C$25+0.06*(1-1))-Assumptions!$C$27)-Assumptions!$C$28)*Assumptions!$C$31)+Assumptions!$C$28-Assumptions!$C$29-$L986*Assumptions!$C$30</f>
        <v>91.36644476</v>
      </c>
      <c r="R986" s="139">
        <f>($M986*(1-(Assumptions!$C$25+0.06*(1-$H986))-Assumptions!$C$27)-Assumptions!$C$28)-MAX(0,($M986*(1-(Assumptions!$C$25+0.06*(1-$H986))-Assumptions!$C$27)-Assumptions!$C$28)*Assumptions!$C$31)+Assumptions!$C$28-Assumptions!$C$29-$M986*Assumptions!$C$30</f>
        <v>32.80138775</v>
      </c>
      <c r="S986" s="139">
        <f>($N986*(1-(Assumptions!$C$25+0.06*(1-$I986))-Assumptions!$C$27)-Assumptions!$C$28)-MAX(0,($N986*(1-(Assumptions!$C$25+0.06*(1-$I986))-Assumptions!$C$27)-Assumptions!$C$28)*Assumptions!$C$31)+Assumptions!$C$28-Assumptions!$C$29-$N986*Assumptions!$C$30</f>
        <v>99.88379967</v>
      </c>
      <c r="T986" s="139">
        <f>($O986*(1-(Assumptions!$C$25+0.06*(1-$J986))-Assumptions!$C$27)-Assumptions!$C$28)-MAX(0,($O986*(1-(Assumptions!$C$25+0.06*(1-$J986))-Assumptions!$C$27)-Assumptions!$C$28)*Assumptions!$C$31)+Assumptions!$C$28-Assumptions!$C$29-$O986*Assumptions!$C$30</f>
        <v>104.3432851</v>
      </c>
      <c r="U986" s="139">
        <f>($P986*(1-(Assumptions!$C$25+0.06*(1-$K986))-Assumptions!$C$27)-Assumptions!$C$28)-MAX(0,($P986*(1-(Assumptions!$C$25+0.06*(1-$K986))-Assumptions!$C$27)-Assumptions!$C$28)*Assumptions!$C$31)+Assumptions!$C$28-Assumptions!$C$29-$P986*Assumptions!$C$30</f>
        <v>108.9426086</v>
      </c>
      <c r="V986" s="143">
        <f>(($Q986/(1+$D986)^1+$R986/(1+$D986)^2+$S986/(1+$D986)^3+$T986/(1+$D986)^4+$U986/(1+$D986)^5+$U986*(1+$E986)/($D986-$E986)/(1+$D986)^5)-Assumptions!$C$37)/Assumptions!$C$40/Assumptions!$C$38</f>
        <v>4.171912438</v>
      </c>
    </row>
    <row r="987" ht="12.0" customHeight="1">
      <c r="B987" s="139">
        <v>935.0</v>
      </c>
      <c r="C987" s="140">
        <f t="shared" si="6"/>
        <v>0.4822123537</v>
      </c>
      <c r="D987" s="141">
        <f t="shared" si="7"/>
        <v>0.09795655934</v>
      </c>
      <c r="E987" s="141">
        <f t="shared" si="8"/>
        <v>0.01173913902</v>
      </c>
      <c r="F987" s="140">
        <f t="shared" si="9"/>
        <v>0.00303301522</v>
      </c>
      <c r="G987" s="141">
        <f t="shared" si="10"/>
        <v>0.03233654176</v>
      </c>
      <c r="H987" s="142">
        <f t="shared" si="11"/>
        <v>0</v>
      </c>
      <c r="I987" s="142">
        <f t="shared" si="12"/>
        <v>1</v>
      </c>
      <c r="J987" s="142">
        <f t="shared" si="13"/>
        <v>1</v>
      </c>
      <c r="K987" s="142">
        <f t="shared" si="14"/>
        <v>1</v>
      </c>
      <c r="L987" s="139">
        <f>Assumptions!$C$6*Assumptions!$C$7*(1+$G987-0.05*(1-1))^1+Assumptions!$C$6*Assumptions!$C$8*(1+Assumptions!$C$11)^1+Assumptions!$C$16*1+Assumptions!$C$6*Assumptions!$C$9*(1+Assumptions!$C$12)^1</f>
        <v>737.35248</v>
      </c>
      <c r="M987" s="139">
        <f>Assumptions!$C$6*Assumptions!$C$7*(1+$G987-0.05*(1-$H987))^2+Assumptions!$C$6*Assumptions!$C$8*(1+Assumptions!$C$11)^2+Assumptions!$C$16*$H987+Assumptions!$C$6*Assumptions!$C$9*(1+Assumptions!$C$12)^2</f>
        <v>661.2793384</v>
      </c>
      <c r="N987" s="139">
        <f>Assumptions!$C$6*Assumptions!$C$7*(1+$G987-0.05*(1-$I987))^3+Assumptions!$C$6*Assumptions!$C$8*(1+Assumptions!$C$11)^3+Assumptions!$C$16*$I987+Assumptions!$C$6*Assumptions!$C$9*(1+Assumptions!$C$12)^3</f>
        <v>773.5153878</v>
      </c>
      <c r="O987" s="139">
        <f>Assumptions!$C$6*Assumptions!$C$7*(1+$G987-0.05*(1-$J987))^4+Assumptions!$C$6*Assumptions!$C$8*(1+Assumptions!$C$11)^4+Assumptions!$C$16*$J987+Assumptions!$C$6*Assumptions!$C$9*(1+Assumptions!$C$12)^4</f>
        <v>792.3541726</v>
      </c>
      <c r="P987" s="139">
        <f>Assumptions!$C$6*Assumptions!$C$7*(1+$G987-0.05*(1-$K987))^5+Assumptions!$C$6*Assumptions!$C$8*(1+Assumptions!$C$11)^5+Assumptions!$C$16*$K987+Assumptions!$C$6*Assumptions!$C$9*(1+Assumptions!$C$12)^5</f>
        <v>811.7174618</v>
      </c>
      <c r="Q987" s="139">
        <f>($L987*(1-(Assumptions!$C$25+0.06*(1-1))-Assumptions!$C$27)-Assumptions!$C$28)-MAX(0,($L987*(1-(Assumptions!$C$25+0.06*(1-1))-Assumptions!$C$27)-Assumptions!$C$28)*Assumptions!$C$31)+Assumptions!$C$28-Assumptions!$C$29-$L987*Assumptions!$C$30</f>
        <v>91.03078319</v>
      </c>
      <c r="R987" s="139">
        <f>($M987*(1-(Assumptions!$C$25+0.06*(1-$H987))-Assumptions!$C$27)-Assumptions!$C$28)-MAX(0,($M987*(1-(Assumptions!$C$25+0.06*(1-$H987))-Assumptions!$C$27)-Assumptions!$C$28)*Assumptions!$C$31)+Assumptions!$C$28-Assumptions!$C$29-$M987*Assumptions!$C$30</f>
        <v>32.09424782</v>
      </c>
      <c r="S987" s="139">
        <f>($N987*(1-(Assumptions!$C$25+0.06*(1-$I987))-Assumptions!$C$27)-Assumptions!$C$28)-MAX(0,($N987*(1-(Assumptions!$C$25+0.06*(1-$I987))-Assumptions!$C$27)-Assumptions!$C$28)*Assumptions!$C$31)+Assumptions!$C$28-Assumptions!$C$29-$N987*Assumptions!$C$30</f>
        <v>98.80580837</v>
      </c>
      <c r="T987" s="139">
        <f>($O987*(1-(Assumptions!$C$25+0.06*(1-$J987))-Assumptions!$C$27)-Assumptions!$C$28)-MAX(0,($O987*(1-(Assumptions!$C$25+0.06*(1-$J987))-Assumptions!$C$27)-Assumptions!$C$28)*Assumptions!$C$31)+Assumptions!$C$28-Assumptions!$C$29-$O987*Assumptions!$C$30</f>
        <v>102.8561471</v>
      </c>
      <c r="U987" s="139">
        <f>($P987*(1-(Assumptions!$C$25+0.06*(1-$K987))-Assumptions!$C$27)-Assumptions!$C$28)-MAX(0,($P987*(1-(Assumptions!$C$25+0.06*(1-$K987))-Assumptions!$C$27)-Assumptions!$C$28)*Assumptions!$C$31)+Assumptions!$C$28-Assumptions!$C$29-$P987*Assumptions!$C$30</f>
        <v>107.0192543</v>
      </c>
      <c r="V987" s="143">
        <f>(($Q987/(1+$D987)^1+$R987/(1+$D987)^2+$S987/(1+$D987)^3+$T987/(1+$D987)^4+$U987/(1+$D987)^5+$U987*(1+$E987)/($D987-$E987)/(1+$D987)^5)-Assumptions!$C$37)/Assumptions!$C$40/Assumptions!$C$38</f>
        <v>3.257319163</v>
      </c>
    </row>
    <row r="988" ht="12.0" customHeight="1">
      <c r="B988" s="139">
        <v>936.0</v>
      </c>
      <c r="C988" s="140">
        <f t="shared" si="6"/>
        <v>0.5949341092</v>
      </c>
      <c r="D988" s="141">
        <f t="shared" si="7"/>
        <v>0.09992545308</v>
      </c>
      <c r="E988" s="141">
        <f t="shared" si="8"/>
        <v>0.01219983051</v>
      </c>
      <c r="F988" s="140">
        <f t="shared" si="9"/>
        <v>0.2235963489</v>
      </c>
      <c r="G988" s="141">
        <f t="shared" si="10"/>
        <v>0.0500617404</v>
      </c>
      <c r="H988" s="142">
        <f t="shared" si="11"/>
        <v>1</v>
      </c>
      <c r="I988" s="142">
        <f t="shared" si="12"/>
        <v>1</v>
      </c>
      <c r="J988" s="142">
        <f t="shared" si="13"/>
        <v>1</v>
      </c>
      <c r="K988" s="142">
        <f t="shared" si="14"/>
        <v>0</v>
      </c>
      <c r="L988" s="139">
        <f>Assumptions!$C$6*Assumptions!$C$7*(1+$G988-0.05*(1-1))^1+Assumptions!$C$6*Assumptions!$C$8*(1+Assumptions!$C$11)^1+Assumptions!$C$16*1+Assumptions!$C$6*Assumptions!$C$9*(1+Assumptions!$C$12)^1</f>
        <v>743.3187818</v>
      </c>
      <c r="M988" s="139">
        <f>Assumptions!$C$6*Assumptions!$C$7*(1+$G988-0.05*(1-$H988))^2+Assumptions!$C$6*Assumptions!$C$8*(1+Assumptions!$C$11)^2+Assumptions!$C$16*$H988+Assumptions!$C$6*Assumptions!$C$9*(1+Assumptions!$C$12)^2</f>
        <v>767.6105031</v>
      </c>
      <c r="N988" s="139">
        <f>Assumptions!$C$6*Assumptions!$C$7*(1+$G988-0.05*(1-$I988))^3+Assumptions!$C$6*Assumptions!$C$8*(1+Assumptions!$C$11)^3+Assumptions!$C$16*$I988+Assumptions!$C$6*Assumptions!$C$9*(1+Assumptions!$C$12)^3</f>
        <v>792.9199821</v>
      </c>
      <c r="O988" s="139">
        <f>Assumptions!$C$6*Assumptions!$C$7*(1+$G988-0.05*(1-$J988))^4+Assumptions!$C$6*Assumptions!$C$8*(1+Assumptions!$C$11)^4+Assumptions!$C$16*$J988+Assumptions!$C$6*Assumptions!$C$9*(1+Assumptions!$C$12)^4</f>
        <v>819.294203</v>
      </c>
      <c r="P988" s="139">
        <f>Assumptions!$C$6*Assumptions!$C$7*(1+$G988-0.05*(1-$K988))^5+Assumptions!$C$6*Assumptions!$C$8*(1+Assumptions!$C$11)^5+Assumptions!$C$16*$K988+Assumptions!$C$6*Assumptions!$C$9*(1+Assumptions!$C$12)^5</f>
        <v>693.7636537</v>
      </c>
      <c r="Q988" s="139">
        <f>($L988*(1-(Assumptions!$C$25+0.06*(1-1))-Assumptions!$C$27)-Assumptions!$C$28)-MAX(0,($L988*(1-(Assumptions!$C$25+0.06*(1-1))-Assumptions!$C$27)-Assumptions!$C$28)*Assumptions!$C$31)+Assumptions!$C$28-Assumptions!$C$29-$L988*Assumptions!$C$30</f>
        <v>92.31353809</v>
      </c>
      <c r="R988" s="139">
        <f>($M988*(1-(Assumptions!$C$25+0.06*(1-$H988))-Assumptions!$C$27)-Assumptions!$C$28)-MAX(0,($M988*(1-(Assumptions!$C$25+0.06*(1-$H988))-Assumptions!$C$27)-Assumptions!$C$28)*Assumptions!$C$31)+Assumptions!$C$28-Assumptions!$C$29-$M988*Assumptions!$C$30</f>
        <v>97.53625817</v>
      </c>
      <c r="S988" s="139">
        <f>($N988*(1-(Assumptions!$C$25+0.06*(1-$I988))-Assumptions!$C$27)-Assumptions!$C$28)-MAX(0,($N988*(1-(Assumptions!$C$25+0.06*(1-$I988))-Assumptions!$C$27)-Assumptions!$C$28)*Assumptions!$C$31)+Assumptions!$C$28-Assumptions!$C$29-$N988*Assumptions!$C$30</f>
        <v>102.9777962</v>
      </c>
      <c r="T988" s="139">
        <f>($O988*(1-(Assumptions!$C$25+0.06*(1-$J988))-Assumptions!$C$27)-Assumptions!$C$28)-MAX(0,($O988*(1-(Assumptions!$C$25+0.06*(1-$J988))-Assumptions!$C$27)-Assumptions!$C$28)*Assumptions!$C$31)+Assumptions!$C$28-Assumptions!$C$29-$O988*Assumptions!$C$30</f>
        <v>108.6482536</v>
      </c>
      <c r="U988" s="139">
        <f>($P988*(1-(Assumptions!$C$25+0.06*(1-$K988))-Assumptions!$C$27)-Assumptions!$C$28)-MAX(0,($P988*(1-(Assumptions!$C$25+0.06*(1-$K988))-Assumptions!$C$27)-Assumptions!$C$28)*Assumptions!$C$31)+Assumptions!$C$28-Assumptions!$C$29-$P988*Assumptions!$C$30</f>
        <v>39.56564035</v>
      </c>
      <c r="V988" s="143">
        <f>(($Q988/(1+$D988)^1+$R988/(1+$D988)^2+$S988/(1+$D988)^3+$T988/(1+$D988)^4+$U988/(1+$D988)^5+$U988*(1+$E988)/($D988-$E988)/(1+$D988)^5)-Assumptions!$C$37)/Assumptions!$C$40/Assumptions!$C$38</f>
        <v>-0.5260443861</v>
      </c>
    </row>
    <row r="989" ht="12.0" customHeight="1">
      <c r="B989" s="139">
        <v>937.0</v>
      </c>
      <c r="C989" s="140">
        <f t="shared" si="6"/>
        <v>0.7529339096</v>
      </c>
      <c r="D989" s="141">
        <f t="shared" si="7"/>
        <v>0.1032269767</v>
      </c>
      <c r="E989" s="141">
        <f t="shared" si="8"/>
        <v>0.0100520265</v>
      </c>
      <c r="F989" s="140">
        <f t="shared" si="9"/>
        <v>0.4951343035</v>
      </c>
      <c r="G989" s="141">
        <f t="shared" si="10"/>
        <v>0.05985367224</v>
      </c>
      <c r="H989" s="142">
        <f t="shared" si="11"/>
        <v>0</v>
      </c>
      <c r="I989" s="142">
        <f t="shared" si="12"/>
        <v>0</v>
      </c>
      <c r="J989" s="142">
        <f t="shared" si="13"/>
        <v>1</v>
      </c>
      <c r="K989" s="142">
        <f t="shared" si="14"/>
        <v>1</v>
      </c>
      <c r="L989" s="139">
        <f>Assumptions!$C$6*Assumptions!$C$7*(1+$G989-0.05*(1-1))^1+Assumptions!$C$6*Assumptions!$C$8*(1+Assumptions!$C$11)^1+Assumptions!$C$16*1+Assumptions!$C$6*Assumptions!$C$9*(1+Assumptions!$C$12)^1</f>
        <v>746.6147461</v>
      </c>
      <c r="M989" s="139">
        <f>Assumptions!$C$6*Assumptions!$C$7*(1+$G989-0.05*(1-$H989))^2+Assumptions!$C$6*Assumptions!$C$8*(1+Assumptions!$C$11)^2+Assumptions!$C$16*$H989+Assumptions!$C$6*Assumptions!$C$9*(1+Assumptions!$C$12)^2</f>
        <v>679.7315343</v>
      </c>
      <c r="N989" s="139">
        <f>Assumptions!$C$6*Assumptions!$C$7*(1+$G989-0.05*(1-$I989))^3+Assumptions!$C$6*Assumptions!$C$8*(1+Assumptions!$C$11)^3+Assumptions!$C$16*$I989+Assumptions!$C$6*Assumptions!$C$9*(1+Assumptions!$C$12)^3</f>
        <v>689.8432739</v>
      </c>
      <c r="O989" s="139">
        <f>Assumptions!$C$6*Assumptions!$C$7*(1+$G989-0.05*(1-$J989))^4+Assumptions!$C$6*Assumptions!$C$8*(1+Assumptions!$C$11)^4+Assumptions!$C$16*$J989+Assumptions!$C$6*Assumptions!$C$9*(1+Assumptions!$C$12)^4</f>
        <v>834.773705</v>
      </c>
      <c r="P989" s="139">
        <f>Assumptions!$C$6*Assumptions!$C$7*(1+$G989-0.05*(1-$K989))^5+Assumptions!$C$6*Assumptions!$C$8*(1+Assumptions!$C$11)^5+Assumptions!$C$16*$K989+Assumptions!$C$6*Assumptions!$C$9*(1+Assumptions!$C$12)^5</f>
        <v>867.1956373</v>
      </c>
      <c r="Q989" s="139">
        <f>($L989*(1-(Assumptions!$C$25+0.06*(1-1))-Assumptions!$C$27)-Assumptions!$C$28)-MAX(0,($L989*(1-(Assumptions!$C$25+0.06*(1-1))-Assumptions!$C$27)-Assumptions!$C$28)*Assumptions!$C$31)+Assumptions!$C$28-Assumptions!$C$29-$L989*Assumptions!$C$30</f>
        <v>93.02217041</v>
      </c>
      <c r="R989" s="139">
        <f>($M989*(1-(Assumptions!$C$25+0.06*(1-$H989))-Assumptions!$C$27)-Assumptions!$C$28)-MAX(0,($M989*(1-(Assumptions!$C$25+0.06*(1-$H989))-Assumptions!$C$27)-Assumptions!$C$28)*Assumptions!$C$31)+Assumptions!$C$28-Assumptions!$C$29-$M989*Assumptions!$C$30</f>
        <v>36.33825288</v>
      </c>
      <c r="S989" s="139">
        <f>($N989*(1-(Assumptions!$C$25+0.06*(1-$I989))-Assumptions!$C$27)-Assumptions!$C$28)-MAX(0,($N989*(1-(Assumptions!$C$25+0.06*(1-$I989))-Assumptions!$C$27)-Assumptions!$C$28)*Assumptions!$C$31)+Assumptions!$C$28-Assumptions!$C$29-$N989*Assumptions!$C$30</f>
        <v>38.66395299</v>
      </c>
      <c r="T989" s="139">
        <f>($O989*(1-(Assumptions!$C$25+0.06*(1-$J989))-Assumptions!$C$27)-Assumptions!$C$28)-MAX(0,($O989*(1-(Assumptions!$C$25+0.06*(1-$J989))-Assumptions!$C$27)-Assumptions!$C$28)*Assumptions!$C$31)+Assumptions!$C$28-Assumptions!$C$29-$O989*Assumptions!$C$30</f>
        <v>111.9763466</v>
      </c>
      <c r="U989" s="139">
        <f>($P989*(1-(Assumptions!$C$25+0.06*(1-$K989))-Assumptions!$C$27)-Assumptions!$C$28)-MAX(0,($P989*(1-(Assumptions!$C$25+0.06*(1-$K989))-Assumptions!$C$27)-Assumptions!$C$28)*Assumptions!$C$31)+Assumptions!$C$28-Assumptions!$C$29-$P989*Assumptions!$C$30</f>
        <v>118.947062</v>
      </c>
      <c r="V989" s="143">
        <f>(($Q989/(1+$D989)^1+$R989/(1+$D989)^2+$S989/(1+$D989)^3+$T989/(1+$D989)^4+$U989/(1+$D989)^5+$U989*(1+$E989)/($D989-$E989)/(1+$D989)^5)-Assumptions!$C$37)/Assumptions!$C$40/Assumptions!$C$38</f>
        <v>3.032907903</v>
      </c>
    </row>
    <row r="990" ht="12.0" customHeight="1">
      <c r="B990" s="139">
        <v>938.0</v>
      </c>
      <c r="C990" s="140">
        <f t="shared" si="6"/>
        <v>0.2224470456</v>
      </c>
      <c r="D990" s="141">
        <f t="shared" si="7"/>
        <v>0.09368386714</v>
      </c>
      <c r="E990" s="141">
        <f t="shared" si="8"/>
        <v>0.02135843213</v>
      </c>
      <c r="F990" s="140">
        <f t="shared" si="9"/>
        <v>0.057574101</v>
      </c>
      <c r="G990" s="141">
        <f t="shared" si="10"/>
        <v>0.04018004822</v>
      </c>
      <c r="H990" s="142">
        <f t="shared" si="11"/>
        <v>1</v>
      </c>
      <c r="I990" s="142">
        <f t="shared" si="12"/>
        <v>1</v>
      </c>
      <c r="J990" s="142">
        <f t="shared" si="13"/>
        <v>0</v>
      </c>
      <c r="K990" s="142">
        <f t="shared" si="14"/>
        <v>1</v>
      </c>
      <c r="L990" s="139">
        <f>Assumptions!$C$6*Assumptions!$C$7*(1+$G990-0.05*(1-1))^1+Assumptions!$C$6*Assumptions!$C$8*(1+Assumptions!$C$11)^1+Assumptions!$C$16*1+Assumptions!$C$6*Assumptions!$C$9*(1+Assumptions!$C$12)^1</f>
        <v>739.9926042</v>
      </c>
      <c r="M990" s="139">
        <f>Assumptions!$C$6*Assumptions!$C$7*(1+$G990-0.05*(1-$H990))^2+Assumptions!$C$6*Assumptions!$C$8*(1+Assumptions!$C$11)^2+Assumptions!$C$16*$H990+Assumptions!$C$6*Assumptions!$C$9*(1+Assumptions!$C$12)^2</f>
        <v>760.6579877</v>
      </c>
      <c r="N990" s="139">
        <f>Assumptions!$C$6*Assumptions!$C$7*(1+$G990-0.05*(1-$I990))^3+Assumptions!$C$6*Assumptions!$C$8*(1+Assumptions!$C$11)^3+Assumptions!$C$16*$I990+Assumptions!$C$6*Assumptions!$C$9*(1+Assumptions!$C$12)^3</f>
        <v>782.0205723</v>
      </c>
      <c r="O990" s="139">
        <f>Assumptions!$C$6*Assumptions!$C$7*(1+$G990-0.05*(1-$J990))^4+Assumptions!$C$6*Assumptions!$C$8*(1+Assumptions!$C$11)^4+Assumptions!$C$16*$J990+Assumptions!$C$6*Assumptions!$C$9*(1+Assumptions!$C$12)^4</f>
        <v>673.6304586</v>
      </c>
      <c r="P990" s="139">
        <f>Assumptions!$C$6*Assumptions!$C$7*(1+$G990-0.05*(1-$K990))^5+Assumptions!$C$6*Assumptions!$C$8*(1+Assumptions!$C$11)^5+Assumptions!$C$16*$K990+Assumptions!$C$6*Assumptions!$C$9*(1+Assumptions!$C$12)^5</f>
        <v>826.9397134</v>
      </c>
      <c r="Q990" s="139">
        <f>($L990*(1-(Assumptions!$C$25+0.06*(1-1))-Assumptions!$C$27)-Assumptions!$C$28)-MAX(0,($L990*(1-(Assumptions!$C$25+0.06*(1-1))-Assumptions!$C$27)-Assumptions!$C$28)*Assumptions!$C$31)+Assumptions!$C$28-Assumptions!$C$29-$L990*Assumptions!$C$30</f>
        <v>91.59840991</v>
      </c>
      <c r="R990" s="139">
        <f>($M990*(1-(Assumptions!$C$25+0.06*(1-$H990))-Assumptions!$C$27)-Assumptions!$C$28)-MAX(0,($M990*(1-(Assumptions!$C$25+0.06*(1-$H990))-Assumptions!$C$27)-Assumptions!$C$28)*Assumptions!$C$31)+Assumptions!$C$28-Assumptions!$C$29-$M990*Assumptions!$C$30</f>
        <v>96.04146736</v>
      </c>
      <c r="S990" s="139">
        <f>($N990*(1-(Assumptions!$C$25+0.06*(1-$I990))-Assumptions!$C$27)-Assumptions!$C$28)-MAX(0,($N990*(1-(Assumptions!$C$25+0.06*(1-$I990))-Assumptions!$C$27)-Assumptions!$C$28)*Assumptions!$C$31)+Assumptions!$C$28-Assumptions!$C$29-$N990*Assumptions!$C$30</f>
        <v>100.634423</v>
      </c>
      <c r="T990" s="139">
        <f>($O990*(1-(Assumptions!$C$25+0.06*(1-$J990))-Assumptions!$C$27)-Assumptions!$C$28)-MAX(0,($O990*(1-(Assumptions!$C$25+0.06*(1-$J990))-Assumptions!$C$27)-Assumptions!$C$28)*Assumptions!$C$31)+Assumptions!$C$28-Assumptions!$C$29-$O990*Assumptions!$C$30</f>
        <v>34.93500547</v>
      </c>
      <c r="U990" s="139">
        <f>($P990*(1-(Assumptions!$C$25+0.06*(1-$K990))-Assumptions!$C$27)-Assumptions!$C$28)-MAX(0,($P990*(1-(Assumptions!$C$25+0.06*(1-$K990))-Assumptions!$C$27)-Assumptions!$C$28)*Assumptions!$C$31)+Assumptions!$C$28-Assumptions!$C$29-$P990*Assumptions!$C$30</f>
        <v>110.2920384</v>
      </c>
      <c r="V990" s="143">
        <f>(($Q990/(1+$D990)^1+$R990/(1+$D990)^2+$S990/(1+$D990)^3+$T990/(1+$D990)^4+$U990/(1+$D990)^5+$U990*(1+$E990)/($D990-$E990)/(1+$D990)^5)-Assumptions!$C$37)/Assumptions!$C$40/Assumptions!$C$38</f>
        <v>4.990731944</v>
      </c>
    </row>
    <row r="991" ht="12.0" customHeight="1">
      <c r="B991" s="139">
        <v>939.0</v>
      </c>
      <c r="C991" s="140">
        <f t="shared" si="6"/>
        <v>0.5542531017</v>
      </c>
      <c r="D991" s="141">
        <f t="shared" si="7"/>
        <v>0.09918658766</v>
      </c>
      <c r="E991" s="141">
        <f t="shared" si="8"/>
        <v>0.01123995151</v>
      </c>
      <c r="F991" s="140">
        <f t="shared" si="9"/>
        <v>0.1117416625</v>
      </c>
      <c r="G991" s="141">
        <f t="shared" si="10"/>
        <v>0.0441822069</v>
      </c>
      <c r="H991" s="142">
        <f t="shared" si="11"/>
        <v>1</v>
      </c>
      <c r="I991" s="142">
        <f t="shared" si="12"/>
        <v>0</v>
      </c>
      <c r="J991" s="142">
        <f t="shared" si="13"/>
        <v>0</v>
      </c>
      <c r="K991" s="142">
        <f t="shared" si="14"/>
        <v>0</v>
      </c>
      <c r="L991" s="139">
        <f>Assumptions!$C$6*Assumptions!$C$7*(1+$G991-0.05*(1-1))^1+Assumptions!$C$6*Assumptions!$C$8*(1+Assumptions!$C$11)^1+Assumptions!$C$16*1+Assumptions!$C$6*Assumptions!$C$9*(1+Assumptions!$C$12)^1</f>
        <v>741.3397308</v>
      </c>
      <c r="M991" s="139">
        <f>Assumptions!$C$6*Assumptions!$C$7*(1+$G991-0.05*(1-$H991))^2+Assumptions!$C$6*Assumptions!$C$8*(1+Assumptions!$C$11)^2+Assumptions!$C$16*$H991+Assumptions!$C$6*Assumptions!$C$9*(1+Assumptions!$C$12)^2</f>
        <v>763.4658876</v>
      </c>
      <c r="N991" s="139">
        <f>Assumptions!$C$6*Assumptions!$C$7*(1+$G991-0.05*(1-$I991))^3+Assumptions!$C$6*Assumptions!$C$8*(1+Assumptions!$C$11)^3+Assumptions!$C$16*$I991+Assumptions!$C$6*Assumptions!$C$9*(1+Assumptions!$C$12)^3</f>
        <v>673.9539719</v>
      </c>
      <c r="O991" s="139">
        <f>Assumptions!$C$6*Assumptions!$C$7*(1+$G991-0.05*(1-$J991))^4+Assumptions!$C$6*Assumptions!$C$8*(1+Assumptions!$C$11)^4+Assumptions!$C$16*$J991+Assumptions!$C$6*Assumptions!$C$9*(1+Assumptions!$C$12)^4</f>
        <v>678.893576</v>
      </c>
      <c r="P991" s="139">
        <f>Assumptions!$C$6*Assumptions!$C$7*(1+$G991-0.05*(1-$K991))^5+Assumptions!$C$6*Assumptions!$C$8*(1+Assumptions!$C$11)^5+Assumptions!$C$16*$K991+Assumptions!$C$6*Assumptions!$C$9*(1+Assumptions!$C$12)^5</f>
        <v>683.9816531</v>
      </c>
      <c r="Q991" s="139">
        <f>($L991*(1-(Assumptions!$C$25+0.06*(1-1))-Assumptions!$C$27)-Assumptions!$C$28)-MAX(0,($L991*(1-(Assumptions!$C$25+0.06*(1-1))-Assumptions!$C$27)-Assumptions!$C$28)*Assumptions!$C$31)+Assumptions!$C$28-Assumptions!$C$29-$L991*Assumptions!$C$30</f>
        <v>91.88804213</v>
      </c>
      <c r="R991" s="139">
        <f>($M991*(1-(Assumptions!$C$25+0.06*(1-$H991))-Assumptions!$C$27)-Assumptions!$C$28)-MAX(0,($M991*(1-(Assumptions!$C$25+0.06*(1-$H991))-Assumptions!$C$27)-Assumptions!$C$28)*Assumptions!$C$31)+Assumptions!$C$28-Assumptions!$C$29-$M991*Assumptions!$C$30</f>
        <v>96.64516583</v>
      </c>
      <c r="S991" s="139">
        <f>($N991*(1-(Assumptions!$C$25+0.06*(1-$I991))-Assumptions!$C$27)-Assumptions!$C$28)-MAX(0,($N991*(1-(Assumptions!$C$25+0.06*(1-$I991))-Assumptions!$C$27)-Assumptions!$C$28)*Assumptions!$C$31)+Assumptions!$C$28-Assumptions!$C$29-$N991*Assumptions!$C$30</f>
        <v>35.00941353</v>
      </c>
      <c r="T991" s="139">
        <f>($O991*(1-(Assumptions!$C$25+0.06*(1-$J991))-Assumptions!$C$27)-Assumptions!$C$28)-MAX(0,($O991*(1-(Assumptions!$C$25+0.06*(1-$J991))-Assumptions!$C$27)-Assumptions!$C$28)*Assumptions!$C$31)+Assumptions!$C$28-Assumptions!$C$29-$O991*Assumptions!$C$30</f>
        <v>36.14552248</v>
      </c>
      <c r="U991" s="139">
        <f>($P991*(1-(Assumptions!$C$25+0.06*(1-$K991))-Assumptions!$C$27)-Assumptions!$C$28)-MAX(0,($P991*(1-(Assumptions!$C$25+0.06*(1-$K991))-Assumptions!$C$27)-Assumptions!$C$28)*Assumptions!$C$31)+Assumptions!$C$28-Assumptions!$C$29-$P991*Assumptions!$C$30</f>
        <v>37.31578022</v>
      </c>
      <c r="V991" s="143">
        <f>(($Q991/(1+$D991)^1+$R991/(1+$D991)^2+$S991/(1+$D991)^3+$T991/(1+$D991)^4+$U991/(1+$D991)^5+$U991*(1+$E991)/($D991-$E991)/(1+$D991)^5)-Assumptions!$C$37)/Assumptions!$C$40/Assumptions!$C$38</f>
        <v>-1.454106235</v>
      </c>
    </row>
    <row r="992" ht="12.0" customHeight="1">
      <c r="B992" s="139">
        <v>940.0</v>
      </c>
      <c r="C992" s="140">
        <f t="shared" si="6"/>
        <v>0.2796490955</v>
      </c>
      <c r="D992" s="141">
        <f t="shared" si="7"/>
        <v>0.09473658274</v>
      </c>
      <c r="E992" s="141">
        <f t="shared" si="8"/>
        <v>0.02580747018</v>
      </c>
      <c r="F992" s="140">
        <f t="shared" si="9"/>
        <v>0.9162778479</v>
      </c>
      <c r="G992" s="141">
        <f t="shared" si="10"/>
        <v>0.07772401231</v>
      </c>
      <c r="H992" s="142">
        <f t="shared" si="11"/>
        <v>1</v>
      </c>
      <c r="I992" s="142">
        <f t="shared" si="12"/>
        <v>0</v>
      </c>
      <c r="J992" s="142">
        <f t="shared" si="13"/>
        <v>1</v>
      </c>
      <c r="K992" s="142">
        <f t="shared" si="14"/>
        <v>1</v>
      </c>
      <c r="L992" s="139">
        <f>Assumptions!$C$6*Assumptions!$C$7*(1+$G992-0.05*(1-1))^1+Assumptions!$C$6*Assumptions!$C$8*(1+Assumptions!$C$11)^1+Assumptions!$C$16*1+Assumptions!$C$6*Assumptions!$C$9*(1+Assumptions!$C$12)^1</f>
        <v>752.6299025</v>
      </c>
      <c r="M992" s="139">
        <f>Assumptions!$C$6*Assumptions!$C$7*(1+$G992-0.05*(1-$H992))^2+Assumptions!$C$6*Assumptions!$C$8*(1+Assumptions!$C$11)^2+Assumptions!$C$16*$H992+Assumptions!$C$6*Assumptions!$C$9*(1+Assumptions!$C$12)^2</f>
        <v>787.4225731</v>
      </c>
      <c r="N992" s="139">
        <f>Assumptions!$C$6*Assumptions!$C$7*(1+$G992-0.05*(1-$I992))^3+Assumptions!$C$6*Assumptions!$C$8*(1+Assumptions!$C$11)^3+Assumptions!$C$16*$I992+Assumptions!$C$6*Assumptions!$C$9*(1+Assumptions!$C$12)^3</f>
        <v>708.5737009</v>
      </c>
      <c r="O992" s="139">
        <f>Assumptions!$C$6*Assumptions!$C$7*(1+$G992-0.05*(1-$J992))^4+Assumptions!$C$6*Assumptions!$C$8*(1+Assumptions!$C$11)^4+Assumptions!$C$16*$J992+Assumptions!$C$6*Assumptions!$C$9*(1+Assumptions!$C$12)^4</f>
        <v>864.1510813</v>
      </c>
      <c r="P992" s="139">
        <f>Assumptions!$C$6*Assumptions!$C$7*(1+$G992-0.05*(1-$K992))^5+Assumptions!$C$6*Assumptions!$C$8*(1+Assumptions!$C$11)^5+Assumptions!$C$16*$K992+Assumptions!$C$6*Assumptions!$C$9*(1+Assumptions!$C$12)^5</f>
        <v>906.4461452</v>
      </c>
      <c r="Q992" s="139">
        <f>($L992*(1-(Assumptions!$C$25+0.06*(1-1))-Assumptions!$C$27)-Assumptions!$C$28)-MAX(0,($L992*(1-(Assumptions!$C$25+0.06*(1-1))-Assumptions!$C$27)-Assumptions!$C$28)*Assumptions!$C$31)+Assumptions!$C$28-Assumptions!$C$29-$L992*Assumptions!$C$30</f>
        <v>94.31542905</v>
      </c>
      <c r="R992" s="139">
        <f>($M992*(1-(Assumptions!$C$25+0.06*(1-$H992))-Assumptions!$C$27)-Assumptions!$C$28)-MAX(0,($M992*(1-(Assumptions!$C$25+0.06*(1-$H992))-Assumptions!$C$27)-Assumptions!$C$28)*Assumptions!$C$31)+Assumptions!$C$28-Assumptions!$C$29-$M992*Assumptions!$C$30</f>
        <v>101.7958532</v>
      </c>
      <c r="S992" s="139">
        <f>($N992*(1-(Assumptions!$C$25+0.06*(1-$I992))-Assumptions!$C$27)-Assumptions!$C$28)-MAX(0,($N992*(1-(Assumptions!$C$25+0.06*(1-$I992))-Assumptions!$C$27)-Assumptions!$C$28)*Assumptions!$C$31)+Assumptions!$C$28-Assumptions!$C$29-$N992*Assumptions!$C$30</f>
        <v>42.9719512</v>
      </c>
      <c r="T992" s="139">
        <f>($O992*(1-(Assumptions!$C$25+0.06*(1-$J992))-Assumptions!$C$27)-Assumptions!$C$28)-MAX(0,($O992*(1-(Assumptions!$C$25+0.06*(1-$J992))-Assumptions!$C$27)-Assumptions!$C$28)*Assumptions!$C$31)+Assumptions!$C$28-Assumptions!$C$29-$O992*Assumptions!$C$30</f>
        <v>118.2924825</v>
      </c>
      <c r="U992" s="139">
        <f>($P992*(1-(Assumptions!$C$25+0.06*(1-$K992))-Assumptions!$C$27)-Assumptions!$C$28)-MAX(0,($P992*(1-(Assumptions!$C$25+0.06*(1-$K992))-Assumptions!$C$27)-Assumptions!$C$28)*Assumptions!$C$31)+Assumptions!$C$28-Assumptions!$C$29-$P992*Assumptions!$C$30</f>
        <v>127.3859212</v>
      </c>
      <c r="V992" s="143">
        <f>(($Q992/(1+$D992)^1+$R992/(1+$D992)^2+$S992/(1+$D992)^3+$T992/(1+$D992)^4+$U992/(1+$D992)^5+$U992*(1+$E992)/($D992-$E992)/(1+$D992)^5)-Assumptions!$C$37)/Assumptions!$C$40/Assumptions!$C$38</f>
        <v>6.876976156</v>
      </c>
    </row>
    <row r="993" ht="12.0" customHeight="1">
      <c r="B993" s="139">
        <v>941.0</v>
      </c>
      <c r="C993" s="140">
        <f t="shared" si="6"/>
        <v>0.7370165423</v>
      </c>
      <c r="D993" s="141">
        <f t="shared" si="7"/>
        <v>0.1028536541</v>
      </c>
      <c r="E993" s="141">
        <f t="shared" si="8"/>
        <v>0.02551153637</v>
      </c>
      <c r="F993" s="140">
        <f t="shared" si="9"/>
        <v>0.2760156685</v>
      </c>
      <c r="G993" s="141">
        <f t="shared" si="10"/>
        <v>0.05228964341</v>
      </c>
      <c r="H993" s="142">
        <f t="shared" si="11"/>
        <v>0</v>
      </c>
      <c r="I993" s="142">
        <f t="shared" si="12"/>
        <v>0</v>
      </c>
      <c r="J993" s="142">
        <f t="shared" si="13"/>
        <v>1</v>
      </c>
      <c r="K993" s="142">
        <f t="shared" si="14"/>
        <v>1</v>
      </c>
      <c r="L993" s="139">
        <f>Assumptions!$C$6*Assumptions!$C$7*(1+$G993-0.05*(1-1))^1+Assumptions!$C$6*Assumptions!$C$8*(1+Assumptions!$C$11)^1+Assumptions!$C$16*1+Assumptions!$C$6*Assumptions!$C$9*(1+Assumptions!$C$12)^1</f>
        <v>744.068694</v>
      </c>
      <c r="M993" s="139">
        <f>Assumptions!$C$6*Assumptions!$C$7*(1+$G993-0.05*(1-$H993))^2+Assumptions!$C$6*Assumptions!$C$8*(1+Assumptions!$C$11)^2+Assumptions!$C$16*$H993+Assumptions!$C$6*Assumptions!$C$9*(1+Assumptions!$C$12)^2</f>
        <v>674.6085126</v>
      </c>
      <c r="N993" s="139">
        <f>Assumptions!$C$6*Assumptions!$C$7*(1+$G993-0.05*(1-$I993))^3+Assumptions!$C$6*Assumptions!$C$8*(1+Assumptions!$C$11)^3+Assumptions!$C$16*$I993+Assumptions!$C$6*Assumptions!$C$9*(1+Assumptions!$C$12)^3</f>
        <v>682.112047</v>
      </c>
      <c r="O993" s="139">
        <f>Assumptions!$C$6*Assumptions!$C$7*(1+$G993-0.05*(1-$J993))^4+Assumptions!$C$6*Assumptions!$C$8*(1+Assumptions!$C$11)^4+Assumptions!$C$16*$J993+Assumptions!$C$6*Assumptions!$C$9*(1+Assumptions!$C$12)^4</f>
        <v>822.7783526</v>
      </c>
      <c r="P993" s="139">
        <f>Assumptions!$C$6*Assumptions!$C$7*(1+$G993-0.05*(1-$K993))^5+Assumptions!$C$6*Assumptions!$C$8*(1+Assumptions!$C$11)^5+Assumptions!$C$16*$K993+Assumptions!$C$6*Assumptions!$C$9*(1+Assumptions!$C$12)^5</f>
        <v>851.3604946</v>
      </c>
      <c r="Q993" s="139">
        <f>($L993*(1-(Assumptions!$C$25+0.06*(1-1))-Assumptions!$C$27)-Assumptions!$C$28)-MAX(0,($L993*(1-(Assumptions!$C$25+0.06*(1-1))-Assumptions!$C$27)-Assumptions!$C$28)*Assumptions!$C$31)+Assumptions!$C$28-Assumptions!$C$29-$L993*Assumptions!$C$30</f>
        <v>92.4747692</v>
      </c>
      <c r="R993" s="139">
        <f>($M993*(1-(Assumptions!$C$25+0.06*(1-$H993))-Assumptions!$C$27)-Assumptions!$C$28)-MAX(0,($M993*(1-(Assumptions!$C$25+0.06*(1-$H993))-Assumptions!$C$27)-Assumptions!$C$28)*Assumptions!$C$31)+Assumptions!$C$28-Assumptions!$C$29-$M993*Assumptions!$C$30</f>
        <v>35.15995789</v>
      </c>
      <c r="S993" s="139">
        <f>($N993*(1-(Assumptions!$C$25+0.06*(1-$I993))-Assumptions!$C$27)-Assumptions!$C$28)-MAX(0,($N993*(1-(Assumptions!$C$25+0.06*(1-$I993))-Assumptions!$C$27)-Assumptions!$C$28)*Assumptions!$C$31)+Assumptions!$C$28-Assumptions!$C$29-$N993*Assumptions!$C$30</f>
        <v>36.88577081</v>
      </c>
      <c r="T993" s="139">
        <f>($O993*(1-(Assumptions!$C$25+0.06*(1-$J993))-Assumptions!$C$27)-Assumptions!$C$28)-MAX(0,($O993*(1-(Assumptions!$C$25+0.06*(1-$J993))-Assumptions!$C$27)-Assumptions!$C$28)*Assumptions!$C$31)+Assumptions!$C$28-Assumptions!$C$29-$O993*Assumptions!$C$30</f>
        <v>109.3973458</v>
      </c>
      <c r="U993" s="139">
        <f>($P993*(1-(Assumptions!$C$25+0.06*(1-$K993))-Assumptions!$C$27)-Assumptions!$C$28)-MAX(0,($P993*(1-(Assumptions!$C$25+0.06*(1-$K993))-Assumptions!$C$27)-Assumptions!$C$28)*Assumptions!$C$31)+Assumptions!$C$28-Assumptions!$C$29-$P993*Assumptions!$C$30</f>
        <v>115.5425063</v>
      </c>
      <c r="V993" s="143">
        <f>(($Q993/(1+$D993)^1+$R993/(1+$D993)^2+$S993/(1+$D993)^3+$T993/(1+$D993)^4+$U993/(1+$D993)^5+$U993*(1+$E993)/($D993-$E993)/(1+$D993)^5)-Assumptions!$C$37)/Assumptions!$C$40/Assumptions!$C$38</f>
        <v>4.154437195</v>
      </c>
    </row>
    <row r="994" ht="12.0" customHeight="1">
      <c r="B994" s="139">
        <v>942.0</v>
      </c>
      <c r="C994" s="140">
        <f t="shared" si="6"/>
        <v>0.5614083656</v>
      </c>
      <c r="D994" s="141">
        <f t="shared" si="7"/>
        <v>0.09931402197</v>
      </c>
      <c r="E994" s="141">
        <f t="shared" si="8"/>
        <v>0.02416523443</v>
      </c>
      <c r="F994" s="140">
        <f t="shared" si="9"/>
        <v>0.3415107685</v>
      </c>
      <c r="G994" s="141">
        <f t="shared" si="10"/>
        <v>0.05479353511</v>
      </c>
      <c r="H994" s="142">
        <f t="shared" si="11"/>
        <v>1</v>
      </c>
      <c r="I994" s="142">
        <f t="shared" si="12"/>
        <v>0</v>
      </c>
      <c r="J994" s="142">
        <f t="shared" si="13"/>
        <v>1</v>
      </c>
      <c r="K994" s="142">
        <f t="shared" si="14"/>
        <v>0</v>
      </c>
      <c r="L994" s="139">
        <f>Assumptions!$C$6*Assumptions!$C$7*(1+$G994-0.05*(1-1))^1+Assumptions!$C$6*Assumptions!$C$8*(1+Assumptions!$C$11)^1+Assumptions!$C$16*1+Assumptions!$C$6*Assumptions!$C$9*(1+Assumptions!$C$12)^1</f>
        <v>744.9115039</v>
      </c>
      <c r="M994" s="139">
        <f>Assumptions!$C$6*Assumptions!$C$7*(1+$G994-0.05*(1-$H994))^2+Assumptions!$C$6*Assumptions!$C$8*(1+Assumptions!$C$11)^2+Assumptions!$C$16*$H994+Assumptions!$C$6*Assumptions!$C$9*(1+Assumptions!$C$12)^2</f>
        <v>770.9629526</v>
      </c>
      <c r="N994" s="139">
        <f>Assumptions!$C$6*Assumptions!$C$7*(1+$G994-0.05*(1-$I994))^3+Assumptions!$C$6*Assumptions!$C$8*(1+Assumptions!$C$11)^3+Assumptions!$C$16*$I994+Assumptions!$C$6*Assumptions!$C$9*(1+Assumptions!$C$12)^3</f>
        <v>684.6584192</v>
      </c>
      <c r="O994" s="139">
        <f>Assumptions!$C$6*Assumptions!$C$7*(1+$G994-0.05*(1-$J994))^4+Assumptions!$C$6*Assumptions!$C$8*(1+Assumptions!$C$11)^4+Assumptions!$C$16*$J994+Assumptions!$C$6*Assumptions!$C$9*(1+Assumptions!$C$12)^4</f>
        <v>826.7206131</v>
      </c>
      <c r="P994" s="139">
        <f>Assumptions!$C$6*Assumptions!$C$7*(1+$G994-0.05*(1-$K994))^5+Assumptions!$C$6*Assumptions!$C$8*(1+Assumptions!$C$11)^5+Assumptions!$C$16*$K994+Assumptions!$C$6*Assumptions!$C$9*(1+Assumptions!$C$12)^5</f>
        <v>701.8049669</v>
      </c>
      <c r="Q994" s="139">
        <f>($L994*(1-(Assumptions!$C$25+0.06*(1-1))-Assumptions!$C$27)-Assumptions!$C$28)-MAX(0,($L994*(1-(Assumptions!$C$25+0.06*(1-1))-Assumptions!$C$27)-Assumptions!$C$28)*Assumptions!$C$31)+Assumptions!$C$28-Assumptions!$C$29-$L994*Assumptions!$C$30</f>
        <v>92.65597334</v>
      </c>
      <c r="R994" s="139">
        <f>($M994*(1-(Assumptions!$C$25+0.06*(1-$H994))-Assumptions!$C$27)-Assumptions!$C$28)-MAX(0,($M994*(1-(Assumptions!$C$25+0.06*(1-$H994))-Assumptions!$C$27)-Assumptions!$C$28)*Assumptions!$C$31)+Assumptions!$C$28-Assumptions!$C$29-$M994*Assumptions!$C$30</f>
        <v>98.25703481</v>
      </c>
      <c r="S994" s="139">
        <f>($N994*(1-(Assumptions!$C$25+0.06*(1-$I994))-Assumptions!$C$27)-Assumptions!$C$28)-MAX(0,($N994*(1-(Assumptions!$C$25+0.06*(1-$I994))-Assumptions!$C$27)-Assumptions!$C$28)*Assumptions!$C$31)+Assumptions!$C$28-Assumptions!$C$29-$N994*Assumptions!$C$30</f>
        <v>37.47143641</v>
      </c>
      <c r="T994" s="139">
        <f>($O994*(1-(Assumptions!$C$25+0.06*(1-$J994))-Assumptions!$C$27)-Assumptions!$C$28)-MAX(0,($O994*(1-(Assumptions!$C$25+0.06*(1-$J994))-Assumptions!$C$27)-Assumptions!$C$28)*Assumptions!$C$31)+Assumptions!$C$28-Assumptions!$C$29-$O994*Assumptions!$C$30</f>
        <v>110.2449318</v>
      </c>
      <c r="U994" s="139">
        <f>($P994*(1-(Assumptions!$C$25+0.06*(1-$K994))-Assumptions!$C$27)-Assumptions!$C$28)-MAX(0,($P994*(1-(Assumptions!$C$25+0.06*(1-$K994))-Assumptions!$C$27)-Assumptions!$C$28)*Assumptions!$C$31)+Assumptions!$C$28-Assumptions!$C$29-$P994*Assumptions!$C$30</f>
        <v>41.41514238</v>
      </c>
      <c r="V994" s="143">
        <f>(($Q994/(1+$D994)^1+$R994/(1+$D994)^2+$S994/(1+$D994)^3+$T994/(1+$D994)^4+$U994/(1+$D994)^5+$U994*(1+$E994)/($D994-$E994)/(1+$D994)^5)-Assumptions!$C$37)/Assumptions!$C$40/Assumptions!$C$38</f>
        <v>-0.3516600741</v>
      </c>
    </row>
    <row r="995" ht="12.0" customHeight="1">
      <c r="B995" s="139">
        <v>943.0</v>
      </c>
      <c r="C995" s="140">
        <f t="shared" si="6"/>
        <v>0.06122235292</v>
      </c>
      <c r="D995" s="141">
        <f t="shared" si="7"/>
        <v>0.08955569727</v>
      </c>
      <c r="E995" s="141">
        <f t="shared" si="8"/>
        <v>0.01518915457</v>
      </c>
      <c r="F995" s="140">
        <f t="shared" si="9"/>
        <v>0.5087411423</v>
      </c>
      <c r="G995" s="141">
        <f t="shared" si="10"/>
        <v>0.06026339051</v>
      </c>
      <c r="H995" s="142">
        <f t="shared" si="11"/>
        <v>1</v>
      </c>
      <c r="I995" s="142">
        <f t="shared" si="12"/>
        <v>0</v>
      </c>
      <c r="J995" s="142">
        <f t="shared" si="13"/>
        <v>0</v>
      </c>
      <c r="K995" s="142">
        <f t="shared" si="14"/>
        <v>0</v>
      </c>
      <c r="L995" s="139">
        <f>Assumptions!$C$6*Assumptions!$C$7*(1+$G995-0.05*(1-1))^1+Assumptions!$C$6*Assumptions!$C$8*(1+Assumptions!$C$11)^1+Assumptions!$C$16*1+Assumptions!$C$6*Assumptions!$C$9*(1+Assumptions!$C$12)^1</f>
        <v>746.7526572</v>
      </c>
      <c r="M995" s="139">
        <f>Assumptions!$C$6*Assumptions!$C$7*(1+$G995-0.05*(1-$H995))^2+Assumptions!$C$6*Assumptions!$C$8*(1+Assumptions!$C$11)^2+Assumptions!$C$16*$H995+Assumptions!$C$6*Assumptions!$C$9*(1+Assumptions!$C$12)^2</f>
        <v>774.8570967</v>
      </c>
      <c r="N995" s="139">
        <f>Assumptions!$C$6*Assumptions!$C$7*(1+$G995-0.05*(1-$I995))^3+Assumptions!$C$6*Assumptions!$C$8*(1+Assumptions!$C$11)^3+Assumptions!$C$16*$I995+Assumptions!$C$6*Assumptions!$C$9*(1+Assumptions!$C$12)^3</f>
        <v>690.2653723</v>
      </c>
      <c r="O995" s="139">
        <f>Assumptions!$C$6*Assumptions!$C$7*(1+$G995-0.05*(1-$J995))^4+Assumptions!$C$6*Assumptions!$C$8*(1+Assumptions!$C$11)^4+Assumptions!$C$16*$J995+Assumptions!$C$6*Assumptions!$C$9*(1+Assumptions!$C$12)^4</f>
        <v>700.6913879</v>
      </c>
      <c r="P995" s="139">
        <f>Assumptions!$C$6*Assumptions!$C$7*(1+$G995-0.05*(1-$K995))^5+Assumptions!$C$6*Assumptions!$C$8*(1+Assumptions!$C$11)^5+Assumptions!$C$16*$K995+Assumptions!$C$6*Assumptions!$C$9*(1+Assumptions!$C$12)^5</f>
        <v>711.2912407</v>
      </c>
      <c r="Q995" s="139">
        <f>($L995*(1-(Assumptions!$C$25+0.06*(1-1))-Assumptions!$C$27)-Assumptions!$C$28)-MAX(0,($L995*(1-(Assumptions!$C$25+0.06*(1-1))-Assumptions!$C$27)-Assumptions!$C$28)*Assumptions!$C$31)+Assumptions!$C$28-Assumptions!$C$29-$L995*Assumptions!$C$30</f>
        <v>93.05182131</v>
      </c>
      <c r="R995" s="139">
        <f>($M995*(1-(Assumptions!$C$25+0.06*(1-$H995))-Assumptions!$C$27)-Assumptions!$C$28)-MAX(0,($M995*(1-(Assumptions!$C$25+0.06*(1-$H995))-Assumptions!$C$27)-Assumptions!$C$28)*Assumptions!$C$31)+Assumptions!$C$28-Assumptions!$C$29-$M995*Assumptions!$C$30</f>
        <v>99.09427579</v>
      </c>
      <c r="S995" s="139">
        <f>($N995*(1-(Assumptions!$C$25+0.06*(1-$I995))-Assumptions!$C$27)-Assumptions!$C$28)-MAX(0,($N995*(1-(Assumptions!$C$25+0.06*(1-$I995))-Assumptions!$C$27)-Assumptions!$C$28)*Assumptions!$C$31)+Assumptions!$C$28-Assumptions!$C$29-$N995*Assumptions!$C$30</f>
        <v>38.76103564</v>
      </c>
      <c r="T995" s="139">
        <f>($O995*(1-(Assumptions!$C$25+0.06*(1-$J995))-Assumptions!$C$27)-Assumptions!$C$28)-MAX(0,($O995*(1-(Assumptions!$C$25+0.06*(1-$J995))-Assumptions!$C$27)-Assumptions!$C$28)*Assumptions!$C$31)+Assumptions!$C$28-Assumptions!$C$29-$O995*Assumptions!$C$30</f>
        <v>41.15901921</v>
      </c>
      <c r="U995" s="139">
        <f>($P995*(1-(Assumptions!$C$25+0.06*(1-$K995))-Assumptions!$C$27)-Assumptions!$C$28)-MAX(0,($P995*(1-(Assumptions!$C$25+0.06*(1-$K995))-Assumptions!$C$27)-Assumptions!$C$28)*Assumptions!$C$31)+Assumptions!$C$28-Assumptions!$C$29-$P995*Assumptions!$C$30</f>
        <v>43.59698536</v>
      </c>
      <c r="V995" s="143">
        <f>(($Q995/(1+$D995)^1+$R995/(1+$D995)^2+$S995/(1+$D995)^3+$T995/(1+$D995)^4+$U995/(1+$D995)^5+$U995*(1+$E995)/($D995-$E995)/(1+$D995)^5)-Assumptions!$C$37)/Assumptions!$C$40/Assumptions!$C$38</f>
        <v>-0.3719493667</v>
      </c>
    </row>
    <row r="996" ht="12.0" customHeight="1">
      <c r="B996" s="139">
        <v>944.0</v>
      </c>
      <c r="C996" s="140">
        <f t="shared" si="6"/>
        <v>0.02142190855</v>
      </c>
      <c r="D996" s="141">
        <f t="shared" si="7"/>
        <v>0.08769481484</v>
      </c>
      <c r="E996" s="141">
        <f t="shared" si="8"/>
        <v>0.0159372022</v>
      </c>
      <c r="F996" s="140">
        <f t="shared" si="9"/>
        <v>0.04825220699</v>
      </c>
      <c r="G996" s="141">
        <f t="shared" si="10"/>
        <v>0.03931954787</v>
      </c>
      <c r="H996" s="142">
        <f t="shared" si="11"/>
        <v>1</v>
      </c>
      <c r="I996" s="142">
        <f t="shared" si="12"/>
        <v>0</v>
      </c>
      <c r="J996" s="142">
        <f t="shared" si="13"/>
        <v>0</v>
      </c>
      <c r="K996" s="142">
        <f t="shared" si="14"/>
        <v>1</v>
      </c>
      <c r="L996" s="139">
        <f>Assumptions!$C$6*Assumptions!$C$7*(1+$G996-0.05*(1-1))^1+Assumptions!$C$6*Assumptions!$C$8*(1+Assumptions!$C$11)^1+Assumptions!$C$16*1+Assumptions!$C$6*Assumptions!$C$9*(1+Assumptions!$C$12)^1</f>
        <v>739.7029598</v>
      </c>
      <c r="M996" s="139">
        <f>Assumptions!$C$6*Assumptions!$C$7*(1+$G996-0.05*(1-$H996))^2+Assumptions!$C$6*Assumptions!$C$8*(1+Assumptions!$C$11)^2+Assumptions!$C$16*$H996+Assumptions!$C$6*Assumptions!$C$9*(1+Assumptions!$C$12)^2</f>
        <v>760.0556723</v>
      </c>
      <c r="N996" s="139">
        <f>Assumptions!$C$6*Assumptions!$C$7*(1+$G996-0.05*(1-$I996))^3+Assumptions!$C$6*Assumptions!$C$8*(1+Assumptions!$C$11)^3+Assumptions!$C$16*$I996+Assumptions!$C$6*Assumptions!$C$9*(1+Assumptions!$C$12)^3</f>
        <v>669.1243265</v>
      </c>
      <c r="O996" s="139">
        <f>Assumptions!$C$6*Assumptions!$C$7*(1+$G996-0.05*(1-$J996))^4+Assumptions!$C$6*Assumptions!$C$8*(1+Assumptions!$C$11)^4+Assumptions!$C$16*$J996+Assumptions!$C$6*Assumptions!$C$9*(1+Assumptions!$C$12)^4</f>
        <v>672.5071437</v>
      </c>
      <c r="P996" s="139">
        <f>Assumptions!$C$6*Assumptions!$C$7*(1+$G996-0.05*(1-$K996))^5+Assumptions!$C$6*Assumptions!$C$8*(1+Assumptions!$C$11)^5+Assumptions!$C$16*$K996+Assumptions!$C$6*Assumptions!$C$9*(1+Assumptions!$C$12)^5</f>
        <v>825.2471276</v>
      </c>
      <c r="Q996" s="139">
        <f>($L996*(1-(Assumptions!$C$25+0.06*(1-1))-Assumptions!$C$27)-Assumptions!$C$28)-MAX(0,($L996*(1-(Assumptions!$C$25+0.06*(1-1))-Assumptions!$C$27)-Assumptions!$C$28)*Assumptions!$C$31)+Assumptions!$C$28-Assumptions!$C$29-$L996*Assumptions!$C$30</f>
        <v>91.53613636</v>
      </c>
      <c r="R996" s="139">
        <f>($M996*(1-(Assumptions!$C$25+0.06*(1-$H996))-Assumptions!$C$27)-Assumptions!$C$28)-MAX(0,($M996*(1-(Assumptions!$C$25+0.06*(1-$H996))-Assumptions!$C$27)-Assumptions!$C$28)*Assumptions!$C$31)+Assumptions!$C$28-Assumptions!$C$29-$M996*Assumptions!$C$30</f>
        <v>95.91196954</v>
      </c>
      <c r="S996" s="139">
        <f>($N996*(1-(Assumptions!$C$25+0.06*(1-$I996))-Assumptions!$C$27)-Assumptions!$C$28)-MAX(0,($N996*(1-(Assumptions!$C$25+0.06*(1-$I996))-Assumptions!$C$27)-Assumptions!$C$28)*Assumptions!$C$31)+Assumptions!$C$28-Assumptions!$C$29-$N996*Assumptions!$C$30</f>
        <v>33.8985951</v>
      </c>
      <c r="T996" s="139">
        <f>($O996*(1-(Assumptions!$C$25+0.06*(1-$J996))-Assumptions!$C$27)-Assumptions!$C$28)-MAX(0,($O996*(1-(Assumptions!$C$25+0.06*(1-$J996))-Assumptions!$C$27)-Assumptions!$C$28)*Assumptions!$C$31)+Assumptions!$C$28-Assumptions!$C$29-$O996*Assumptions!$C$30</f>
        <v>34.67664306</v>
      </c>
      <c r="U996" s="139">
        <f>($P996*(1-(Assumptions!$C$25+0.06*(1-$K996))-Assumptions!$C$27)-Assumptions!$C$28)-MAX(0,($P996*(1-(Assumptions!$C$25+0.06*(1-$K996))-Assumptions!$C$27)-Assumptions!$C$28)*Assumptions!$C$31)+Assumptions!$C$28-Assumptions!$C$29-$P996*Assumptions!$C$30</f>
        <v>109.9281324</v>
      </c>
      <c r="V996" s="143">
        <f>(($Q996/(1+$D996)^1+$R996/(1+$D996)^2+$S996/(1+$D996)^3+$T996/(1+$D996)^4+$U996/(1+$D996)^5+$U996*(1+$E996)/($D996-$E996)/(1+$D996)^5)-Assumptions!$C$37)/Assumptions!$C$40/Assumptions!$C$38</f>
        <v>4.831710292</v>
      </c>
    </row>
    <row r="997" ht="12.0" customHeight="1">
      <c r="B997" s="139">
        <v>945.0</v>
      </c>
      <c r="C997" s="140">
        <f t="shared" si="6"/>
        <v>0.8429526248</v>
      </c>
      <c r="D997" s="141">
        <f t="shared" si="7"/>
        <v>0.1056136494</v>
      </c>
      <c r="E997" s="141">
        <f t="shared" si="8"/>
        <v>0.028580982</v>
      </c>
      <c r="F997" s="140">
        <f t="shared" si="9"/>
        <v>0.2313787179</v>
      </c>
      <c r="G997" s="141">
        <f t="shared" si="10"/>
        <v>0.05040788309</v>
      </c>
      <c r="H997" s="142">
        <f t="shared" si="11"/>
        <v>0</v>
      </c>
      <c r="I997" s="142">
        <f t="shared" si="12"/>
        <v>0</v>
      </c>
      <c r="J997" s="142">
        <f t="shared" si="13"/>
        <v>1</v>
      </c>
      <c r="K997" s="142">
        <f t="shared" si="14"/>
        <v>0</v>
      </c>
      <c r="L997" s="139">
        <f>Assumptions!$C$6*Assumptions!$C$7*(1+$G997-0.05*(1-1))^1+Assumptions!$C$6*Assumptions!$C$8*(1+Assumptions!$C$11)^1+Assumptions!$C$16*1+Assumptions!$C$6*Assumptions!$C$9*(1+Assumptions!$C$12)^1</f>
        <v>743.4352934</v>
      </c>
      <c r="M997" s="139">
        <f>Assumptions!$C$6*Assumptions!$C$7*(1+$G997-0.05*(1-$H997))^2+Assumptions!$C$6*Assumptions!$C$8*(1+Assumptions!$C$11)^2+Assumptions!$C$16*$H997+Assumptions!$C$6*Assumptions!$C$9*(1+Assumptions!$C$12)^2</f>
        <v>673.3400029</v>
      </c>
      <c r="N997" s="139">
        <f>Assumptions!$C$6*Assumptions!$C$7*(1+$G997-0.05*(1-$I997))^3+Assumptions!$C$6*Assumptions!$C$8*(1+Assumptions!$C$11)^3+Assumptions!$C$16*$I997+Assumptions!$C$6*Assumptions!$C$9*(1+Assumptions!$C$12)^3</f>
        <v>680.2067156</v>
      </c>
      <c r="O997" s="139">
        <f>Assumptions!$C$6*Assumptions!$C$7*(1+$G997-0.05*(1-$J997))^4+Assumptions!$C$6*Assumptions!$C$8*(1+Assumptions!$C$11)^4+Assumptions!$C$16*$J997+Assumptions!$C$6*Assumptions!$C$9*(1+Assumptions!$C$12)^4</f>
        <v>819.8340721</v>
      </c>
      <c r="P997" s="139">
        <f>Assumptions!$C$6*Assumptions!$C$7*(1+$G997-0.05*(1-$K997))^5+Assumptions!$C$6*Assumptions!$C$8*(1+Assumptions!$C$11)^5+Assumptions!$C$16*$K997+Assumptions!$C$6*Assumptions!$C$9*(1+Assumptions!$C$12)^5</f>
        <v>694.3467592</v>
      </c>
      <c r="Q997" s="139">
        <f>($L997*(1-(Assumptions!$C$25+0.06*(1-1))-Assumptions!$C$27)-Assumptions!$C$28)-MAX(0,($L997*(1-(Assumptions!$C$25+0.06*(1-1))-Assumptions!$C$27)-Assumptions!$C$28)*Assumptions!$C$31)+Assumptions!$C$28-Assumptions!$C$29-$L997*Assumptions!$C$30</f>
        <v>92.33858809</v>
      </c>
      <c r="R997" s="139">
        <f>($M997*(1-(Assumptions!$C$25+0.06*(1-$H997))-Assumptions!$C$27)-Assumptions!$C$28)-MAX(0,($M997*(1-(Assumptions!$C$25+0.06*(1-$H997))-Assumptions!$C$27)-Assumptions!$C$28)*Assumptions!$C$31)+Assumptions!$C$28-Assumptions!$C$29-$M997*Assumptions!$C$30</f>
        <v>34.86820067</v>
      </c>
      <c r="S997" s="139">
        <f>($N997*(1-(Assumptions!$C$25+0.06*(1-$I997))-Assumptions!$C$27)-Assumptions!$C$28)-MAX(0,($N997*(1-(Assumptions!$C$25+0.06*(1-$I997))-Assumptions!$C$27)-Assumptions!$C$28)*Assumptions!$C$31)+Assumptions!$C$28-Assumptions!$C$29-$N997*Assumptions!$C$30</f>
        <v>36.44754458</v>
      </c>
      <c r="T997" s="139">
        <f>($O997*(1-(Assumptions!$C$25+0.06*(1-$J997))-Assumptions!$C$27)-Assumptions!$C$28)-MAX(0,($O997*(1-(Assumptions!$C$25+0.06*(1-$J997))-Assumptions!$C$27)-Assumptions!$C$28)*Assumptions!$C$31)+Assumptions!$C$28-Assumptions!$C$29-$O997*Assumptions!$C$30</f>
        <v>108.7643255</v>
      </c>
      <c r="U997" s="139">
        <f>($P997*(1-(Assumptions!$C$25+0.06*(1-$K997))-Assumptions!$C$27)-Assumptions!$C$28)-MAX(0,($P997*(1-(Assumptions!$C$25+0.06*(1-$K997))-Assumptions!$C$27)-Assumptions!$C$28)*Assumptions!$C$31)+Assumptions!$C$28-Assumptions!$C$29-$P997*Assumptions!$C$30</f>
        <v>39.69975462</v>
      </c>
      <c r="V997" s="143">
        <f>(($Q997/(1+$D997)^1+$R997/(1+$D997)^2+$S997/(1+$D997)^3+$T997/(1+$D997)^4+$U997/(1+$D997)^5+$U997*(1+$E997)/($D997-$E997)/(1+$D997)^5)-Assumptions!$C$37)/Assumptions!$C$40/Assumptions!$C$38</f>
        <v>-1.053485203</v>
      </c>
    </row>
    <row r="998" ht="12.0" customHeight="1">
      <c r="B998" s="139">
        <v>946.0</v>
      </c>
      <c r="C998" s="140">
        <f t="shared" si="6"/>
        <v>0.07153673197</v>
      </c>
      <c r="D998" s="141">
        <f t="shared" si="7"/>
        <v>0.08992452558</v>
      </c>
      <c r="E998" s="141">
        <f t="shared" si="8"/>
        <v>0.01252721119</v>
      </c>
      <c r="F998" s="140">
        <f t="shared" si="9"/>
        <v>0.03108430944</v>
      </c>
      <c r="G998" s="141">
        <f t="shared" si="10"/>
        <v>0.03748009071</v>
      </c>
      <c r="H998" s="142">
        <f t="shared" si="11"/>
        <v>1</v>
      </c>
      <c r="I998" s="142">
        <f t="shared" si="12"/>
        <v>0</v>
      </c>
      <c r="J998" s="142">
        <f t="shared" si="13"/>
        <v>1</v>
      </c>
      <c r="K998" s="142">
        <f t="shared" si="14"/>
        <v>1</v>
      </c>
      <c r="L998" s="139">
        <f>Assumptions!$C$6*Assumptions!$C$7*(1+$G998-0.05*(1-1))^1+Assumptions!$C$6*Assumptions!$C$8*(1+Assumptions!$C$11)^1+Assumptions!$C$16*1+Assumptions!$C$6*Assumptions!$C$9*(1+Assumptions!$C$12)^1</f>
        <v>739.0837985</v>
      </c>
      <c r="M998" s="139">
        <f>Assumptions!$C$6*Assumptions!$C$7*(1+$G998-0.05*(1-$H998))^2+Assumptions!$C$6*Assumptions!$C$8*(1+Assumptions!$C$11)^2+Assumptions!$C$16*$H998+Assumptions!$C$6*Assumptions!$C$9*(1+Assumptions!$C$12)^2</f>
        <v>758.7697983</v>
      </c>
      <c r="N998" s="139">
        <f>Assumptions!$C$6*Assumptions!$C$7*(1+$G998-0.05*(1-$I998))^3+Assumptions!$C$6*Assumptions!$C$8*(1+Assumptions!$C$11)^3+Assumptions!$C$16*$I998+Assumptions!$C$6*Assumptions!$C$9*(1+Assumptions!$C$12)^3</f>
        <v>667.3096865</v>
      </c>
      <c r="O998" s="139">
        <f>Assumptions!$C$6*Assumptions!$C$7*(1+$G998-0.05*(1-$J998))^4+Assumptions!$C$6*Assumptions!$C$8*(1+Assumptions!$C$11)^4+Assumptions!$C$16*$J998+Assumptions!$C$6*Assumptions!$C$9*(1+Assumptions!$C$12)^4</f>
        <v>800.0303551</v>
      </c>
      <c r="P998" s="139">
        <f>Assumptions!$C$6*Assumptions!$C$7*(1+$G998-0.05*(1-$K998))^5+Assumptions!$C$6*Assumptions!$C$8*(1+Assumptions!$C$11)^5+Assumptions!$C$16*$K998+Assumptions!$C$6*Assumptions!$C$9*(1+Assumptions!$C$12)^5</f>
        <v>821.6477045</v>
      </c>
      <c r="Q998" s="139">
        <f>($L998*(1-(Assumptions!$C$25+0.06*(1-1))-Assumptions!$C$27)-Assumptions!$C$28)-MAX(0,($L998*(1-(Assumptions!$C$25+0.06*(1-1))-Assumptions!$C$27)-Assumptions!$C$28)*Assumptions!$C$31)+Assumptions!$C$28-Assumptions!$C$29-$L998*Assumptions!$C$30</f>
        <v>91.40301668</v>
      </c>
      <c r="R998" s="139">
        <f>($M998*(1-(Assumptions!$C$25+0.06*(1-$H998))-Assumptions!$C$27)-Assumptions!$C$28)-MAX(0,($M998*(1-(Assumptions!$C$25+0.06*(1-$H998))-Assumptions!$C$27)-Assumptions!$C$28)*Assumptions!$C$31)+Assumptions!$C$28-Assumptions!$C$29-$M998*Assumptions!$C$30</f>
        <v>95.63550664</v>
      </c>
      <c r="S998" s="139">
        <f>($N998*(1-(Assumptions!$C$25+0.06*(1-$I998))-Assumptions!$C$27)-Assumptions!$C$28)-MAX(0,($N998*(1-(Assumptions!$C$25+0.06*(1-$I998))-Assumptions!$C$27)-Assumptions!$C$28)*Assumptions!$C$31)+Assumptions!$C$28-Assumptions!$C$29-$N998*Assumptions!$C$30</f>
        <v>33.48122789</v>
      </c>
      <c r="T998" s="139">
        <f>($O998*(1-(Assumptions!$C$25+0.06*(1-$J998))-Assumptions!$C$27)-Assumptions!$C$28)-MAX(0,($O998*(1-(Assumptions!$C$25+0.06*(1-$J998))-Assumptions!$C$27)-Assumptions!$C$28)*Assumptions!$C$31)+Assumptions!$C$28-Assumptions!$C$29-$O998*Assumptions!$C$30</f>
        <v>104.5065263</v>
      </c>
      <c r="U998" s="139">
        <f>($P998*(1-(Assumptions!$C$25+0.06*(1-$K998))-Assumptions!$C$27)-Assumptions!$C$28)-MAX(0,($P998*(1-(Assumptions!$C$25+0.06*(1-$K998))-Assumptions!$C$27)-Assumptions!$C$28)*Assumptions!$C$31)+Assumptions!$C$28-Assumptions!$C$29-$P998*Assumptions!$C$30</f>
        <v>109.1542565</v>
      </c>
      <c r="V998" s="143">
        <f>(($Q998/(1+$D998)^1+$R998/(1+$D998)^2+$S998/(1+$D998)^3+$T998/(1+$D998)^4+$U998/(1+$D998)^5+$U998*(1+$E998)/($D998-$E998)/(1+$D998)^5)-Assumptions!$C$37)/Assumptions!$C$40/Assumptions!$C$38</f>
        <v>4.463543016</v>
      </c>
    </row>
    <row r="999" ht="12.0" customHeight="1">
      <c r="B999" s="139">
        <v>947.0</v>
      </c>
      <c r="C999" s="140">
        <f t="shared" si="6"/>
        <v>0.2285559118</v>
      </c>
      <c r="D999" s="141">
        <f t="shared" si="7"/>
        <v>0.09380229823</v>
      </c>
      <c r="E999" s="141">
        <f t="shared" si="8"/>
        <v>0.01393354911</v>
      </c>
      <c r="F999" s="140">
        <f t="shared" si="9"/>
        <v>0.7268322282</v>
      </c>
      <c r="G999" s="141">
        <f t="shared" si="10"/>
        <v>0.06782564569</v>
      </c>
      <c r="H999" s="142">
        <f t="shared" si="11"/>
        <v>1</v>
      </c>
      <c r="I999" s="142">
        <f t="shared" si="12"/>
        <v>0</v>
      </c>
      <c r="J999" s="142">
        <f t="shared" si="13"/>
        <v>1</v>
      </c>
      <c r="K999" s="142">
        <f t="shared" si="14"/>
        <v>1</v>
      </c>
      <c r="L999" s="139">
        <f>Assumptions!$C$6*Assumptions!$C$7*(1+$G999-0.05*(1-1))^1+Assumptions!$C$6*Assumptions!$C$8*(1+Assumptions!$C$11)^1+Assumptions!$C$16*1+Assumptions!$C$6*Assumptions!$C$9*(1+Assumptions!$C$12)^1</f>
        <v>749.2981123</v>
      </c>
      <c r="M999" s="139">
        <f>Assumptions!$C$6*Assumptions!$C$7*(1+$G999-0.05*(1-$H999))^2+Assumptions!$C$6*Assumptions!$C$8*(1+Assumptions!$C$11)^2+Assumptions!$C$16*$H999+Assumptions!$C$6*Assumptions!$C$9*(1+Assumptions!$C$12)^2</f>
        <v>780.2740518</v>
      </c>
      <c r="N999" s="139">
        <f>Assumptions!$C$6*Assumptions!$C$7*(1+$G999-0.05*(1-$I999))^3+Assumptions!$C$6*Assumptions!$C$8*(1+Assumptions!$C$11)^3+Assumptions!$C$16*$I999+Assumptions!$C$6*Assumptions!$C$9*(1+Assumptions!$C$12)^3</f>
        <v>698.1177784</v>
      </c>
      <c r="O999" s="139">
        <f>Assumptions!$C$6*Assumptions!$C$7*(1+$G999-0.05*(1-$J999))^4+Assumptions!$C$6*Assumptions!$C$8*(1+Assumptions!$C$11)^4+Assumptions!$C$16*$J999+Assumptions!$C$6*Assumptions!$C$9*(1+Assumptions!$C$12)^4</f>
        <v>847.6970391</v>
      </c>
      <c r="P999" s="139">
        <f>Assumptions!$C$6*Assumptions!$C$7*(1+$G999-0.05*(1-$K999))^5+Assumptions!$C$6*Assumptions!$C$8*(1+Assumptions!$C$11)^5+Assumptions!$C$16*$K999+Assumptions!$C$6*Assumptions!$C$9*(1+Assumptions!$C$12)^5</f>
        <v>884.3813227</v>
      </c>
      <c r="Q999" s="139">
        <f>($L999*(1-(Assumptions!$C$25+0.06*(1-1))-Assumptions!$C$27)-Assumptions!$C$28)-MAX(0,($L999*(1-(Assumptions!$C$25+0.06*(1-1))-Assumptions!$C$27)-Assumptions!$C$28)*Assumptions!$C$31)+Assumptions!$C$28-Assumptions!$C$29-$L999*Assumptions!$C$30</f>
        <v>93.59909415</v>
      </c>
      <c r="R999" s="139">
        <f>($M999*(1-(Assumptions!$C$25+0.06*(1-$H999))-Assumptions!$C$27)-Assumptions!$C$28)-MAX(0,($M999*(1-(Assumptions!$C$25+0.06*(1-$H999))-Assumptions!$C$27)-Assumptions!$C$28)*Assumptions!$C$31)+Assumptions!$C$28-Assumptions!$C$29-$M999*Assumptions!$C$30</f>
        <v>100.2589211</v>
      </c>
      <c r="S999" s="139">
        <f>($N999*(1-(Assumptions!$C$25+0.06*(1-$I999))-Assumptions!$C$27)-Assumptions!$C$28)-MAX(0,($N999*(1-(Assumptions!$C$25+0.06*(1-$I999))-Assumptions!$C$27)-Assumptions!$C$28)*Assumptions!$C$31)+Assumptions!$C$28-Assumptions!$C$29-$N999*Assumptions!$C$30</f>
        <v>40.56708903</v>
      </c>
      <c r="T999" s="139">
        <f>($O999*(1-(Assumptions!$C$25+0.06*(1-$J999))-Assumptions!$C$27)-Assumptions!$C$28)-MAX(0,($O999*(1-(Assumptions!$C$25+0.06*(1-$J999))-Assumptions!$C$27)-Assumptions!$C$28)*Assumptions!$C$31)+Assumptions!$C$28-Assumptions!$C$29-$O999*Assumptions!$C$30</f>
        <v>114.7548634</v>
      </c>
      <c r="U999" s="139">
        <f>($P999*(1-(Assumptions!$C$25+0.06*(1-$K999))-Assumptions!$C$27)-Assumptions!$C$28)-MAX(0,($P999*(1-(Assumptions!$C$25+0.06*(1-$K999))-Assumptions!$C$27)-Assumptions!$C$28)*Assumptions!$C$31)+Assumptions!$C$28-Assumptions!$C$29-$P999*Assumptions!$C$30</f>
        <v>122.6419844</v>
      </c>
      <c r="V999" s="143">
        <f>(($Q999/(1+$D999)^1+$R999/(1+$D999)^2+$S999/(1+$D999)^3+$T999/(1+$D999)^4+$U999/(1+$D999)^5+$U999*(1+$E999)/($D999-$E999)/(1+$D999)^5)-Assumptions!$C$37)/Assumptions!$C$40/Assumptions!$C$38</f>
        <v>5.163210011</v>
      </c>
    </row>
    <row r="1000" ht="12.0" customHeight="1">
      <c r="B1000" s="139">
        <v>948.0</v>
      </c>
      <c r="C1000" s="140">
        <f t="shared" si="6"/>
        <v>0.5966288797</v>
      </c>
      <c r="D1000" s="141">
        <f t="shared" si="7"/>
        <v>0.09995702162</v>
      </c>
      <c r="E1000" s="141">
        <f t="shared" si="8"/>
        <v>0.02465599111</v>
      </c>
      <c r="F1000" s="140">
        <f t="shared" si="9"/>
        <v>0.07827916455</v>
      </c>
      <c r="G1000" s="141">
        <f t="shared" si="10"/>
        <v>0.04187023573</v>
      </c>
      <c r="H1000" s="142">
        <f t="shared" si="11"/>
        <v>1</v>
      </c>
      <c r="I1000" s="142">
        <f t="shared" si="12"/>
        <v>1</v>
      </c>
      <c r="J1000" s="142">
        <f t="shared" si="13"/>
        <v>1</v>
      </c>
      <c r="K1000" s="142">
        <f t="shared" si="14"/>
        <v>1</v>
      </c>
      <c r="L1000" s="139">
        <f>Assumptions!$C$6*Assumptions!$C$7*(1+$G1000-0.05*(1-1))^1+Assumptions!$C$6*Assumptions!$C$8*(1+Assumptions!$C$11)^1+Assumptions!$C$16*1+Assumptions!$C$6*Assumptions!$C$9*(1+Assumptions!$C$12)^1</f>
        <v>740.5615213</v>
      </c>
      <c r="M1000" s="139">
        <f>Assumptions!$C$6*Assumptions!$C$7*(1+$G1000-0.05*(1-$H1000))^2+Assumptions!$C$6*Assumptions!$C$8*(1+Assumptions!$C$11)^2+Assumptions!$C$16*$H1000+Assumptions!$C$6*Assumptions!$C$9*(1+Assumptions!$C$12)^2</f>
        <v>761.8425018</v>
      </c>
      <c r="N1000" s="139">
        <f>Assumptions!$C$6*Assumptions!$C$7*(1+$G1000-0.05*(1-$I1000))^3+Assumptions!$C$6*Assumptions!$C$8*(1+Assumptions!$C$11)^3+Assumptions!$C$16*$I1000+Assumptions!$C$6*Assumptions!$C$9*(1+Assumptions!$C$12)^3</f>
        <v>783.870236</v>
      </c>
      <c r="O1000" s="139">
        <f>Assumptions!$C$6*Assumptions!$C$7*(1+$G1000-0.05*(1-$J1000))^4+Assumptions!$C$6*Assumptions!$C$8*(1+Assumptions!$C$11)^4+Assumptions!$C$16*$J1000+Assumptions!$C$6*Assumptions!$C$9*(1+Assumptions!$C$12)^4</f>
        <v>806.6731052</v>
      </c>
      <c r="P1000" s="139">
        <f>Assumptions!$C$6*Assumptions!$C$7*(1+$G1000-0.05*(1-$K1000))^5+Assumptions!$C$6*Assumptions!$C$8*(1+Assumptions!$C$11)^5+Assumptions!$C$16*$K1000+Assumptions!$C$6*Assumptions!$C$9*(1+Assumptions!$C$12)^5</f>
        <v>830.2806208</v>
      </c>
      <c r="Q1000" s="139">
        <f>($L1000*(1-(Assumptions!$C$25+0.06*(1-1))-Assumptions!$C$27)-Assumptions!$C$28)-MAX(0,($L1000*(1-(Assumptions!$C$25+0.06*(1-1))-Assumptions!$C$27)-Assumptions!$C$28)*Assumptions!$C$31)+Assumptions!$C$28-Assumptions!$C$29-$L1000*Assumptions!$C$30</f>
        <v>91.72072709</v>
      </c>
      <c r="R1000" s="139">
        <f>($M1000*(1-(Assumptions!$C$25+0.06*(1-$H1000))-Assumptions!$C$27)-Assumptions!$C$28)-MAX(0,($M1000*(1-(Assumptions!$C$25+0.06*(1-$H1000))-Assumptions!$C$27)-Assumptions!$C$28)*Assumptions!$C$31)+Assumptions!$C$28-Assumptions!$C$29-$M1000*Assumptions!$C$30</f>
        <v>96.29613788</v>
      </c>
      <c r="S1000" s="139">
        <f>($N1000*(1-(Assumptions!$C$25+0.06*(1-$I1000))-Assumptions!$C$27)-Assumptions!$C$28)-MAX(0,($N1000*(1-(Assumptions!$C$25+0.06*(1-$I1000))-Assumptions!$C$27)-Assumptions!$C$28)*Assumptions!$C$31)+Assumptions!$C$28-Assumptions!$C$29-$N1000*Assumptions!$C$30</f>
        <v>101.0321007</v>
      </c>
      <c r="T1000" s="139">
        <f>($O1000*(1-(Assumptions!$C$25+0.06*(1-$J1000))-Assumptions!$C$27)-Assumptions!$C$28)-MAX(0,($O1000*(1-(Assumptions!$C$25+0.06*(1-$J1000))-Assumptions!$C$27)-Assumptions!$C$28)*Assumptions!$C$31)+Assumptions!$C$28-Assumptions!$C$29-$O1000*Assumptions!$C$30</f>
        <v>105.9347176</v>
      </c>
      <c r="U1000" s="139">
        <f>($P1000*(1-(Assumptions!$C$25+0.06*(1-$K1000))-Assumptions!$C$27)-Assumptions!$C$28)-MAX(0,($P1000*(1-(Assumptions!$C$25+0.06*(1-$K1000))-Assumptions!$C$27)-Assumptions!$C$28)*Assumptions!$C$31)+Assumptions!$C$28-Assumptions!$C$29-$P1000*Assumptions!$C$30</f>
        <v>111.0103335</v>
      </c>
      <c r="V1000" s="143">
        <f>(($Q1000/(1+$D1000)^1+$R1000/(1+$D1000)^2+$S1000/(1+$D1000)^3+$T1000/(1+$D1000)^4+$U1000/(1+$D1000)^5+$U1000*(1+$E1000)/($D1000-$E1000)/(1+$D1000)^5)-Assumptions!$C$37)/Assumptions!$C$40/Assumptions!$C$38</f>
        <v>4.890178036</v>
      </c>
    </row>
    <row r="1001" ht="12.0" customHeight="1">
      <c r="B1001" s="139">
        <v>949.0</v>
      </c>
      <c r="C1001" s="140">
        <f t="shared" si="6"/>
        <v>0.2751459341</v>
      </c>
      <c r="D1001" s="141">
        <f t="shared" si="7"/>
        <v>0.09465787097</v>
      </c>
      <c r="E1001" s="141">
        <f t="shared" si="8"/>
        <v>0.01587088057</v>
      </c>
      <c r="F1001" s="140">
        <f t="shared" si="9"/>
        <v>0.3595146891</v>
      </c>
      <c r="G1001" s="141">
        <f t="shared" si="10"/>
        <v>0.05543868</v>
      </c>
      <c r="H1001" s="142">
        <f t="shared" si="11"/>
        <v>1</v>
      </c>
      <c r="I1001" s="142">
        <f t="shared" si="12"/>
        <v>1</v>
      </c>
      <c r="J1001" s="142">
        <f t="shared" si="13"/>
        <v>1</v>
      </c>
      <c r="K1001" s="142">
        <f t="shared" si="14"/>
        <v>1</v>
      </c>
      <c r="L1001" s="139">
        <f>Assumptions!$C$6*Assumptions!$C$7*(1+$G1001-0.05*(1-1))^1+Assumptions!$C$6*Assumptions!$C$8*(1+Assumptions!$C$11)^1+Assumptions!$C$16*1+Assumptions!$C$6*Assumptions!$C$9*(1+Assumptions!$C$12)^1</f>
        <v>745.1286597</v>
      </c>
      <c r="M1001" s="139">
        <f>Assumptions!$C$6*Assumptions!$C$7*(1+$G1001-0.05*(1-$H1001))^2+Assumptions!$C$6*Assumptions!$C$8*(1+Assumptions!$C$11)^2+Assumptions!$C$16*$H1001+Assumptions!$C$6*Assumptions!$C$9*(1+Assumptions!$C$12)^2</f>
        <v>771.4212017</v>
      </c>
      <c r="N1001" s="139">
        <f>Assumptions!$C$6*Assumptions!$C$7*(1+$G1001-0.05*(1-$I1001))^3+Assumptions!$C$6*Assumptions!$C$8*(1+Assumptions!$C$11)^3+Assumptions!$C$16*$I1001+Assumptions!$C$6*Assumptions!$C$9*(1+Assumptions!$C$12)^3</f>
        <v>798.9375658</v>
      </c>
      <c r="O1001" s="139">
        <f>Assumptions!$C$6*Assumptions!$C$7*(1+$G1001-0.05*(1-$J1001))^4+Assumptions!$C$6*Assumptions!$C$8*(1+Assumptions!$C$11)^4+Assumptions!$C$16*$J1001+Assumptions!$C$6*Assumptions!$C$9*(1+Assumptions!$C$12)^4</f>
        <v>827.7409231</v>
      </c>
      <c r="P1001" s="139">
        <f>Assumptions!$C$6*Assumptions!$C$7*(1+$G1001-0.05*(1-$K1001))^5+Assumptions!$C$6*Assumptions!$C$8*(1+Assumptions!$C$11)^5+Assumptions!$C$16*$K1001+Assumptions!$C$6*Assumptions!$C$9*(1+Assumptions!$C$12)^5</f>
        <v>857.8978532</v>
      </c>
      <c r="Q1001" s="139">
        <f>($L1001*(1-(Assumptions!$C$25+0.06*(1-1))-Assumptions!$C$27)-Assumptions!$C$28)-MAX(0,($L1001*(1-(Assumptions!$C$25+0.06*(1-1))-Assumptions!$C$27)-Assumptions!$C$28)*Assumptions!$C$31)+Assumptions!$C$28-Assumptions!$C$29-$L1001*Assumptions!$C$30</f>
        <v>92.70266183</v>
      </c>
      <c r="R1001" s="139">
        <f>($M1001*(1-(Assumptions!$C$25+0.06*(1-$H1001))-Assumptions!$C$27)-Assumptions!$C$28)-MAX(0,($M1001*(1-(Assumptions!$C$25+0.06*(1-$H1001))-Assumptions!$C$27)-Assumptions!$C$28)*Assumptions!$C$31)+Assumptions!$C$28-Assumptions!$C$29-$M1001*Assumptions!$C$30</f>
        <v>98.35555837</v>
      </c>
      <c r="S1001" s="139">
        <f>($N1001*(1-(Assumptions!$C$25+0.06*(1-$I1001))-Assumptions!$C$27)-Assumptions!$C$28)-MAX(0,($N1001*(1-(Assumptions!$C$25+0.06*(1-$I1001))-Assumptions!$C$27)-Assumptions!$C$28)*Assumptions!$C$31)+Assumptions!$C$28-Assumptions!$C$29-$N1001*Assumptions!$C$30</f>
        <v>104.2715767</v>
      </c>
      <c r="T1001" s="139">
        <f>($O1001*(1-(Assumptions!$C$25+0.06*(1-$J1001))-Assumptions!$C$27)-Assumptions!$C$28)-MAX(0,($O1001*(1-(Assumptions!$C$25+0.06*(1-$J1001))-Assumptions!$C$27)-Assumptions!$C$28)*Assumptions!$C$31)+Assumptions!$C$28-Assumptions!$C$29-$O1001*Assumptions!$C$30</f>
        <v>110.4642985</v>
      </c>
      <c r="U1001" s="139">
        <f>($P1001*(1-(Assumptions!$C$25+0.06*(1-$K1001))-Assumptions!$C$27)-Assumptions!$C$28)-MAX(0,($P1001*(1-(Assumptions!$C$25+0.06*(1-$K1001))-Assumptions!$C$27)-Assumptions!$C$28)*Assumptions!$C$31)+Assumptions!$C$28-Assumptions!$C$29-$P1001*Assumptions!$C$30</f>
        <v>116.9480384</v>
      </c>
      <c r="V1001" s="143">
        <f>(($Q1001/(1+$D1001)^1+$R1001/(1+$D1001)^2+$S1001/(1+$D1001)^3+$T1001/(1+$D1001)^4+$U1001/(1+$D1001)^5+$U1001*(1+$E1001)/($D1001-$E1001)/(1+$D1001)^5)-Assumptions!$C$37)/Assumptions!$C$40/Assumptions!$C$38</f>
        <v>5.191704443</v>
      </c>
    </row>
    <row r="1002" ht="12.0" customHeight="1">
      <c r="B1002" s="139">
        <v>950.0</v>
      </c>
      <c r="C1002" s="140">
        <f t="shared" si="6"/>
        <v>0.3957781104</v>
      </c>
      <c r="D1002" s="141">
        <f t="shared" si="7"/>
        <v>0.09658890334</v>
      </c>
      <c r="E1002" s="141">
        <f t="shared" si="8"/>
        <v>0.02840869778</v>
      </c>
      <c r="F1002" s="140">
        <f t="shared" si="9"/>
        <v>0.9090752791</v>
      </c>
      <c r="G1002" s="141">
        <f t="shared" si="10"/>
        <v>0.0772068574</v>
      </c>
      <c r="H1002" s="142">
        <f t="shared" si="11"/>
        <v>1</v>
      </c>
      <c r="I1002" s="142">
        <f t="shared" si="12"/>
        <v>1</v>
      </c>
      <c r="J1002" s="142">
        <f t="shared" si="13"/>
        <v>1</v>
      </c>
      <c r="K1002" s="142">
        <f t="shared" si="14"/>
        <v>1</v>
      </c>
      <c r="L1002" s="139">
        <f>Assumptions!$C$6*Assumptions!$C$7*(1+$G1002-0.05*(1-1))^1+Assumptions!$C$6*Assumptions!$C$8*(1+Assumptions!$C$11)^1+Assumptions!$C$16*1+Assumptions!$C$6*Assumptions!$C$9*(1+Assumptions!$C$12)^1</f>
        <v>752.4558282</v>
      </c>
      <c r="M1002" s="139">
        <f>Assumptions!$C$6*Assumptions!$C$7*(1+$G1002-0.05*(1-$H1002))^2+Assumptions!$C$6*Assumptions!$C$8*(1+Assumptions!$C$11)^2+Assumptions!$C$16*$H1002+Assumptions!$C$6*Assumptions!$C$9*(1+Assumptions!$C$12)^2</f>
        <v>787.0474549</v>
      </c>
      <c r="N1002" s="139">
        <f>Assumptions!$C$6*Assumptions!$C$7*(1+$G1002-0.05*(1-$I1002))^3+Assumptions!$C$6*Assumptions!$C$8*(1+Assumptions!$C$11)^3+Assumptions!$C$16*$I1002+Assumptions!$C$6*Assumptions!$C$9*(1+Assumptions!$C$12)^3</f>
        <v>823.9323783</v>
      </c>
      <c r="O1002" s="139">
        <f>Assumptions!$C$6*Assumptions!$C$7*(1+$G1002-0.05*(1-$J1002))^4+Assumptions!$C$6*Assumptions!$C$8*(1+Assumptions!$C$11)^4+Assumptions!$C$16*$J1002+Assumptions!$C$6*Assumptions!$C$9*(1+Assumptions!$C$12)^4</f>
        <v>863.2801081</v>
      </c>
      <c r="P1002" s="139">
        <f>Assumptions!$C$6*Assumptions!$C$7*(1+$G1002-0.05*(1-$K1002))^5+Assumptions!$C$6*Assumptions!$C$8*(1+Assumptions!$C$11)^5+Assumptions!$C$16*$K1002+Assumptions!$C$6*Assumptions!$C$9*(1+Assumptions!$C$12)^5</f>
        <v>905.2730907</v>
      </c>
      <c r="Q1002" s="139">
        <f>($L1002*(1-(Assumptions!$C$25+0.06*(1-1))-Assumptions!$C$27)-Assumptions!$C$28)-MAX(0,($L1002*(1-(Assumptions!$C$25+0.06*(1-1))-Assumptions!$C$27)-Assumptions!$C$28)*Assumptions!$C$31)+Assumptions!$C$28-Assumptions!$C$29-$L1002*Assumptions!$C$30</f>
        <v>94.27800306</v>
      </c>
      <c r="R1002" s="139">
        <f>($M1002*(1-(Assumptions!$C$25+0.06*(1-$H1002))-Assumptions!$C$27)-Assumptions!$C$28)-MAX(0,($M1002*(1-(Assumptions!$C$25+0.06*(1-$H1002))-Assumptions!$C$27)-Assumptions!$C$28)*Assumptions!$C$31)+Assumptions!$C$28-Assumptions!$C$29-$M1002*Assumptions!$C$30</f>
        <v>101.7152028</v>
      </c>
      <c r="S1002" s="139">
        <f>($N1002*(1-(Assumptions!$C$25+0.06*(1-$I1002))-Assumptions!$C$27)-Assumptions!$C$28)-MAX(0,($N1002*(1-(Assumptions!$C$25+0.06*(1-$I1002))-Assumptions!$C$27)-Assumptions!$C$28)*Assumptions!$C$31)+Assumptions!$C$28-Assumptions!$C$29-$N1002*Assumptions!$C$30</f>
        <v>109.6454613</v>
      </c>
      <c r="T1002" s="139">
        <f>($O1002*(1-(Assumptions!$C$25+0.06*(1-$J1002))-Assumptions!$C$27)-Assumptions!$C$28)-MAX(0,($O1002*(1-(Assumptions!$C$25+0.06*(1-$J1002))-Assumptions!$C$27)-Assumptions!$C$28)*Assumptions!$C$31)+Assumptions!$C$28-Assumptions!$C$29-$O1002*Assumptions!$C$30</f>
        <v>118.1052232</v>
      </c>
      <c r="U1002" s="139">
        <f>($P1002*(1-(Assumptions!$C$25+0.06*(1-$K1002))-Assumptions!$C$27)-Assumptions!$C$28)-MAX(0,($P1002*(1-(Assumptions!$C$25+0.06*(1-$K1002))-Assumptions!$C$27)-Assumptions!$C$28)*Assumptions!$C$31)+Assumptions!$C$28-Assumptions!$C$29-$P1002*Assumptions!$C$30</f>
        <v>127.1337145</v>
      </c>
      <c r="V1002" s="143">
        <f>(($Q1002/(1+$D1002)^1+$R1002/(1+$D1002)^2+$S1002/(1+$D1002)^3+$T1002/(1+$D1002)^4+$U1002/(1+$D1002)^5+$U1002*(1+$E1002)/($D1002-$E1002)/(1+$D1002)^5)-Assumptions!$C$37)/Assumptions!$C$40/Assumptions!$C$38</f>
        <v>7.282675135</v>
      </c>
    </row>
    <row r="1003" ht="12.0" customHeight="1">
      <c r="B1003" s="139">
        <v>951.0</v>
      </c>
      <c r="C1003" s="140">
        <f t="shared" si="6"/>
        <v>0.4527655513</v>
      </c>
      <c r="D1003" s="141">
        <f t="shared" si="7"/>
        <v>0.0974786266</v>
      </c>
      <c r="E1003" s="141">
        <f t="shared" si="8"/>
        <v>0.02500763388</v>
      </c>
      <c r="F1003" s="140">
        <f t="shared" si="9"/>
        <v>0.9387682142</v>
      </c>
      <c r="G1003" s="141">
        <f t="shared" si="10"/>
        <v>0.07950156133</v>
      </c>
      <c r="H1003" s="142">
        <f t="shared" si="11"/>
        <v>0</v>
      </c>
      <c r="I1003" s="142">
        <f t="shared" si="12"/>
        <v>0</v>
      </c>
      <c r="J1003" s="142">
        <f t="shared" si="13"/>
        <v>1</v>
      </c>
      <c r="K1003" s="142">
        <f t="shared" si="14"/>
        <v>0</v>
      </c>
      <c r="L1003" s="139">
        <f>Assumptions!$C$6*Assumptions!$C$7*(1+$G1003-0.05*(1-1))^1+Assumptions!$C$6*Assumptions!$C$8*(1+Assumptions!$C$11)^1+Assumptions!$C$16*1+Assumptions!$C$6*Assumptions!$C$9*(1+Assumptions!$C$12)^1</f>
        <v>753.2282255</v>
      </c>
      <c r="M1003" s="139">
        <f>Assumptions!$C$6*Assumptions!$C$7*(1+$G1003-0.05*(1-$H1003))^2+Assumptions!$C$6*Assumptions!$C$8*(1+Assumptions!$C$11)^2+Assumptions!$C$16*$H1003+Assumptions!$C$6*Assumptions!$C$9*(1+Assumptions!$C$12)^2</f>
        <v>693.2187682</v>
      </c>
      <c r="N1003" s="139">
        <f>Assumptions!$C$6*Assumptions!$C$7*(1+$G1003-0.05*(1-$I1003))^3+Assumptions!$C$6*Assumptions!$C$8*(1+Assumptions!$C$11)^3+Assumptions!$C$16*$I1003+Assumptions!$C$6*Assumptions!$C$9*(1+Assumptions!$C$12)^3</f>
        <v>710.472858</v>
      </c>
      <c r="O1003" s="139">
        <f>Assumptions!$C$6*Assumptions!$C$7*(1+$G1003-0.05*(1-$J1003))^4+Assumptions!$C$6*Assumptions!$C$8*(1+Assumptions!$C$11)^4+Assumptions!$C$16*$J1003+Assumptions!$C$6*Assumptions!$C$9*(1+Assumptions!$C$12)^4</f>
        <v>867.1543396</v>
      </c>
      <c r="P1003" s="139">
        <f>Assumptions!$C$6*Assumptions!$C$7*(1+$G1003-0.05*(1-$K1003))^5+Assumptions!$C$6*Assumptions!$C$8*(1+Assumptions!$C$11)^5+Assumptions!$C$16*$K1003+Assumptions!$C$6*Assumptions!$C$9*(1+Assumptions!$C$12)^5</f>
        <v>746.3281404</v>
      </c>
      <c r="Q1003" s="139">
        <f>($L1003*(1-(Assumptions!$C$25+0.06*(1-1))-Assumptions!$C$27)-Assumptions!$C$28)-MAX(0,($L1003*(1-(Assumptions!$C$25+0.06*(1-1))-Assumptions!$C$27)-Assumptions!$C$28)*Assumptions!$C$31)+Assumptions!$C$28-Assumptions!$C$29-$L1003*Assumptions!$C$30</f>
        <v>94.44406849</v>
      </c>
      <c r="R1003" s="139">
        <f>($M1003*(1-(Assumptions!$C$25+0.06*(1-$H1003))-Assumptions!$C$27)-Assumptions!$C$28)-MAX(0,($M1003*(1-(Assumptions!$C$25+0.06*(1-$H1003))-Assumptions!$C$27)-Assumptions!$C$28)*Assumptions!$C$31)+Assumptions!$C$28-Assumptions!$C$29-$M1003*Assumptions!$C$30</f>
        <v>39.4403167</v>
      </c>
      <c r="S1003" s="139">
        <f>($N1003*(1-(Assumptions!$C$25+0.06*(1-$I1003))-Assumptions!$C$27)-Assumptions!$C$28)-MAX(0,($N1003*(1-(Assumptions!$C$25+0.06*(1-$I1003))-Assumptions!$C$27)-Assumptions!$C$28)*Assumptions!$C$31)+Assumptions!$C$28-Assumptions!$C$29-$N1003*Assumptions!$C$30</f>
        <v>43.40875734</v>
      </c>
      <c r="T1003" s="139">
        <f>($O1003*(1-(Assumptions!$C$25+0.06*(1-$J1003))-Assumptions!$C$27)-Assumptions!$C$28)-MAX(0,($O1003*(1-(Assumptions!$C$25+0.06*(1-$J1003))-Assumptions!$C$27)-Assumptions!$C$28)*Assumptions!$C$31)+Assumptions!$C$28-Assumptions!$C$29-$O1003*Assumptions!$C$30</f>
        <v>118.938183</v>
      </c>
      <c r="U1003" s="139">
        <f>($P1003*(1-(Assumptions!$C$25+0.06*(1-$K1003))-Assumptions!$C$27)-Assumptions!$C$28)-MAX(0,($P1003*(1-(Assumptions!$C$25+0.06*(1-$K1003))-Assumptions!$C$27)-Assumptions!$C$28)*Assumptions!$C$31)+Assumptions!$C$28-Assumptions!$C$29-$P1003*Assumptions!$C$30</f>
        <v>51.65547229</v>
      </c>
      <c r="V1003" s="143">
        <f>(($Q1003/(1+$D1003)^1+$R1003/(1+$D1003)^2+$S1003/(1+$D1003)^3+$T1003/(1+$D1003)^4+$U1003/(1+$D1003)^5+$U1003*(1+$E1003)/($D1003-$E1003)/(1+$D1003)^5)-Assumptions!$C$37)/Assumptions!$C$40/Assumptions!$C$38</f>
        <v>0.2594741808</v>
      </c>
    </row>
    <row r="1004" ht="12.0" customHeight="1">
      <c r="B1004" s="139">
        <v>952.0</v>
      </c>
      <c r="C1004" s="140">
        <f t="shared" si="6"/>
        <v>0.4549681787</v>
      </c>
      <c r="D1004" s="141">
        <f t="shared" si="7"/>
        <v>0.09751392406</v>
      </c>
      <c r="E1004" s="141">
        <f t="shared" si="8"/>
        <v>0.02186767547</v>
      </c>
      <c r="F1004" s="140">
        <f t="shared" si="9"/>
        <v>0.4442622392</v>
      </c>
      <c r="G1004" s="141">
        <f t="shared" si="10"/>
        <v>0.05827847292</v>
      </c>
      <c r="H1004" s="142">
        <f t="shared" si="11"/>
        <v>1</v>
      </c>
      <c r="I1004" s="142">
        <f t="shared" si="12"/>
        <v>0</v>
      </c>
      <c r="J1004" s="142">
        <f t="shared" si="13"/>
        <v>1</v>
      </c>
      <c r="K1004" s="142">
        <f t="shared" si="14"/>
        <v>1</v>
      </c>
      <c r="L1004" s="139">
        <f>Assumptions!$C$6*Assumptions!$C$7*(1+$G1004-0.05*(1-1))^1+Assumptions!$C$6*Assumptions!$C$8*(1+Assumptions!$C$11)^1+Assumptions!$C$16*1+Assumptions!$C$6*Assumptions!$C$9*(1+Assumptions!$C$12)^1</f>
        <v>746.084534</v>
      </c>
      <c r="M1004" s="139">
        <f>Assumptions!$C$6*Assumptions!$C$7*(1+$G1004-0.05*(1-$H1004))^2+Assumptions!$C$6*Assumptions!$C$8*(1+Assumptions!$C$11)^2+Assumptions!$C$16*$H1004+Assumptions!$C$6*Assumptions!$C$9*(1+Assumptions!$C$12)^2</f>
        <v>773.4416496</v>
      </c>
      <c r="N1004" s="139">
        <f>Assumptions!$C$6*Assumptions!$C$7*(1+$G1004-0.05*(1-$I1004))^3+Assumptions!$C$6*Assumptions!$C$8*(1+Assumptions!$C$11)^3+Assumptions!$C$16*$I1004+Assumptions!$C$6*Assumptions!$C$9*(1+Assumptions!$C$12)^3</f>
        <v>688.2236649</v>
      </c>
      <c r="O1004" s="139">
        <f>Assumptions!$C$6*Assumptions!$C$7*(1+$G1004-0.05*(1-$J1004))^4+Assumptions!$C$6*Assumptions!$C$8*(1+Assumptions!$C$11)^4+Assumptions!$C$16*$J1004+Assumptions!$C$6*Assumptions!$C$9*(1+Assumptions!$C$12)^4</f>
        <v>832.25441</v>
      </c>
      <c r="P1004" s="139">
        <f>Assumptions!$C$6*Assumptions!$C$7*(1+$G1004-0.05*(1-$K1004))^5+Assumptions!$C$6*Assumptions!$C$8*(1+Assumptions!$C$11)^5+Assumptions!$C$16*$K1004+Assumptions!$C$6*Assumptions!$C$9*(1+Assumptions!$C$12)^5</f>
        <v>863.8605106</v>
      </c>
      <c r="Q1004" s="139">
        <f>($L1004*(1-(Assumptions!$C$25+0.06*(1-1))-Assumptions!$C$27)-Assumptions!$C$28)-MAX(0,($L1004*(1-(Assumptions!$C$25+0.06*(1-1))-Assumptions!$C$27)-Assumptions!$C$28)*Assumptions!$C$31)+Assumptions!$C$28-Assumptions!$C$29-$L1004*Assumptions!$C$30</f>
        <v>92.90817481</v>
      </c>
      <c r="R1004" s="139">
        <f>($M1004*(1-(Assumptions!$C$25+0.06*(1-$H1004))-Assumptions!$C$27)-Assumptions!$C$28)-MAX(0,($M1004*(1-(Assumptions!$C$25+0.06*(1-$H1004))-Assumptions!$C$27)-Assumptions!$C$28)*Assumptions!$C$31)+Assumptions!$C$28-Assumptions!$C$29-$M1004*Assumptions!$C$30</f>
        <v>98.78995467</v>
      </c>
      <c r="S1004" s="139">
        <f>($N1004*(1-(Assumptions!$C$25+0.06*(1-$I1004))-Assumptions!$C$27)-Assumptions!$C$28)-MAX(0,($N1004*(1-(Assumptions!$C$25+0.06*(1-$I1004))-Assumptions!$C$27)-Assumptions!$C$28)*Assumptions!$C$31)+Assumptions!$C$28-Assumptions!$C$29-$N1004*Assumptions!$C$30</f>
        <v>38.29144292</v>
      </c>
      <c r="T1004" s="139">
        <f>($O1004*(1-(Assumptions!$C$25+0.06*(1-$J1004))-Assumptions!$C$27)-Assumptions!$C$28)-MAX(0,($O1004*(1-(Assumptions!$C$25+0.06*(1-$J1004))-Assumptions!$C$27)-Assumptions!$C$28)*Assumptions!$C$31)+Assumptions!$C$28-Assumptions!$C$29-$O1004*Assumptions!$C$30</f>
        <v>111.4346982</v>
      </c>
      <c r="U1004" s="139">
        <f>($P1004*(1-(Assumptions!$C$25+0.06*(1-$K1004))-Assumptions!$C$27)-Assumptions!$C$28)-MAX(0,($P1004*(1-(Assumptions!$C$25+0.06*(1-$K1004))-Assumptions!$C$27)-Assumptions!$C$28)*Assumptions!$C$31)+Assumptions!$C$28-Assumptions!$C$29-$P1004*Assumptions!$C$30</f>
        <v>118.2300098</v>
      </c>
      <c r="V1004" s="143">
        <f>(($Q1004/(1+$D1004)^1+$R1004/(1+$D1004)^2+$S1004/(1+$D1004)^3+$T1004/(1+$D1004)^4+$U1004/(1+$D1004)^5+$U1004*(1+$E1004)/($D1004-$E1004)/(1+$D1004)^5)-Assumptions!$C$37)/Assumptions!$C$40/Assumptions!$C$38</f>
        <v>5.134586648</v>
      </c>
    </row>
    <row r="1005" ht="12.0" customHeight="1">
      <c r="B1005" s="139">
        <v>953.0</v>
      </c>
      <c r="C1005" s="140">
        <f t="shared" si="6"/>
        <v>0.005651226633</v>
      </c>
      <c r="D1005" s="141">
        <f t="shared" si="7"/>
        <v>0.08638411193</v>
      </c>
      <c r="E1005" s="141">
        <f t="shared" si="8"/>
        <v>0.01406166769</v>
      </c>
      <c r="F1005" s="140">
        <f t="shared" si="9"/>
        <v>0.1920353353</v>
      </c>
      <c r="G1005" s="141">
        <f t="shared" si="10"/>
        <v>0.04859203065</v>
      </c>
      <c r="H1005" s="142">
        <f t="shared" si="11"/>
        <v>1</v>
      </c>
      <c r="I1005" s="142">
        <f t="shared" si="12"/>
        <v>1</v>
      </c>
      <c r="J1005" s="142">
        <f t="shared" si="13"/>
        <v>1</v>
      </c>
      <c r="K1005" s="142">
        <f t="shared" si="14"/>
        <v>1</v>
      </c>
      <c r="L1005" s="139">
        <f>Assumptions!$C$6*Assumptions!$C$7*(1+$G1005-0.05*(1-1))^1+Assumptions!$C$6*Assumptions!$C$8*(1+Assumptions!$C$11)^1+Assumptions!$C$16*1+Assumptions!$C$6*Assumptions!$C$9*(1+Assumptions!$C$12)^1</f>
        <v>742.8240775</v>
      </c>
      <c r="M1005" s="139">
        <f>Assumptions!$C$6*Assumptions!$C$7*(1+$G1005-0.05*(1-$H1005))^2+Assumptions!$C$6*Assumptions!$C$8*(1+Assumptions!$C$11)^2+Assumptions!$C$16*$H1005+Assumptions!$C$6*Assumptions!$C$9*(1+Assumptions!$C$12)^2</f>
        <v>766.5722901</v>
      </c>
      <c r="N1005" s="139">
        <f>Assumptions!$C$6*Assumptions!$C$7*(1+$G1005-0.05*(1-$I1005))^3+Assumptions!$C$6*Assumptions!$C$8*(1+Assumptions!$C$11)^3+Assumptions!$C$16*$I1005+Assumptions!$C$6*Assumptions!$C$9*(1+Assumptions!$C$12)^3</f>
        <v>791.2858445</v>
      </c>
      <c r="O1005" s="139">
        <f>Assumptions!$C$6*Assumptions!$C$7*(1+$G1005-0.05*(1-$J1005))^4+Assumptions!$C$6*Assumptions!$C$8*(1+Assumptions!$C$11)^4+Assumptions!$C$16*$J1005+Assumptions!$C$6*Assumptions!$C$9*(1+Assumptions!$C$12)^4</f>
        <v>817.0078763</v>
      </c>
      <c r="P1005" s="139">
        <f>Assumptions!$C$6*Assumptions!$C$7*(1+$G1005-0.05*(1-$K1005))^5+Assumptions!$C$6*Assumptions!$C$8*(1+Assumptions!$C$11)^5+Assumptions!$C$16*$K1005+Assumptions!$C$6*Assumptions!$C$9*(1+Assumptions!$C$12)^5</f>
        <v>843.7835411</v>
      </c>
      <c r="Q1005" s="139">
        <f>($L1005*(1-(Assumptions!$C$25+0.06*(1-1))-Assumptions!$C$27)-Assumptions!$C$28)-MAX(0,($L1005*(1-(Assumptions!$C$25+0.06*(1-1))-Assumptions!$C$27)-Assumptions!$C$28)*Assumptions!$C$31)+Assumptions!$C$28-Assumptions!$C$29-$L1005*Assumptions!$C$30</f>
        <v>92.20717667</v>
      </c>
      <c r="R1005" s="139">
        <f>($M1005*(1-(Assumptions!$C$25+0.06*(1-$H1005))-Assumptions!$C$27)-Assumptions!$C$28)-MAX(0,($M1005*(1-(Assumptions!$C$25+0.06*(1-$H1005))-Assumptions!$C$27)-Assumptions!$C$28)*Assumptions!$C$31)+Assumptions!$C$28-Assumptions!$C$29-$M1005*Assumptions!$C$30</f>
        <v>97.31304236</v>
      </c>
      <c r="S1005" s="139">
        <f>($N1005*(1-(Assumptions!$C$25+0.06*(1-$I1005))-Assumptions!$C$27)-Assumptions!$C$28)-MAX(0,($N1005*(1-(Assumptions!$C$25+0.06*(1-$I1005))-Assumptions!$C$27)-Assumptions!$C$28)*Assumptions!$C$31)+Assumptions!$C$28-Assumptions!$C$29-$N1005*Assumptions!$C$30</f>
        <v>102.6264566</v>
      </c>
      <c r="T1005" s="139">
        <f>($O1005*(1-(Assumptions!$C$25+0.06*(1-$J1005))-Assumptions!$C$27)-Assumptions!$C$28)-MAX(0,($O1005*(1-(Assumptions!$C$25+0.06*(1-$J1005))-Assumptions!$C$27)-Assumptions!$C$28)*Assumptions!$C$31)+Assumptions!$C$28-Assumptions!$C$29-$O1005*Assumptions!$C$30</f>
        <v>108.1566934</v>
      </c>
      <c r="U1005" s="139">
        <f>($P1005*(1-(Assumptions!$C$25+0.06*(1-$K1005))-Assumptions!$C$27)-Assumptions!$C$28)-MAX(0,($P1005*(1-(Assumptions!$C$25+0.06*(1-$K1005))-Assumptions!$C$27)-Assumptions!$C$28)*Assumptions!$C$31)+Assumptions!$C$28-Assumptions!$C$29-$P1005*Assumptions!$C$30</f>
        <v>113.9134613</v>
      </c>
      <c r="V1005" s="143">
        <f>(($Q1005/(1+$D1005)^1+$R1005/(1+$D1005)^2+$S1005/(1+$D1005)^3+$T1005/(1+$D1005)^4+$U1005/(1+$D1005)^5+$U1005*(1+$E1005)/($D1005-$E1005)/(1+$D1005)^5)-Assumptions!$C$37)/Assumptions!$C$40/Assumptions!$C$38</f>
        <v>5.962766447</v>
      </c>
    </row>
    <row r="1006" ht="12.0" customHeight="1">
      <c r="B1006" s="139">
        <v>954.0</v>
      </c>
      <c r="C1006" s="140">
        <f t="shared" si="6"/>
        <v>0.3166228952</v>
      </c>
      <c r="D1006" s="141">
        <f t="shared" si="7"/>
        <v>0.09536026841</v>
      </c>
      <c r="E1006" s="141">
        <f t="shared" si="8"/>
        <v>0.01459862711</v>
      </c>
      <c r="F1006" s="140">
        <f t="shared" si="9"/>
        <v>0.1569329546</v>
      </c>
      <c r="G1006" s="141">
        <f t="shared" si="10"/>
        <v>0.04680712106</v>
      </c>
      <c r="H1006" s="142">
        <f t="shared" si="11"/>
        <v>1</v>
      </c>
      <c r="I1006" s="142">
        <f t="shared" si="12"/>
        <v>1</v>
      </c>
      <c r="J1006" s="142">
        <f t="shared" si="13"/>
        <v>1</v>
      </c>
      <c r="K1006" s="142">
        <f t="shared" si="14"/>
        <v>1</v>
      </c>
      <c r="L1006" s="139">
        <f>Assumptions!$C$6*Assumptions!$C$7*(1+$G1006-0.05*(1-1))^1+Assumptions!$C$6*Assumptions!$C$8*(1+Assumptions!$C$11)^1+Assumptions!$C$16*1+Assumptions!$C$6*Assumptions!$C$9*(1+Assumptions!$C$12)^1</f>
        <v>742.2232769</v>
      </c>
      <c r="M1006" s="139">
        <f>Assumptions!$C$6*Assumptions!$C$7*(1+$G1006-0.05*(1-$H1006))^2+Assumptions!$C$6*Assumptions!$C$8*(1+Assumptions!$C$11)^2+Assumptions!$C$16*$H1006+Assumptions!$C$6*Assumptions!$C$9*(1+Assumptions!$C$12)^2</f>
        <v>765.3133731</v>
      </c>
      <c r="N1006" s="139">
        <f>Assumptions!$C$6*Assumptions!$C$7*(1+$G1006-0.05*(1-$I1006))^3+Assumptions!$C$6*Assumptions!$C$8*(1+Assumptions!$C$11)^3+Assumptions!$C$16*$I1006+Assumptions!$C$6*Assumptions!$C$9*(1+Assumptions!$C$12)^3</f>
        <v>789.3073938</v>
      </c>
      <c r="O1006" s="139">
        <f>Assumptions!$C$6*Assumptions!$C$7*(1+$G1006-0.05*(1-$J1006))^4+Assumptions!$C$6*Assumptions!$C$8*(1+Assumptions!$C$11)^4+Assumptions!$C$16*$J1006+Assumptions!$C$6*Assumptions!$C$9*(1+Assumptions!$C$12)^4</f>
        <v>814.2441123</v>
      </c>
      <c r="P1006" s="139">
        <f>Assumptions!$C$6*Assumptions!$C$7*(1+$G1006-0.05*(1-$K1006))^5+Assumptions!$C$6*Assumptions!$C$8*(1+Assumptions!$C$11)^5+Assumptions!$C$16*$K1006+Assumptions!$C$6*Assumptions!$C$9*(1+Assumptions!$C$12)^5</f>
        <v>840.1640456</v>
      </c>
      <c r="Q1006" s="139">
        <f>($L1006*(1-(Assumptions!$C$25+0.06*(1-1))-Assumptions!$C$27)-Assumptions!$C$28)-MAX(0,($L1006*(1-(Assumptions!$C$25+0.06*(1-1))-Assumptions!$C$27)-Assumptions!$C$28)*Assumptions!$C$31)+Assumptions!$C$28-Assumptions!$C$29-$L1006*Assumptions!$C$30</f>
        <v>92.07800454</v>
      </c>
      <c r="R1006" s="139">
        <f>($M1006*(1-(Assumptions!$C$25+0.06*(1-$H1006))-Assumptions!$C$27)-Assumptions!$C$28)-MAX(0,($M1006*(1-(Assumptions!$C$25+0.06*(1-$H1006))-Assumptions!$C$27)-Assumptions!$C$28)*Assumptions!$C$31)+Assumptions!$C$28-Assumptions!$C$29-$M1006*Assumptions!$C$30</f>
        <v>97.04237521</v>
      </c>
      <c r="S1006" s="139">
        <f>($N1006*(1-(Assumptions!$C$25+0.06*(1-$I1006))-Assumptions!$C$27)-Assumptions!$C$28)-MAX(0,($N1006*(1-(Assumptions!$C$25+0.06*(1-$I1006))-Assumptions!$C$27)-Assumptions!$C$28)*Assumptions!$C$31)+Assumptions!$C$28-Assumptions!$C$29-$N1006*Assumptions!$C$30</f>
        <v>102.2010897</v>
      </c>
      <c r="T1006" s="139">
        <f>($O1006*(1-(Assumptions!$C$25+0.06*(1-$J1006))-Assumptions!$C$27)-Assumptions!$C$28)-MAX(0,($O1006*(1-(Assumptions!$C$25+0.06*(1-$J1006))-Assumptions!$C$27)-Assumptions!$C$28)*Assumptions!$C$31)+Assumptions!$C$28-Assumptions!$C$29-$O1006*Assumptions!$C$30</f>
        <v>107.5624842</v>
      </c>
      <c r="U1006" s="139">
        <f>($P1006*(1-(Assumptions!$C$25+0.06*(1-$K1006))-Assumptions!$C$27)-Assumptions!$C$28)-MAX(0,($P1006*(1-(Assumptions!$C$25+0.06*(1-$K1006))-Assumptions!$C$27)-Assumptions!$C$28)*Assumptions!$C$31)+Assumptions!$C$28-Assumptions!$C$29-$P1006*Assumptions!$C$30</f>
        <v>113.1352698</v>
      </c>
      <c r="V1006" s="143">
        <f>(($Q1006/(1+$D1006)^1+$R1006/(1+$D1006)^2+$S1006/(1+$D1006)^3+$T1006/(1+$D1006)^4+$U1006/(1+$D1006)^5+$U1006*(1+$E1006)/($D1006-$E1006)/(1+$D1006)^5)-Assumptions!$C$37)/Assumptions!$C$40/Assumptions!$C$38</f>
        <v>4.673358434</v>
      </c>
    </row>
    <row r="1007" ht="12.0" customHeight="1">
      <c r="B1007" s="139">
        <v>955.0</v>
      </c>
      <c r="C1007" s="140">
        <f t="shared" si="6"/>
        <v>0.7251496535</v>
      </c>
      <c r="D1007" s="141">
        <f t="shared" si="7"/>
        <v>0.1025826313</v>
      </c>
      <c r="E1007" s="141">
        <f t="shared" si="8"/>
        <v>0.01518070448</v>
      </c>
      <c r="F1007" s="140">
        <f t="shared" si="9"/>
        <v>0.2286101936</v>
      </c>
      <c r="G1007" s="141">
        <f t="shared" si="10"/>
        <v>0.05028542207</v>
      </c>
      <c r="H1007" s="142">
        <f t="shared" si="11"/>
        <v>1</v>
      </c>
      <c r="I1007" s="142">
        <f t="shared" si="12"/>
        <v>0</v>
      </c>
      <c r="J1007" s="142">
        <f t="shared" si="13"/>
        <v>1</v>
      </c>
      <c r="K1007" s="142">
        <f t="shared" si="14"/>
        <v>1</v>
      </c>
      <c r="L1007" s="139">
        <f>Assumptions!$C$6*Assumptions!$C$7*(1+$G1007-0.05*(1-1))^1+Assumptions!$C$6*Assumptions!$C$8*(1+Assumptions!$C$11)^1+Assumptions!$C$16*1+Assumptions!$C$6*Assumptions!$C$9*(1+Assumptions!$C$12)^1</f>
        <v>743.3940731</v>
      </c>
      <c r="M1007" s="139">
        <f>Assumptions!$C$6*Assumptions!$C$7*(1+$G1007-0.05*(1-$H1007))^2+Assumptions!$C$6*Assumptions!$C$8*(1+Assumptions!$C$11)^2+Assumptions!$C$16*$H1007+Assumptions!$C$6*Assumptions!$C$9*(1+Assumptions!$C$12)^2</f>
        <v>767.7686409</v>
      </c>
      <c r="N1007" s="139">
        <f>Assumptions!$C$6*Assumptions!$C$7*(1+$G1007-0.05*(1-$I1007))^3+Assumptions!$C$6*Assumptions!$C$8*(1+Assumptions!$C$11)^3+Assumptions!$C$16*$I1007+Assumptions!$C$6*Assumptions!$C$9*(1+Assumptions!$C$12)^3</f>
        <v>680.0829687</v>
      </c>
      <c r="O1007" s="139">
        <f>Assumptions!$C$6*Assumptions!$C$7*(1+$G1007-0.05*(1-$J1007))^4+Assumptions!$C$6*Assumptions!$C$8*(1+Assumptions!$C$11)^4+Assumptions!$C$16*$J1007+Assumptions!$C$6*Assumptions!$C$9*(1+Assumptions!$C$12)^4</f>
        <v>819.6430121</v>
      </c>
      <c r="P1007" s="139">
        <f>Assumptions!$C$6*Assumptions!$C$7*(1+$G1007-0.05*(1-$K1007))^5+Assumptions!$C$6*Assumptions!$C$8*(1+Assumptions!$C$11)^5+Assumptions!$C$16*$K1007+Assumptions!$C$6*Assumptions!$C$9*(1+Assumptions!$C$12)^5</f>
        <v>847.2403103</v>
      </c>
      <c r="Q1007" s="139">
        <f>($L1007*(1-(Assumptions!$C$25+0.06*(1-1))-Assumptions!$C$27)-Assumptions!$C$28)-MAX(0,($L1007*(1-(Assumptions!$C$25+0.06*(1-1))-Assumptions!$C$27)-Assumptions!$C$28)*Assumptions!$C$31)+Assumptions!$C$28-Assumptions!$C$29-$L1007*Assumptions!$C$30</f>
        <v>92.32972571</v>
      </c>
      <c r="R1007" s="139">
        <f>($M1007*(1-(Assumptions!$C$25+0.06*(1-$H1007))-Assumptions!$C$27)-Assumptions!$C$28)-MAX(0,($M1007*(1-(Assumptions!$C$25+0.06*(1-$H1007))-Assumptions!$C$27)-Assumptions!$C$28)*Assumptions!$C$31)+Assumptions!$C$28-Assumptions!$C$29-$M1007*Assumptions!$C$30</f>
        <v>97.57025779</v>
      </c>
      <c r="S1007" s="139">
        <f>($N1007*(1-(Assumptions!$C$25+0.06*(1-$I1007))-Assumptions!$C$27)-Assumptions!$C$28)-MAX(0,($N1007*(1-(Assumptions!$C$25+0.06*(1-$I1007))-Assumptions!$C$27)-Assumptions!$C$28)*Assumptions!$C$31)+Assumptions!$C$28-Assumptions!$C$29-$N1007*Assumptions!$C$30</f>
        <v>36.4190828</v>
      </c>
      <c r="T1007" s="139">
        <f>($O1007*(1-(Assumptions!$C$25+0.06*(1-$J1007))-Assumptions!$C$27)-Assumptions!$C$28)-MAX(0,($O1007*(1-(Assumptions!$C$25+0.06*(1-$J1007))-Assumptions!$C$27)-Assumptions!$C$28)*Assumptions!$C$31)+Assumptions!$C$28-Assumptions!$C$29-$O1007*Assumptions!$C$30</f>
        <v>108.7232476</v>
      </c>
      <c r="U1007" s="139">
        <f>($P1007*(1-(Assumptions!$C$25+0.06*(1-$K1007))-Assumptions!$C$27)-Assumptions!$C$28)-MAX(0,($P1007*(1-(Assumptions!$C$25+0.06*(1-$K1007))-Assumptions!$C$27)-Assumptions!$C$28)*Assumptions!$C$31)+Assumptions!$C$28-Assumptions!$C$29-$P1007*Assumptions!$C$30</f>
        <v>114.6566667</v>
      </c>
      <c r="V1007" s="143">
        <f>(($Q1007/(1+$D1007)^1+$R1007/(1+$D1007)^2+$S1007/(1+$D1007)^3+$T1007/(1+$D1007)^4+$U1007/(1+$D1007)^5+$U1007*(1+$E1007)/($D1007-$E1007)/(1+$D1007)^5)-Assumptions!$C$37)/Assumptions!$C$40/Assumptions!$C$38</f>
        <v>3.595043092</v>
      </c>
    </row>
    <row r="1008" ht="12.0" customHeight="1">
      <c r="B1008" s="139">
        <v>956.0</v>
      </c>
      <c r="C1008" s="140">
        <f t="shared" si="6"/>
        <v>0.5957471291</v>
      </c>
      <c r="D1008" s="141">
        <f t="shared" si="7"/>
        <v>0.09994058897</v>
      </c>
      <c r="E1008" s="141">
        <f t="shared" si="8"/>
        <v>0.01457352421</v>
      </c>
      <c r="F1008" s="140">
        <f t="shared" si="9"/>
        <v>0.412943945</v>
      </c>
      <c r="G1008" s="141">
        <f t="shared" si="10"/>
        <v>0.05726351226</v>
      </c>
      <c r="H1008" s="142">
        <f t="shared" si="11"/>
        <v>0</v>
      </c>
      <c r="I1008" s="142">
        <f t="shared" si="12"/>
        <v>1</v>
      </c>
      <c r="J1008" s="142">
        <f t="shared" si="13"/>
        <v>1</v>
      </c>
      <c r="K1008" s="142">
        <f t="shared" si="14"/>
        <v>0</v>
      </c>
      <c r="L1008" s="139">
        <f>Assumptions!$C$6*Assumptions!$C$7*(1+$G1008-0.05*(1-1))^1+Assumptions!$C$6*Assumptions!$C$8*(1+Assumptions!$C$11)^1+Assumptions!$C$16*1+Assumptions!$C$6*Assumptions!$C$9*(1+Assumptions!$C$12)^1</f>
        <v>745.7428982</v>
      </c>
      <c r="M1008" s="139">
        <f>Assumptions!$C$6*Assumptions!$C$7*(1+$G1008-0.05*(1-$H1008))^2+Assumptions!$C$6*Assumptions!$C$8*(1+Assumptions!$C$11)^2+Assumptions!$C$16*$H1008+Assumptions!$C$6*Assumptions!$C$9*(1+Assumptions!$C$12)^2</f>
        <v>677.972915</v>
      </c>
      <c r="N1008" s="139">
        <f>Assumptions!$C$6*Assumptions!$C$7*(1+$G1008-0.05*(1-$I1008))^3+Assumptions!$C$6*Assumptions!$C$8*(1+Assumptions!$C$11)^3+Assumptions!$C$16*$I1008+Assumptions!$C$6*Assumptions!$C$9*(1+Assumptions!$C$12)^3</f>
        <v>800.9938115</v>
      </c>
      <c r="O1008" s="139">
        <f>Assumptions!$C$6*Assumptions!$C$7*(1+$G1008-0.05*(1-$J1008))^4+Assumptions!$C$6*Assumptions!$C$8*(1+Assumptions!$C$11)^4+Assumptions!$C$16*$J1008+Assumptions!$C$6*Assumptions!$C$9*(1+Assumptions!$C$12)^4</f>
        <v>830.637081</v>
      </c>
      <c r="P1008" s="139">
        <f>Assumptions!$C$6*Assumptions!$C$7*(1+$G1008-0.05*(1-$K1008))^5+Assumptions!$C$6*Assumptions!$C$8*(1+Assumptions!$C$11)^5+Assumptions!$C$16*$K1008+Assumptions!$C$6*Assumptions!$C$9*(1+Assumptions!$C$12)^5</f>
        <v>706.063103</v>
      </c>
      <c r="Q1008" s="139">
        <f>($L1008*(1-(Assumptions!$C$25+0.06*(1-1))-Assumptions!$C$27)-Assumptions!$C$28)-MAX(0,($L1008*(1-(Assumptions!$C$25+0.06*(1-1))-Assumptions!$C$27)-Assumptions!$C$28)*Assumptions!$C$31)+Assumptions!$C$28-Assumptions!$C$29-$L1008*Assumptions!$C$30</f>
        <v>92.83472312</v>
      </c>
      <c r="R1008" s="139">
        <f>($M1008*(1-(Assumptions!$C$25+0.06*(1-$H1008))-Assumptions!$C$27)-Assumptions!$C$28)-MAX(0,($M1008*(1-(Assumptions!$C$25+0.06*(1-$H1008))-Assumptions!$C$27)-Assumptions!$C$28)*Assumptions!$C$31)+Assumptions!$C$28-Assumptions!$C$29-$M1008*Assumptions!$C$30</f>
        <v>35.93377045</v>
      </c>
      <c r="S1008" s="139">
        <f>($N1008*(1-(Assumptions!$C$25+0.06*(1-$I1008))-Assumptions!$C$27)-Assumptions!$C$28)-MAX(0,($N1008*(1-(Assumptions!$C$25+0.06*(1-$I1008))-Assumptions!$C$27)-Assumptions!$C$28)*Assumptions!$C$31)+Assumptions!$C$28-Assumptions!$C$29-$N1008*Assumptions!$C$30</f>
        <v>104.7136695</v>
      </c>
      <c r="T1008" s="139">
        <f>($O1008*(1-(Assumptions!$C$25+0.06*(1-$J1008))-Assumptions!$C$27)-Assumptions!$C$28)-MAX(0,($O1008*(1-(Assumptions!$C$25+0.06*(1-$J1008))-Assumptions!$C$27)-Assumptions!$C$28)*Assumptions!$C$31)+Assumptions!$C$28-Assumptions!$C$29-$O1008*Assumptions!$C$30</f>
        <v>111.0869724</v>
      </c>
      <c r="U1008" s="139">
        <f>($P1008*(1-(Assumptions!$C$25+0.06*(1-$K1008))-Assumptions!$C$27)-Assumptions!$C$28)-MAX(0,($P1008*(1-(Assumptions!$C$25+0.06*(1-$K1008))-Assumptions!$C$27)-Assumptions!$C$28)*Assumptions!$C$31)+Assumptions!$C$28-Assumptions!$C$29-$P1008*Assumptions!$C$30</f>
        <v>42.39451368</v>
      </c>
      <c r="V1008" s="143">
        <f>(($Q1008/(1+$D1008)^1+$R1008/(1+$D1008)^2+$S1008/(1+$D1008)^3+$T1008/(1+$D1008)^4+$U1008/(1+$D1008)^5+$U1008*(1+$E1008)/($D1008-$E1008)/(1+$D1008)^5)-Assumptions!$C$37)/Assumptions!$C$40/Assumptions!$C$38</f>
        <v>-0.6536298045</v>
      </c>
    </row>
    <row r="1009" ht="12.0" customHeight="1">
      <c r="B1009" s="139">
        <v>957.0</v>
      </c>
      <c r="C1009" s="140">
        <f t="shared" si="6"/>
        <v>0.2678354701</v>
      </c>
      <c r="D1009" s="141">
        <f t="shared" si="7"/>
        <v>0.09452870528</v>
      </c>
      <c r="E1009" s="141">
        <f t="shared" si="8"/>
        <v>0.0230452401</v>
      </c>
      <c r="F1009" s="140">
        <f t="shared" si="9"/>
        <v>0.4191754026</v>
      </c>
      <c r="G1009" s="141">
        <f t="shared" si="10"/>
        <v>0.05746844962</v>
      </c>
      <c r="H1009" s="142">
        <f t="shared" si="11"/>
        <v>1</v>
      </c>
      <c r="I1009" s="142">
        <f t="shared" si="12"/>
        <v>1</v>
      </c>
      <c r="J1009" s="142">
        <f t="shared" si="13"/>
        <v>1</v>
      </c>
      <c r="K1009" s="142">
        <f t="shared" si="14"/>
        <v>0</v>
      </c>
      <c r="L1009" s="139">
        <f>Assumptions!$C$6*Assumptions!$C$7*(1+$G1009-0.05*(1-1))^1+Assumptions!$C$6*Assumptions!$C$8*(1+Assumptions!$C$11)^1+Assumptions!$C$16*1+Assumptions!$C$6*Assumptions!$C$9*(1+Assumptions!$C$12)^1</f>
        <v>745.8118801</v>
      </c>
      <c r="M1009" s="139">
        <f>Assumptions!$C$6*Assumptions!$C$7*(1+$G1009-0.05*(1-$H1009))^2+Assumptions!$C$6*Assumptions!$C$8*(1+Assumptions!$C$11)^2+Assumptions!$C$16*$H1009+Assumptions!$C$6*Assumptions!$C$9*(1+Assumptions!$C$12)^2</f>
        <v>772.8647831</v>
      </c>
      <c r="N1009" s="139">
        <f>Assumptions!$C$6*Assumptions!$C$7*(1+$G1009-0.05*(1-$I1009))^3+Assumptions!$C$6*Assumptions!$C$8*(1+Assumptions!$C$11)^3+Assumptions!$C$16*$I1009+Assumptions!$C$6*Assumptions!$C$9*(1+Assumptions!$C$12)^3</f>
        <v>801.2251816</v>
      </c>
      <c r="O1009" s="139">
        <f>Assumptions!$C$6*Assumptions!$C$7*(1+$G1009-0.05*(1-$J1009))^4+Assumptions!$C$6*Assumptions!$C$8*(1+Assumptions!$C$11)^4+Assumptions!$C$16*$J1009+Assumptions!$C$6*Assumptions!$C$9*(1+Assumptions!$C$12)^4</f>
        <v>830.9632715</v>
      </c>
      <c r="P1009" s="139">
        <f>Assumptions!$C$6*Assumptions!$C$7*(1+$G1009-0.05*(1-$K1009))^5+Assumptions!$C$6*Assumptions!$C$8*(1+Assumptions!$C$11)^5+Assumptions!$C$16*$K1009+Assumptions!$C$6*Assumptions!$C$9*(1+Assumptions!$C$12)^5</f>
        <v>706.4182878</v>
      </c>
      <c r="Q1009" s="139">
        <f>($L1009*(1-(Assumptions!$C$25+0.06*(1-1))-Assumptions!$C$27)-Assumptions!$C$28)-MAX(0,($L1009*(1-(Assumptions!$C$25+0.06*(1-1))-Assumptions!$C$27)-Assumptions!$C$28)*Assumptions!$C$31)+Assumptions!$C$28-Assumptions!$C$29-$L1009*Assumptions!$C$30</f>
        <v>92.84955423</v>
      </c>
      <c r="R1009" s="139">
        <f>($M1009*(1-(Assumptions!$C$25+0.06*(1-$H1009))-Assumptions!$C$27)-Assumptions!$C$28)-MAX(0,($M1009*(1-(Assumptions!$C$25+0.06*(1-$H1009))-Assumptions!$C$27)-Assumptions!$C$28)*Assumptions!$C$31)+Assumptions!$C$28-Assumptions!$C$29-$M1009*Assumptions!$C$30</f>
        <v>98.66592836</v>
      </c>
      <c r="S1009" s="139">
        <f>($N1009*(1-(Assumptions!$C$25+0.06*(1-$I1009))-Assumptions!$C$27)-Assumptions!$C$28)-MAX(0,($N1009*(1-(Assumptions!$C$25+0.06*(1-$I1009))-Assumptions!$C$27)-Assumptions!$C$28)*Assumptions!$C$31)+Assumptions!$C$28-Assumptions!$C$29-$N1009*Assumptions!$C$30</f>
        <v>104.763414</v>
      </c>
      <c r="T1009" s="139">
        <f>($O1009*(1-(Assumptions!$C$25+0.06*(1-$J1009))-Assumptions!$C$27)-Assumptions!$C$28)-MAX(0,($O1009*(1-(Assumptions!$C$25+0.06*(1-$J1009))-Assumptions!$C$27)-Assumptions!$C$28)*Assumptions!$C$31)+Assumptions!$C$28-Assumptions!$C$29-$O1009*Assumptions!$C$30</f>
        <v>111.1571034</v>
      </c>
      <c r="U1009" s="139">
        <f>($P1009*(1-(Assumptions!$C$25+0.06*(1-$K1009))-Assumptions!$C$27)-Assumptions!$C$28)-MAX(0,($P1009*(1-(Assumptions!$C$25+0.06*(1-$K1009))-Assumptions!$C$27)-Assumptions!$C$28)*Assumptions!$C$31)+Assumptions!$C$28-Assumptions!$C$29-$P1009*Assumptions!$C$30</f>
        <v>42.47620619</v>
      </c>
      <c r="V1009" s="143">
        <f>(($Q1009/(1+$D1009)^1+$R1009/(1+$D1009)^2+$S1009/(1+$D1009)^3+$T1009/(1+$D1009)^4+$U1009/(1+$D1009)^5+$U1009*(1+$E1009)/($D1009-$E1009)/(1+$D1009)^5)-Assumptions!$C$37)/Assumptions!$C$40/Assumptions!$C$38</f>
        <v>0.3657525568</v>
      </c>
    </row>
    <row r="1010" ht="12.0" customHeight="1">
      <c r="B1010" s="139">
        <v>958.0</v>
      </c>
      <c r="C1010" s="140">
        <f t="shared" si="6"/>
        <v>0.05069059432</v>
      </c>
      <c r="D1010" s="141">
        <f t="shared" si="7"/>
        <v>0.0891453723</v>
      </c>
      <c r="E1010" s="141">
        <f t="shared" si="8"/>
        <v>0.02067016728</v>
      </c>
      <c r="F1010" s="140">
        <f t="shared" si="9"/>
        <v>0.4736590959</v>
      </c>
      <c r="G1010" s="141">
        <f t="shared" si="10"/>
        <v>0.05919908171</v>
      </c>
      <c r="H1010" s="142">
        <f t="shared" si="11"/>
        <v>1</v>
      </c>
      <c r="I1010" s="142">
        <f t="shared" si="12"/>
        <v>1</v>
      </c>
      <c r="J1010" s="142">
        <f t="shared" si="13"/>
        <v>1</v>
      </c>
      <c r="K1010" s="142">
        <f t="shared" si="14"/>
        <v>1</v>
      </c>
      <c r="L1010" s="139">
        <f>Assumptions!$C$6*Assumptions!$C$7*(1+$G1010-0.05*(1-1))^1+Assumptions!$C$6*Assumptions!$C$8*(1+Assumptions!$C$11)^1+Assumptions!$C$16*1+Assumptions!$C$6*Assumptions!$C$9*(1+Assumptions!$C$12)^1</f>
        <v>746.3944109</v>
      </c>
      <c r="M1010" s="139">
        <f>Assumptions!$C$6*Assumptions!$C$7*(1+$G1010-0.05*(1-$H1010))^2+Assumptions!$C$6*Assumptions!$C$8*(1+Assumptions!$C$11)^2+Assumptions!$C$16*$H1010+Assumptions!$C$6*Assumptions!$C$9*(1+Assumptions!$C$12)^2</f>
        <v>774.097807</v>
      </c>
      <c r="N1010" s="139">
        <f>Assumptions!$C$6*Assumptions!$C$7*(1+$G1010-0.05*(1-$I1010))^3+Assumptions!$C$6*Assumptions!$C$8*(1+Assumptions!$C$11)^3+Assumptions!$C$16*$I1010+Assumptions!$C$6*Assumptions!$C$9*(1+Assumptions!$C$12)^3</f>
        <v>803.1826083</v>
      </c>
      <c r="O1010" s="139">
        <f>Assumptions!$C$6*Assumptions!$C$7*(1+$G1010-0.05*(1-$J1010))^4+Assumptions!$C$6*Assumptions!$C$8*(1+Assumptions!$C$11)^4+Assumptions!$C$16*$J1010+Assumptions!$C$6*Assumptions!$C$9*(1+Assumptions!$C$12)^4</f>
        <v>833.7254205</v>
      </c>
      <c r="P1010" s="139">
        <f>Assumptions!$C$6*Assumptions!$C$7*(1+$G1010-0.05*(1-$K1010))^5+Assumptions!$C$6*Assumptions!$C$8*(1+Assumptions!$C$11)^5+Assumptions!$C$16*$K1010+Assumptions!$C$6*Assumptions!$C$9*(1+Assumptions!$C$12)^5</f>
        <v>865.8072807</v>
      </c>
      <c r="Q1010" s="139">
        <f>($L1010*(1-(Assumptions!$C$25+0.06*(1-1))-Assumptions!$C$27)-Assumptions!$C$28)-MAX(0,($L1010*(1-(Assumptions!$C$25+0.06*(1-1))-Assumptions!$C$27)-Assumptions!$C$28)*Assumptions!$C$31)+Assumptions!$C$28-Assumptions!$C$29-$L1010*Assumptions!$C$30</f>
        <v>92.97479834</v>
      </c>
      <c r="R1010" s="139">
        <f>($M1010*(1-(Assumptions!$C$25+0.06*(1-$H1010))-Assumptions!$C$27)-Assumptions!$C$28)-MAX(0,($M1010*(1-(Assumptions!$C$25+0.06*(1-$H1010))-Assumptions!$C$27)-Assumptions!$C$28)*Assumptions!$C$31)+Assumptions!$C$28-Assumptions!$C$29-$M1010*Assumptions!$C$30</f>
        <v>98.93102851</v>
      </c>
      <c r="S1010" s="139">
        <f>($N1010*(1-(Assumptions!$C$25+0.06*(1-$I1010))-Assumptions!$C$27)-Assumptions!$C$28)-MAX(0,($N1010*(1-(Assumptions!$C$25+0.06*(1-$I1010))-Assumptions!$C$27)-Assumptions!$C$28)*Assumptions!$C$31)+Assumptions!$C$28-Assumptions!$C$29-$N1010*Assumptions!$C$30</f>
        <v>105.1842608</v>
      </c>
      <c r="T1010" s="139">
        <f>($O1010*(1-(Assumptions!$C$25+0.06*(1-$J1010))-Assumptions!$C$27)-Assumptions!$C$28)-MAX(0,($O1010*(1-(Assumptions!$C$25+0.06*(1-$J1010))-Assumptions!$C$27)-Assumptions!$C$28)*Assumptions!$C$31)+Assumptions!$C$28-Assumptions!$C$29-$O1010*Assumptions!$C$30</f>
        <v>111.7509654</v>
      </c>
      <c r="U1010" s="139">
        <f>($P1010*(1-(Assumptions!$C$25+0.06*(1-$K1010))-Assumptions!$C$27)-Assumptions!$C$28)-MAX(0,($P1010*(1-(Assumptions!$C$25+0.06*(1-$K1010))-Assumptions!$C$27)-Assumptions!$C$28)*Assumptions!$C$31)+Assumptions!$C$28-Assumptions!$C$29-$P1010*Assumptions!$C$30</f>
        <v>118.6485654</v>
      </c>
      <c r="V1010" s="143">
        <f>(($Q1010/(1+$D1010)^1+$R1010/(1+$D1010)^2+$S1010/(1+$D1010)^3+$T1010/(1+$D1010)^4+$U1010/(1+$D1010)^5+$U1010*(1+$E1010)/($D1010-$E1010)/(1+$D1010)^5)-Assumptions!$C$37)/Assumptions!$C$40/Assumptions!$C$38</f>
        <v>6.783633398</v>
      </c>
    </row>
    <row r="1011" ht="12.0" customHeight="1">
      <c r="B1011" s="139">
        <v>959.0</v>
      </c>
      <c r="C1011" s="140">
        <f t="shared" si="6"/>
        <v>0.8877343771</v>
      </c>
      <c r="D1011" s="141">
        <f t="shared" si="7"/>
        <v>0.1070639421</v>
      </c>
      <c r="E1011" s="141">
        <f t="shared" si="8"/>
        <v>0.02663513069</v>
      </c>
      <c r="F1011" s="140">
        <f t="shared" si="9"/>
        <v>0.6041266536</v>
      </c>
      <c r="G1011" s="141">
        <f t="shared" si="10"/>
        <v>0.06330595528</v>
      </c>
      <c r="H1011" s="142">
        <f t="shared" si="11"/>
        <v>1</v>
      </c>
      <c r="I1011" s="142">
        <f t="shared" si="12"/>
        <v>1</v>
      </c>
      <c r="J1011" s="142">
        <f t="shared" si="13"/>
        <v>0</v>
      </c>
      <c r="K1011" s="142">
        <f t="shared" si="14"/>
        <v>0</v>
      </c>
      <c r="L1011" s="139">
        <f>Assumptions!$C$6*Assumptions!$C$7*(1+$G1011-0.05*(1-1))^1+Assumptions!$C$6*Assumptions!$C$8*(1+Assumptions!$C$11)^1+Assumptions!$C$16*1+Assumptions!$C$6*Assumptions!$C$9*(1+Assumptions!$C$12)^1</f>
        <v>747.7767845</v>
      </c>
      <c r="M1011" s="139">
        <f>Assumptions!$C$6*Assumptions!$C$7*(1+$G1011-0.05*(1-$H1011))^2+Assumptions!$C$6*Assumptions!$C$8*(1+Assumptions!$C$11)^2+Assumptions!$C$16*$H1011+Assumptions!$C$6*Assumptions!$C$9*(1+Assumptions!$C$12)^2</f>
        <v>777.0319021</v>
      </c>
      <c r="N1011" s="139">
        <f>Assumptions!$C$6*Assumptions!$C$7*(1+$G1011-0.05*(1-$I1011))^3+Assumptions!$C$6*Assumptions!$C$8*(1+Assumptions!$C$11)^3+Assumptions!$C$16*$I1011+Assumptions!$C$6*Assumptions!$C$9*(1+Assumptions!$C$12)^3</f>
        <v>807.8533378</v>
      </c>
      <c r="O1011" s="139">
        <f>Assumptions!$C$6*Assumptions!$C$7*(1+$G1011-0.05*(1-$J1011))^4+Assumptions!$C$6*Assumptions!$C$8*(1+Assumptions!$C$11)^4+Assumptions!$C$16*$J1011+Assumptions!$C$6*Assumptions!$C$9*(1+Assumptions!$C$12)^4</f>
        <v>704.9344482</v>
      </c>
      <c r="P1011" s="139">
        <f>Assumptions!$C$6*Assumptions!$C$7*(1+$G1011-0.05*(1-$K1011))^5+Assumptions!$C$6*Assumptions!$C$8*(1+Assumptions!$C$11)^5+Assumptions!$C$16*$K1011+Assumptions!$C$6*Assumptions!$C$9*(1+Assumptions!$C$12)^5</f>
        <v>716.6575821</v>
      </c>
      <c r="Q1011" s="139">
        <f>($L1011*(1-(Assumptions!$C$25+0.06*(1-1))-Assumptions!$C$27)-Assumptions!$C$28)-MAX(0,($L1011*(1-(Assumptions!$C$25+0.06*(1-1))-Assumptions!$C$27)-Assumptions!$C$28)*Assumptions!$C$31)+Assumptions!$C$28-Assumptions!$C$29-$L1011*Assumptions!$C$30</f>
        <v>93.27200868</v>
      </c>
      <c r="R1011" s="139">
        <f>($M1011*(1-(Assumptions!$C$25+0.06*(1-$H1011))-Assumptions!$C$27)-Assumptions!$C$28)-MAX(0,($M1011*(1-(Assumptions!$C$25+0.06*(1-$H1011))-Assumptions!$C$27)-Assumptions!$C$28)*Assumptions!$C$31)+Assumptions!$C$28-Assumptions!$C$29-$M1011*Assumptions!$C$30</f>
        <v>99.56185894</v>
      </c>
      <c r="S1011" s="139">
        <f>($N1011*(1-(Assumptions!$C$25+0.06*(1-$I1011))-Assumptions!$C$27)-Assumptions!$C$28)-MAX(0,($N1011*(1-(Assumptions!$C$25+0.06*(1-$I1011))-Assumptions!$C$27)-Assumptions!$C$28)*Assumptions!$C$31)+Assumptions!$C$28-Assumptions!$C$29-$N1011*Assumptions!$C$30</f>
        <v>106.1884676</v>
      </c>
      <c r="T1011" s="139">
        <f>($O1011*(1-(Assumptions!$C$25+0.06*(1-$J1011))-Assumptions!$C$27)-Assumptions!$C$28)-MAX(0,($O1011*(1-(Assumptions!$C$25+0.06*(1-$J1011))-Assumptions!$C$27)-Assumptions!$C$28)*Assumptions!$C$31)+Assumptions!$C$28-Assumptions!$C$29-$O1011*Assumptions!$C$30</f>
        <v>42.13492308</v>
      </c>
      <c r="U1011" s="139">
        <f>($P1011*(1-(Assumptions!$C$25+0.06*(1-$K1011))-Assumptions!$C$27)-Assumptions!$C$28)-MAX(0,($P1011*(1-(Assumptions!$C$25+0.06*(1-$K1011))-Assumptions!$C$27)-Assumptions!$C$28)*Assumptions!$C$31)+Assumptions!$C$28-Assumptions!$C$29-$P1011*Assumptions!$C$30</f>
        <v>44.83124388</v>
      </c>
      <c r="V1011" s="143">
        <f>(($Q1011/(1+$D1011)^1+$R1011/(1+$D1011)^2+$S1011/(1+$D1011)^3+$T1011/(1+$D1011)^4+$U1011/(1+$D1011)^5+$U1011*(1+$E1011)/($D1011-$E1011)/(1+$D1011)^5)-Assumptions!$C$37)/Assumptions!$C$40/Assumptions!$C$38</f>
        <v>-0.3809005428</v>
      </c>
    </row>
    <row r="1012" ht="12.0" customHeight="1">
      <c r="B1012" s="139">
        <v>960.0</v>
      </c>
      <c r="C1012" s="140">
        <f t="shared" si="6"/>
        <v>0.33863335</v>
      </c>
      <c r="D1012" s="141">
        <f t="shared" si="7"/>
        <v>0.09571432245</v>
      </c>
      <c r="E1012" s="141">
        <f t="shared" si="8"/>
        <v>0.0257371587</v>
      </c>
      <c r="F1012" s="140">
        <f t="shared" si="9"/>
        <v>0.8119795899</v>
      </c>
      <c r="G1012" s="141">
        <f t="shared" si="10"/>
        <v>0.07160334981</v>
      </c>
      <c r="H1012" s="142">
        <f t="shared" si="11"/>
        <v>0</v>
      </c>
      <c r="I1012" s="142">
        <f t="shared" si="12"/>
        <v>1</v>
      </c>
      <c r="J1012" s="142">
        <f t="shared" si="13"/>
        <v>1</v>
      </c>
      <c r="K1012" s="142">
        <f t="shared" si="14"/>
        <v>1</v>
      </c>
      <c r="L1012" s="139">
        <f>Assumptions!$C$6*Assumptions!$C$7*(1+$G1012-0.05*(1-1))^1+Assumptions!$C$6*Assumptions!$C$8*(1+Assumptions!$C$11)^1+Assumptions!$C$16*1+Assumptions!$C$6*Assumptions!$C$9*(1+Assumptions!$C$12)^1</f>
        <v>750.5696875</v>
      </c>
      <c r="M1012" s="139">
        <f>Assumptions!$C$6*Assumptions!$C$7*(1+$G1012-0.05*(1-$H1012))^2+Assumptions!$C$6*Assumptions!$C$8*(1+Assumptions!$C$11)^2+Assumptions!$C$16*$H1012+Assumptions!$C$6*Assumptions!$C$9*(1+Assumptions!$C$12)^2</f>
        <v>687.7658279</v>
      </c>
      <c r="N1012" s="139">
        <f>Assumptions!$C$6*Assumptions!$C$7*(1+$G1012-0.05*(1-$I1012))^3+Assumptions!$C$6*Assumptions!$C$8*(1+Assumptions!$C$11)^3+Assumptions!$C$16*$I1012+Assumptions!$C$6*Assumptions!$C$9*(1+Assumptions!$C$12)^3</f>
        <v>817.4005848</v>
      </c>
      <c r="O1012" s="139">
        <f>Assumptions!$C$6*Assumptions!$C$7*(1+$G1012-0.05*(1-$J1012))^4+Assumptions!$C$6*Assumptions!$C$8*(1+Assumptions!$C$11)^4+Assumptions!$C$16*$J1012+Assumptions!$C$6*Assumptions!$C$9*(1+Assumptions!$C$12)^4</f>
        <v>853.9230094</v>
      </c>
      <c r="P1012" s="139">
        <f>Assumptions!$C$6*Assumptions!$C$7*(1+$G1012-0.05*(1-$K1012))^5+Assumptions!$C$6*Assumptions!$C$8*(1+Assumptions!$C$11)^5+Assumptions!$C$16*$K1012+Assumptions!$C$6*Assumptions!$C$9*(1+Assumptions!$C$12)^5</f>
        <v>892.706362</v>
      </c>
      <c r="Q1012" s="139">
        <f>($L1012*(1-(Assumptions!$C$25+0.06*(1-1))-Assumptions!$C$27)-Assumptions!$C$28)-MAX(0,($L1012*(1-(Assumptions!$C$25+0.06*(1-1))-Assumptions!$C$27)-Assumptions!$C$28)*Assumptions!$C$31)+Assumptions!$C$28-Assumptions!$C$29-$L1012*Assumptions!$C$30</f>
        <v>93.87248282</v>
      </c>
      <c r="R1012" s="139">
        <f>($M1012*(1-(Assumptions!$C$25+0.06*(1-$H1012))-Assumptions!$C$27)-Assumptions!$C$28)-MAX(0,($M1012*(1-(Assumptions!$C$25+0.06*(1-$H1012))-Assumptions!$C$27)-Assumptions!$C$28)*Assumptions!$C$31)+Assumptions!$C$28-Assumptions!$C$29-$M1012*Assumptions!$C$30</f>
        <v>38.18614042</v>
      </c>
      <c r="S1012" s="139">
        <f>($N1012*(1-(Assumptions!$C$25+0.06*(1-$I1012))-Assumptions!$C$27)-Assumptions!$C$28)-MAX(0,($N1012*(1-(Assumptions!$C$25+0.06*(1-$I1012))-Assumptions!$C$27)-Assumptions!$C$28)*Assumptions!$C$31)+Assumptions!$C$28-Assumptions!$C$29-$N1012*Assumptions!$C$30</f>
        <v>108.2411257</v>
      </c>
      <c r="T1012" s="139">
        <f>($O1012*(1-(Assumptions!$C$25+0.06*(1-$J1012))-Assumptions!$C$27)-Assumptions!$C$28)-MAX(0,($O1012*(1-(Assumptions!$C$25+0.06*(1-$J1012))-Assumptions!$C$27)-Assumptions!$C$28)*Assumptions!$C$31)+Assumptions!$C$28-Assumptions!$C$29-$O1012*Assumptions!$C$30</f>
        <v>116.093447</v>
      </c>
      <c r="U1012" s="139">
        <f>($P1012*(1-(Assumptions!$C$25+0.06*(1-$K1012))-Assumptions!$C$27)-Assumptions!$C$28)-MAX(0,($P1012*(1-(Assumptions!$C$25+0.06*(1-$K1012))-Assumptions!$C$27)-Assumptions!$C$28)*Assumptions!$C$31)+Assumptions!$C$28-Assumptions!$C$29-$P1012*Assumptions!$C$30</f>
        <v>124.4318678</v>
      </c>
      <c r="V1012" s="143">
        <f>(($Q1012/(1+$D1012)^1+$R1012/(1+$D1012)^2+$S1012/(1+$D1012)^3+$T1012/(1+$D1012)^4+$U1012/(1+$D1012)^5+$U1012*(1+$E1012)/($D1012-$E1012)/(1+$D1012)^5)-Assumptions!$C$37)/Assumptions!$C$40/Assumptions!$C$38</f>
        <v>6.416683342</v>
      </c>
    </row>
    <row r="1013" ht="12.0" customHeight="1">
      <c r="B1013" s="139">
        <v>961.0</v>
      </c>
      <c r="C1013" s="140">
        <f t="shared" si="6"/>
        <v>0.7953708266</v>
      </c>
      <c r="D1013" s="141">
        <f t="shared" si="7"/>
        <v>0.1042856654</v>
      </c>
      <c r="E1013" s="141">
        <f t="shared" si="8"/>
        <v>0.01468236017</v>
      </c>
      <c r="F1013" s="140">
        <f t="shared" si="9"/>
        <v>0.05400618908</v>
      </c>
      <c r="G1013" s="141">
        <f t="shared" si="10"/>
        <v>0.039859571</v>
      </c>
      <c r="H1013" s="142">
        <f t="shared" si="11"/>
        <v>0</v>
      </c>
      <c r="I1013" s="142">
        <f t="shared" si="12"/>
        <v>1</v>
      </c>
      <c r="J1013" s="142">
        <f t="shared" si="13"/>
        <v>0</v>
      </c>
      <c r="K1013" s="142">
        <f t="shared" si="14"/>
        <v>1</v>
      </c>
      <c r="L1013" s="139">
        <f>Assumptions!$C$6*Assumptions!$C$7*(1+$G1013-0.05*(1-1))^1+Assumptions!$C$6*Assumptions!$C$8*(1+Assumptions!$C$11)^1+Assumptions!$C$16*1+Assumptions!$C$6*Assumptions!$C$9*(1+Assumptions!$C$12)^1</f>
        <v>739.8847316</v>
      </c>
      <c r="M1013" s="139">
        <f>Assumptions!$C$6*Assumptions!$C$7*(1+$G1013-0.05*(1-$H1013))^2+Assumptions!$C$6*Assumptions!$C$8*(1+Assumptions!$C$11)^2+Assumptions!$C$16*$H1013+Assumptions!$C$6*Assumptions!$C$9*(1+Assumptions!$C$12)^2</f>
        <v>666.2734352</v>
      </c>
      <c r="N1013" s="139">
        <f>Assumptions!$C$6*Assumptions!$C$7*(1+$G1013-0.05*(1-$I1013))^3+Assumptions!$C$6*Assumptions!$C$8*(1+Assumptions!$C$11)^3+Assumptions!$C$16*$I1013+Assumptions!$C$6*Assumptions!$C$9*(1+Assumptions!$C$12)^3</f>
        <v>781.6705338</v>
      </c>
      <c r="O1013" s="139">
        <f>Assumptions!$C$6*Assumptions!$C$7*(1+$G1013-0.05*(1-$J1013))^4+Assumptions!$C$6*Assumptions!$C$8*(1+Assumptions!$C$11)^4+Assumptions!$C$16*$J1013+Assumptions!$C$6*Assumptions!$C$9*(1+Assumptions!$C$12)^4</f>
        <v>673.2117586</v>
      </c>
      <c r="P1013" s="139">
        <f>Assumptions!$C$6*Assumptions!$C$7*(1+$G1013-0.05*(1-$K1013))^5+Assumptions!$C$6*Assumptions!$C$8*(1+Assumptions!$C$11)^5+Assumptions!$C$16*$K1013+Assumptions!$C$6*Assumptions!$C$9*(1+Assumptions!$C$12)^5</f>
        <v>826.3086866</v>
      </c>
      <c r="Q1013" s="139">
        <f>($L1013*(1-(Assumptions!$C$25+0.06*(1-1))-Assumptions!$C$27)-Assumptions!$C$28)-MAX(0,($L1013*(1-(Assumptions!$C$25+0.06*(1-1))-Assumptions!$C$27)-Assumptions!$C$28)*Assumptions!$C$31)+Assumptions!$C$28-Assumptions!$C$29-$L1013*Assumptions!$C$30</f>
        <v>91.57521729</v>
      </c>
      <c r="R1013" s="139">
        <f>($M1013*(1-(Assumptions!$C$25+0.06*(1-$H1013))-Assumptions!$C$27)-Assumptions!$C$28)-MAX(0,($M1013*(1-(Assumptions!$C$25+0.06*(1-$H1013))-Assumptions!$C$27)-Assumptions!$C$28)*Assumptions!$C$31)+Assumptions!$C$28-Assumptions!$C$29-$M1013*Assumptions!$C$30</f>
        <v>33.2428901</v>
      </c>
      <c r="S1013" s="139">
        <f>($N1013*(1-(Assumptions!$C$25+0.06*(1-$I1013))-Assumptions!$C$27)-Assumptions!$C$28)-MAX(0,($N1013*(1-(Assumptions!$C$25+0.06*(1-$I1013))-Assumptions!$C$27)-Assumptions!$C$28)*Assumptions!$C$31)+Assumptions!$C$28-Assumptions!$C$29-$N1013*Assumptions!$C$30</f>
        <v>100.5591648</v>
      </c>
      <c r="T1013" s="139">
        <f>($O1013*(1-(Assumptions!$C$25+0.06*(1-$J1013))-Assumptions!$C$27)-Assumptions!$C$28)-MAX(0,($O1013*(1-(Assumptions!$C$25+0.06*(1-$J1013))-Assumptions!$C$27)-Assumptions!$C$28)*Assumptions!$C$31)+Assumptions!$C$28-Assumptions!$C$29-$O1013*Assumptions!$C$30</f>
        <v>34.83870448</v>
      </c>
      <c r="U1013" s="139">
        <f>($P1013*(1-(Assumptions!$C$25+0.06*(1-$K1013))-Assumptions!$C$27)-Assumptions!$C$28)-MAX(0,($P1013*(1-(Assumptions!$C$25+0.06*(1-$K1013))-Assumptions!$C$27)-Assumptions!$C$28)*Assumptions!$C$31)+Assumptions!$C$28-Assumptions!$C$29-$P1013*Assumptions!$C$30</f>
        <v>110.1563676</v>
      </c>
      <c r="V1013" s="143">
        <f>(($Q1013/(1+$D1013)^1+$R1013/(1+$D1013)^2+$S1013/(1+$D1013)^3+$T1013/(1+$D1013)^4+$U1013/(1+$D1013)^5+$U1013*(1+$E1013)/($D1013-$E1013)/(1+$D1013)^5)-Assumptions!$C$37)/Assumptions!$C$40/Assumptions!$C$38</f>
        <v>2.679208791</v>
      </c>
    </row>
    <row r="1014" ht="12.0" customHeight="1">
      <c r="B1014" s="139">
        <v>962.0</v>
      </c>
      <c r="C1014" s="140">
        <f t="shared" si="6"/>
        <v>0.8524663482</v>
      </c>
      <c r="D1014" s="141">
        <f t="shared" si="7"/>
        <v>0.1059023971</v>
      </c>
      <c r="E1014" s="141">
        <f t="shared" si="8"/>
        <v>0.02521738156</v>
      </c>
      <c r="F1014" s="140">
        <f t="shared" si="9"/>
        <v>0.3921487759</v>
      </c>
      <c r="G1014" s="141">
        <f t="shared" si="10"/>
        <v>0.05656817262</v>
      </c>
      <c r="H1014" s="142">
        <f t="shared" si="11"/>
        <v>1</v>
      </c>
      <c r="I1014" s="142">
        <f t="shared" si="12"/>
        <v>1</v>
      </c>
      <c r="J1014" s="142">
        <f t="shared" si="13"/>
        <v>0</v>
      </c>
      <c r="K1014" s="142">
        <f t="shared" si="14"/>
        <v>1</v>
      </c>
      <c r="L1014" s="139">
        <f>Assumptions!$C$6*Assumptions!$C$7*(1+$G1014-0.05*(1-1))^1+Assumptions!$C$6*Assumptions!$C$8*(1+Assumptions!$C$11)^1+Assumptions!$C$16*1+Assumptions!$C$6*Assumptions!$C$9*(1+Assumptions!$C$12)^1</f>
        <v>745.5088469</v>
      </c>
      <c r="M1014" s="139">
        <f>Assumptions!$C$6*Assumptions!$C$7*(1+$G1014-0.05*(1-$H1014))^2+Assumptions!$C$6*Assumptions!$C$8*(1+Assumptions!$C$11)^2+Assumptions!$C$16*$H1014+Assumptions!$C$6*Assumptions!$C$9*(1+Assumptions!$C$12)^2</f>
        <v>772.2241597</v>
      </c>
      <c r="N1014" s="139">
        <f>Assumptions!$C$6*Assumptions!$C$7*(1+$G1014-0.05*(1-$I1014))^3+Assumptions!$C$6*Assumptions!$C$8*(1+Assumptions!$C$11)^3+Assumptions!$C$16*$I1014+Assumptions!$C$6*Assumptions!$C$9*(1+Assumptions!$C$12)^3</f>
        <v>800.2094556</v>
      </c>
      <c r="O1014" s="139">
        <f>Assumptions!$C$6*Assumptions!$C$7*(1+$G1014-0.05*(1-$J1014))^4+Assumptions!$C$6*Assumptions!$C$8*(1+Assumptions!$C$11)^4+Assumptions!$C$16*$J1014+Assumptions!$C$6*Assumptions!$C$9*(1+Assumptions!$C$12)^4</f>
        <v>695.5894576</v>
      </c>
      <c r="P1014" s="139">
        <f>Assumptions!$C$6*Assumptions!$C$7*(1+$G1014-0.05*(1-$K1014))^5+Assumptions!$C$6*Assumptions!$C$8*(1+Assumptions!$C$11)^5+Assumptions!$C$16*$K1014+Assumptions!$C$6*Assumptions!$C$9*(1+Assumptions!$C$12)^5</f>
        <v>860.261753</v>
      </c>
      <c r="Q1014" s="139">
        <f>($L1014*(1-(Assumptions!$C$25+0.06*(1-1))-Assumptions!$C$27)-Assumptions!$C$28)-MAX(0,($L1014*(1-(Assumptions!$C$25+0.06*(1-1))-Assumptions!$C$27)-Assumptions!$C$28)*Assumptions!$C$31)+Assumptions!$C$28-Assumptions!$C$29-$L1014*Assumptions!$C$30</f>
        <v>92.78440208</v>
      </c>
      <c r="R1014" s="139">
        <f>($M1014*(1-(Assumptions!$C$25+0.06*(1-$H1014))-Assumptions!$C$27)-Assumptions!$C$28)-MAX(0,($M1014*(1-(Assumptions!$C$25+0.06*(1-$H1014))-Assumptions!$C$27)-Assumptions!$C$28)*Assumptions!$C$31)+Assumptions!$C$28-Assumptions!$C$29-$M1014*Assumptions!$C$30</f>
        <v>98.52819434</v>
      </c>
      <c r="S1014" s="139">
        <f>($N1014*(1-(Assumptions!$C$25+0.06*(1-$I1014))-Assumptions!$C$27)-Assumptions!$C$28)-MAX(0,($N1014*(1-(Assumptions!$C$25+0.06*(1-$I1014))-Assumptions!$C$27)-Assumptions!$C$28)*Assumptions!$C$31)+Assumptions!$C$28-Assumptions!$C$29-$N1014*Assumptions!$C$30</f>
        <v>104.5450329</v>
      </c>
      <c r="T1014" s="139">
        <f>($O1014*(1-(Assumptions!$C$25+0.06*(1-$J1014))-Assumptions!$C$27)-Assumptions!$C$28)-MAX(0,($O1014*(1-(Assumptions!$C$25+0.06*(1-$J1014))-Assumptions!$C$27)-Assumptions!$C$28)*Assumptions!$C$31)+Assumptions!$C$28-Assumptions!$C$29-$O1014*Assumptions!$C$30</f>
        <v>39.98557526</v>
      </c>
      <c r="U1014" s="139">
        <f>($P1014*(1-(Assumptions!$C$25+0.06*(1-$K1014))-Assumptions!$C$27)-Assumptions!$C$28)-MAX(0,($P1014*(1-(Assumptions!$C$25+0.06*(1-$K1014))-Assumptions!$C$27)-Assumptions!$C$28)*Assumptions!$C$31)+Assumptions!$C$28-Assumptions!$C$29-$P1014*Assumptions!$C$30</f>
        <v>117.4562769</v>
      </c>
      <c r="V1014" s="143">
        <f>(($Q1014/(1+$D1014)^1+$R1014/(1+$D1014)^2+$S1014/(1+$D1014)^3+$T1014/(1+$D1014)^4+$U1014/(1+$D1014)^5+$U1014*(1+$E1014)/($D1014-$E1014)/(1+$D1014)^5)-Assumptions!$C$37)/Assumptions!$C$40/Assumptions!$C$38</f>
        <v>4.292334193</v>
      </c>
    </row>
    <row r="1015" ht="12.0" customHeight="1">
      <c r="B1015" s="139">
        <v>963.0</v>
      </c>
      <c r="C1015" s="140">
        <f t="shared" si="6"/>
        <v>0.7783606104</v>
      </c>
      <c r="D1015" s="141">
        <f t="shared" si="7"/>
        <v>0.1038492288</v>
      </c>
      <c r="E1015" s="141">
        <f t="shared" si="8"/>
        <v>0.02142193949</v>
      </c>
      <c r="F1015" s="140">
        <f t="shared" si="9"/>
        <v>0.2329334241</v>
      </c>
      <c r="G1015" s="141">
        <f t="shared" si="10"/>
        <v>0.05047633179</v>
      </c>
      <c r="H1015" s="142">
        <f t="shared" si="11"/>
        <v>0</v>
      </c>
      <c r="I1015" s="142">
        <f t="shared" si="12"/>
        <v>1</v>
      </c>
      <c r="J1015" s="142">
        <f t="shared" si="13"/>
        <v>0</v>
      </c>
      <c r="K1015" s="142">
        <f t="shared" si="14"/>
        <v>1</v>
      </c>
      <c r="L1015" s="139">
        <f>Assumptions!$C$6*Assumptions!$C$7*(1+$G1015-0.05*(1-1))^1+Assumptions!$C$6*Assumptions!$C$8*(1+Assumptions!$C$11)^1+Assumptions!$C$16*1+Assumptions!$C$6*Assumptions!$C$9*(1+Assumptions!$C$12)^1</f>
        <v>743.4583333</v>
      </c>
      <c r="M1015" s="139">
        <f>Assumptions!$C$6*Assumptions!$C$7*(1+$G1015-0.05*(1-$H1015))^2+Assumptions!$C$6*Assumptions!$C$8*(1+Assumptions!$C$11)^2+Assumptions!$C$16*$H1015+Assumptions!$C$6*Assumptions!$C$9*(1+Assumptions!$C$12)^2</f>
        <v>673.3861029</v>
      </c>
      <c r="N1015" s="139">
        <f>Assumptions!$C$6*Assumptions!$C$7*(1+$G1015-0.05*(1-$I1015))^3+Assumptions!$C$6*Assumptions!$C$8*(1+Assumptions!$C$11)^3+Assumptions!$C$16*$I1015+Assumptions!$C$6*Assumptions!$C$9*(1+Assumptions!$C$12)^3</f>
        <v>793.3817851</v>
      </c>
      <c r="O1015" s="139">
        <f>Assumptions!$C$6*Assumptions!$C$7*(1+$G1015-0.05*(1-$J1015))^4+Assumptions!$C$6*Assumptions!$C$8*(1+Assumptions!$C$11)^4+Assumptions!$C$16*$J1015+Assumptions!$C$6*Assumptions!$C$9*(1+Assumptions!$C$12)^4</f>
        <v>687.300352</v>
      </c>
      <c r="P1015" s="139">
        <f>Assumptions!$C$6*Assumptions!$C$7*(1+$G1015-0.05*(1-$K1015))^5+Assumptions!$C$6*Assumptions!$C$8*(1+Assumptions!$C$11)^5+Assumptions!$C$16*$K1015+Assumptions!$C$6*Assumptions!$C$9*(1+Assumptions!$C$12)^5</f>
        <v>847.6314207</v>
      </c>
      <c r="Q1015" s="139">
        <f>($L1015*(1-(Assumptions!$C$25+0.06*(1-1))-Assumptions!$C$27)-Assumptions!$C$28)-MAX(0,($L1015*(1-(Assumptions!$C$25+0.06*(1-1))-Assumptions!$C$27)-Assumptions!$C$28)*Assumptions!$C$31)+Assumptions!$C$28-Assumptions!$C$29-$L1015*Assumptions!$C$30</f>
        <v>92.34354166</v>
      </c>
      <c r="R1015" s="139">
        <f>($M1015*(1-(Assumptions!$C$25+0.06*(1-$H1015))-Assumptions!$C$27)-Assumptions!$C$28)-MAX(0,($M1015*(1-(Assumptions!$C$25+0.06*(1-$H1015))-Assumptions!$C$27)-Assumptions!$C$28)*Assumptions!$C$31)+Assumptions!$C$28-Assumptions!$C$29-$M1015*Assumptions!$C$30</f>
        <v>34.87880367</v>
      </c>
      <c r="S1015" s="139">
        <f>($N1015*(1-(Assumptions!$C$25+0.06*(1-$I1015))-Assumptions!$C$27)-Assumptions!$C$28)-MAX(0,($N1015*(1-(Assumptions!$C$25+0.06*(1-$I1015))-Assumptions!$C$27)-Assumptions!$C$28)*Assumptions!$C$31)+Assumptions!$C$28-Assumptions!$C$29-$N1015*Assumptions!$C$30</f>
        <v>103.0770838</v>
      </c>
      <c r="T1015" s="139">
        <f>($O1015*(1-(Assumptions!$C$25+0.06*(1-$J1015))-Assumptions!$C$27)-Assumptions!$C$28)-MAX(0,($O1015*(1-(Assumptions!$C$25+0.06*(1-$J1015))-Assumptions!$C$27)-Assumptions!$C$28)*Assumptions!$C$31)+Assumptions!$C$28-Assumptions!$C$29-$O1015*Assumptions!$C$30</f>
        <v>38.07908097</v>
      </c>
      <c r="U1015" s="139">
        <f>($P1015*(1-(Assumptions!$C$25+0.06*(1-$K1015))-Assumptions!$C$27)-Assumptions!$C$28)-MAX(0,($P1015*(1-(Assumptions!$C$25+0.06*(1-$K1015))-Assumptions!$C$27)-Assumptions!$C$28)*Assumptions!$C$31)+Assumptions!$C$28-Assumptions!$C$29-$P1015*Assumptions!$C$30</f>
        <v>114.7407555</v>
      </c>
      <c r="V1015" s="143">
        <f>(($Q1015/(1+$D1015)^1+$R1015/(1+$D1015)^2+$S1015/(1+$D1015)^3+$T1015/(1+$D1015)^4+$U1015/(1+$D1015)^5+$U1015*(1+$E1015)/($D1015-$E1015)/(1+$D1015)^5)-Assumptions!$C$37)/Assumptions!$C$40/Assumptions!$C$38</f>
        <v>3.59327987</v>
      </c>
    </row>
    <row r="1016" ht="12.0" customHeight="1">
      <c r="B1016" s="139">
        <v>964.0</v>
      </c>
      <c r="C1016" s="140">
        <f t="shared" si="6"/>
        <v>0.6680989994</v>
      </c>
      <c r="D1016" s="141">
        <f t="shared" si="7"/>
        <v>0.1013546176</v>
      </c>
      <c r="E1016" s="141">
        <f t="shared" si="8"/>
        <v>0.02215873388</v>
      </c>
      <c r="F1016" s="140">
        <f t="shared" si="9"/>
        <v>0.03065060305</v>
      </c>
      <c r="G1016" s="141">
        <f t="shared" si="10"/>
        <v>0.03742772411</v>
      </c>
      <c r="H1016" s="142">
        <f t="shared" si="11"/>
        <v>1</v>
      </c>
      <c r="I1016" s="142">
        <f t="shared" si="12"/>
        <v>1</v>
      </c>
      <c r="J1016" s="142">
        <f t="shared" si="13"/>
        <v>0</v>
      </c>
      <c r="K1016" s="142">
        <f t="shared" si="14"/>
        <v>1</v>
      </c>
      <c r="L1016" s="139">
        <f>Assumptions!$C$6*Assumptions!$C$7*(1+$G1016-0.05*(1-1))^1+Assumptions!$C$6*Assumptions!$C$8*(1+Assumptions!$C$11)^1+Assumptions!$C$16*1+Assumptions!$C$6*Assumptions!$C$9*(1+Assumptions!$C$12)^1</f>
        <v>739.0661719</v>
      </c>
      <c r="M1016" s="139">
        <f>Assumptions!$C$6*Assumptions!$C$7*(1+$G1016-0.05*(1-$H1016))^2+Assumptions!$C$6*Assumptions!$C$8*(1+Assumptions!$C$11)^2+Assumptions!$C$16*$H1016+Assumptions!$C$6*Assumptions!$C$9*(1+Assumptions!$C$12)^2</f>
        <v>758.7332248</v>
      </c>
      <c r="N1016" s="139">
        <f>Assumptions!$C$6*Assumptions!$C$7*(1+$G1016-0.05*(1-$I1016))^3+Assumptions!$C$6*Assumptions!$C$8*(1+Assumptions!$C$11)^3+Assumptions!$C$16*$I1016+Assumptions!$C$6*Assumptions!$C$9*(1+Assumptions!$C$12)^3</f>
        <v>779.0213937</v>
      </c>
      <c r="O1016" s="139">
        <f>Assumptions!$C$6*Assumptions!$C$7*(1+$G1016-0.05*(1-$J1016))^4+Assumptions!$C$6*Assumptions!$C$8*(1+Assumptions!$C$11)^4+Assumptions!$C$16*$J1016+Assumptions!$C$6*Assumptions!$C$9*(1+Assumptions!$C$12)^4</f>
        <v>670.0478034</v>
      </c>
      <c r="P1016" s="139">
        <f>Assumptions!$C$6*Assumptions!$C$7*(1+$G1016-0.05*(1-$K1016))^5+Assumptions!$C$6*Assumptions!$C$8*(1+Assumptions!$C$11)^5+Assumptions!$C$16*$K1016+Assumptions!$C$6*Assumptions!$C$9*(1+Assumptions!$C$12)^5</f>
        <v>821.5456073</v>
      </c>
      <c r="Q1016" s="139">
        <f>($L1016*(1-(Assumptions!$C$25+0.06*(1-1))-Assumptions!$C$27)-Assumptions!$C$28)-MAX(0,($L1016*(1-(Assumptions!$C$25+0.06*(1-1))-Assumptions!$C$27)-Assumptions!$C$28)*Assumptions!$C$31)+Assumptions!$C$28-Assumptions!$C$29-$L1016*Assumptions!$C$30</f>
        <v>91.39922697</v>
      </c>
      <c r="R1016" s="139">
        <f>($M1016*(1-(Assumptions!$C$25+0.06*(1-$H1016))-Assumptions!$C$27)-Assumptions!$C$28)-MAX(0,($M1016*(1-(Assumptions!$C$25+0.06*(1-$H1016))-Assumptions!$C$27)-Assumptions!$C$28)*Assumptions!$C$31)+Assumptions!$C$28-Assumptions!$C$29-$M1016*Assumptions!$C$30</f>
        <v>95.62764333</v>
      </c>
      <c r="S1016" s="139">
        <f>($N1016*(1-(Assumptions!$C$25+0.06*(1-$I1016))-Assumptions!$C$27)-Assumptions!$C$28)-MAX(0,($N1016*(1-(Assumptions!$C$25+0.06*(1-$I1016))-Assumptions!$C$27)-Assumptions!$C$28)*Assumptions!$C$31)+Assumptions!$C$28-Assumptions!$C$29-$N1016*Assumptions!$C$30</f>
        <v>99.98959964</v>
      </c>
      <c r="T1016" s="139">
        <f>($O1016*(1-(Assumptions!$C$25+0.06*(1-$J1016))-Assumptions!$C$27)-Assumptions!$C$28)-MAX(0,($O1016*(1-(Assumptions!$C$25+0.06*(1-$J1016))-Assumptions!$C$27)-Assumptions!$C$28)*Assumptions!$C$31)+Assumptions!$C$28-Assumptions!$C$29-$O1016*Assumptions!$C$30</f>
        <v>34.11099478</v>
      </c>
      <c r="U1016" s="139">
        <f>($P1016*(1-(Assumptions!$C$25+0.06*(1-$K1016))-Assumptions!$C$27)-Assumptions!$C$28)-MAX(0,($P1016*(1-(Assumptions!$C$25+0.06*(1-$K1016))-Assumptions!$C$27)-Assumptions!$C$28)*Assumptions!$C$31)+Assumptions!$C$28-Assumptions!$C$29-$P1016*Assumptions!$C$30</f>
        <v>109.1323056</v>
      </c>
      <c r="V1016" s="143">
        <f>(($Q1016/(1+$D1016)^1+$R1016/(1+$D1016)^2+$S1016/(1+$D1016)^3+$T1016/(1+$D1016)^4+$U1016/(1+$D1016)^5+$U1016*(1+$E1016)/($D1016-$E1016)/(1+$D1016)^5)-Assumptions!$C$37)/Assumptions!$C$40/Assumptions!$C$38</f>
        <v>3.938889613</v>
      </c>
    </row>
    <row r="1017" ht="12.0" customHeight="1">
      <c r="B1017" s="139">
        <v>965.0</v>
      </c>
      <c r="C1017" s="140">
        <f t="shared" si="6"/>
        <v>0.9538065819</v>
      </c>
      <c r="D1017" s="141">
        <f t="shared" si="7"/>
        <v>0.1099093706</v>
      </c>
      <c r="E1017" s="141">
        <f t="shared" si="8"/>
        <v>0.02125368514</v>
      </c>
      <c r="F1017" s="140">
        <f t="shared" si="9"/>
        <v>0.5210883336</v>
      </c>
      <c r="G1017" s="141">
        <f t="shared" si="10"/>
        <v>0.06063946527</v>
      </c>
      <c r="H1017" s="142">
        <f t="shared" si="11"/>
        <v>1</v>
      </c>
      <c r="I1017" s="142">
        <f t="shared" si="12"/>
        <v>1</v>
      </c>
      <c r="J1017" s="142">
        <f t="shared" si="13"/>
        <v>0</v>
      </c>
      <c r="K1017" s="142">
        <f t="shared" si="14"/>
        <v>1</v>
      </c>
      <c r="L1017" s="139">
        <f>Assumptions!$C$6*Assumptions!$C$7*(1+$G1017-0.05*(1-1))^1+Assumptions!$C$6*Assumptions!$C$8*(1+Assumptions!$C$11)^1+Assumptions!$C$16*1+Assumptions!$C$6*Assumptions!$C$9*(1+Assumptions!$C$12)^1</f>
        <v>746.879244</v>
      </c>
      <c r="M1017" s="139">
        <f>Assumptions!$C$6*Assumptions!$C$7*(1+$G1017-0.05*(1-$H1017))^2+Assumptions!$C$6*Assumptions!$C$8*(1+Assumptions!$C$11)^2+Assumptions!$C$16*$H1017+Assumptions!$C$6*Assumptions!$C$9*(1+Assumptions!$C$12)^2</f>
        <v>775.1255749</v>
      </c>
      <c r="N1017" s="139">
        <f>Assumptions!$C$6*Assumptions!$C$7*(1+$G1017-0.05*(1-$I1017))^3+Assumptions!$C$6*Assumptions!$C$8*(1+Assumptions!$C$11)^3+Assumptions!$C$16*$I1017+Assumptions!$C$6*Assumptions!$C$9*(1+Assumptions!$C$12)^3</f>
        <v>804.8166351</v>
      </c>
      <c r="O1017" s="139">
        <f>Assumptions!$C$6*Assumptions!$C$7*(1+$G1017-0.05*(1-$J1017))^4+Assumptions!$C$6*Assumptions!$C$8*(1+Assumptions!$C$11)^4+Assumptions!$C$16*$J1017+Assumptions!$C$6*Assumptions!$C$9*(1+Assumptions!$C$12)^4</f>
        <v>701.2137776</v>
      </c>
      <c r="P1017" s="139">
        <f>Assumptions!$C$6*Assumptions!$C$7*(1+$G1017-0.05*(1-$K1017))^5+Assumptions!$C$6*Assumptions!$C$8*(1+Assumptions!$C$11)^5+Assumptions!$C$16*$K1017+Assumptions!$C$6*Assumptions!$C$9*(1+Assumptions!$C$12)^5</f>
        <v>868.8668045</v>
      </c>
      <c r="Q1017" s="139">
        <f>($L1017*(1-(Assumptions!$C$25+0.06*(1-1))-Assumptions!$C$27)-Assumptions!$C$28)-MAX(0,($L1017*(1-(Assumptions!$C$25+0.06*(1-1))-Assumptions!$C$27)-Assumptions!$C$28)*Assumptions!$C$31)+Assumptions!$C$28-Assumptions!$C$29-$L1017*Assumptions!$C$30</f>
        <v>93.07903746</v>
      </c>
      <c r="R1017" s="139">
        <f>($M1017*(1-(Assumptions!$C$25+0.06*(1-$H1017))-Assumptions!$C$27)-Assumptions!$C$28)-MAX(0,($M1017*(1-(Assumptions!$C$25+0.06*(1-$H1017))-Assumptions!$C$27)-Assumptions!$C$28)*Assumptions!$C$31)+Assumptions!$C$28-Assumptions!$C$29-$M1017*Assumptions!$C$30</f>
        <v>99.15199861</v>
      </c>
      <c r="S1017" s="139">
        <f>($N1017*(1-(Assumptions!$C$25+0.06*(1-$I1017))-Assumptions!$C$27)-Assumptions!$C$28)-MAX(0,($N1017*(1-(Assumptions!$C$25+0.06*(1-$I1017))-Assumptions!$C$27)-Assumptions!$C$28)*Assumptions!$C$31)+Assumptions!$C$28-Assumptions!$C$29-$N1017*Assumptions!$C$30</f>
        <v>105.5355765</v>
      </c>
      <c r="T1017" s="139">
        <f>($O1017*(1-(Assumptions!$C$25+0.06*(1-$J1017))-Assumptions!$C$27)-Assumptions!$C$28)-MAX(0,($O1017*(1-(Assumptions!$C$25+0.06*(1-$J1017))-Assumptions!$C$27)-Assumptions!$C$28)*Assumptions!$C$31)+Assumptions!$C$28-Assumptions!$C$29-$O1017*Assumptions!$C$30</f>
        <v>41.27916885</v>
      </c>
      <c r="U1017" s="139">
        <f>($P1017*(1-(Assumptions!$C$25+0.06*(1-$K1017))-Assumptions!$C$27)-Assumptions!$C$28)-MAX(0,($P1017*(1-(Assumptions!$C$25+0.06*(1-$K1017))-Assumptions!$C$27)-Assumptions!$C$28)*Assumptions!$C$31)+Assumptions!$C$28-Assumptions!$C$29-$P1017*Assumptions!$C$30</f>
        <v>119.306363</v>
      </c>
      <c r="V1017" s="143">
        <f>(($Q1017/(1+$D1017)^1+$R1017/(1+$D1017)^2+$S1017/(1+$D1017)^3+$T1017/(1+$D1017)^4+$U1017/(1+$D1017)^5+$U1017*(1+$E1017)/($D1017-$E1017)/(1+$D1017)^5)-Assumptions!$C$37)/Assumptions!$C$40/Assumptions!$C$38</f>
        <v>3.619455704</v>
      </c>
    </row>
    <row r="1018" ht="12.0" customHeight="1">
      <c r="B1018" s="139">
        <v>966.0</v>
      </c>
      <c r="C1018" s="140">
        <f t="shared" si="6"/>
        <v>0.3412819989</v>
      </c>
      <c r="D1018" s="141">
        <f t="shared" si="7"/>
        <v>0.09575614232</v>
      </c>
      <c r="E1018" s="141">
        <f t="shared" si="8"/>
        <v>0.01159609302</v>
      </c>
      <c r="F1018" s="140">
        <f t="shared" si="9"/>
        <v>0.2266130534</v>
      </c>
      <c r="G1018" s="141">
        <f t="shared" si="10"/>
        <v>0.05019662091</v>
      </c>
      <c r="H1018" s="142">
        <f t="shared" si="11"/>
        <v>0</v>
      </c>
      <c r="I1018" s="142">
        <f t="shared" si="12"/>
        <v>0</v>
      </c>
      <c r="J1018" s="142">
        <f t="shared" si="13"/>
        <v>1</v>
      </c>
      <c r="K1018" s="142">
        <f t="shared" si="14"/>
        <v>1</v>
      </c>
      <c r="L1018" s="139">
        <f>Assumptions!$C$6*Assumptions!$C$7*(1+$G1018-0.05*(1-1))^1+Assumptions!$C$6*Assumptions!$C$8*(1+Assumptions!$C$11)^1+Assumptions!$C$16*1+Assumptions!$C$6*Assumptions!$C$9*(1+Assumptions!$C$12)^1</f>
        <v>743.3641826</v>
      </c>
      <c r="M1018" s="139">
        <f>Assumptions!$C$6*Assumptions!$C$7*(1+$G1018-0.05*(1-$H1018))^2+Assumptions!$C$6*Assumptions!$C$8*(1+Assumptions!$C$11)^2+Assumptions!$C$16*$H1018+Assumptions!$C$6*Assumptions!$C$9*(1+Assumptions!$C$12)^2</f>
        <v>673.1977382</v>
      </c>
      <c r="N1018" s="139">
        <f>Assumptions!$C$6*Assumptions!$C$7*(1+$G1018-0.05*(1-$I1018))^3+Assumptions!$C$6*Assumptions!$C$8*(1+Assumptions!$C$11)^3+Assumptions!$C$16*$I1018+Assumptions!$C$6*Assumptions!$C$9*(1+Assumptions!$C$12)^3</f>
        <v>679.993254</v>
      </c>
      <c r="O1018" s="139">
        <f>Assumptions!$C$6*Assumptions!$C$7*(1+$G1018-0.05*(1-$J1018))^4+Assumptions!$C$6*Assumptions!$C$8*(1+Assumptions!$C$11)^4+Assumptions!$C$16*$J1018+Assumptions!$C$6*Assumptions!$C$9*(1+Assumptions!$C$12)^4</f>
        <v>819.5045089</v>
      </c>
      <c r="P1018" s="139">
        <f>Assumptions!$C$6*Assumptions!$C$7*(1+$G1018-0.05*(1-$K1018))^5+Assumptions!$C$6*Assumptions!$C$8*(1+Assumptions!$C$11)^5+Assumptions!$C$16*$K1018+Assumptions!$C$6*Assumptions!$C$9*(1+Assumptions!$C$12)^5</f>
        <v>847.0584832</v>
      </c>
      <c r="Q1018" s="139">
        <f>($L1018*(1-(Assumptions!$C$25+0.06*(1-1))-Assumptions!$C$27)-Assumptions!$C$28)-MAX(0,($L1018*(1-(Assumptions!$C$25+0.06*(1-1))-Assumptions!$C$27)-Assumptions!$C$28)*Assumptions!$C$31)+Assumptions!$C$28-Assumptions!$C$29-$L1018*Assumptions!$C$30</f>
        <v>92.32329926</v>
      </c>
      <c r="R1018" s="139">
        <f>($M1018*(1-(Assumptions!$C$25+0.06*(1-$H1018))-Assumptions!$C$27)-Assumptions!$C$28)-MAX(0,($M1018*(1-(Assumptions!$C$25+0.06*(1-$H1018))-Assumptions!$C$27)-Assumptions!$C$28)*Assumptions!$C$31)+Assumptions!$C$28-Assumptions!$C$29-$M1018*Assumptions!$C$30</f>
        <v>34.83547979</v>
      </c>
      <c r="S1018" s="139">
        <f>($N1018*(1-(Assumptions!$C$25+0.06*(1-$I1018))-Assumptions!$C$27)-Assumptions!$C$28)-MAX(0,($N1018*(1-(Assumptions!$C$25+0.06*(1-$I1018))-Assumptions!$C$27)-Assumptions!$C$28)*Assumptions!$C$31)+Assumptions!$C$28-Assumptions!$C$29-$N1018*Assumptions!$C$30</f>
        <v>36.39844843</v>
      </c>
      <c r="T1018" s="139">
        <f>($O1018*(1-(Assumptions!$C$25+0.06*(1-$J1018))-Assumptions!$C$27)-Assumptions!$C$28)-MAX(0,($O1018*(1-(Assumptions!$C$25+0.06*(1-$J1018))-Assumptions!$C$27)-Assumptions!$C$28)*Assumptions!$C$31)+Assumptions!$C$28-Assumptions!$C$29-$O1018*Assumptions!$C$30</f>
        <v>108.6934694</v>
      </c>
      <c r="U1018" s="139">
        <f>($P1018*(1-(Assumptions!$C$25+0.06*(1-$K1018))-Assumptions!$C$27)-Assumptions!$C$28)-MAX(0,($P1018*(1-(Assumptions!$C$25+0.06*(1-$K1018))-Assumptions!$C$27)-Assumptions!$C$28)*Assumptions!$C$31)+Assumptions!$C$28-Assumptions!$C$29-$P1018*Assumptions!$C$30</f>
        <v>114.6175739</v>
      </c>
      <c r="V1018" s="143">
        <f>(($Q1018/(1+$D1018)^1+$R1018/(1+$D1018)^2+$S1018/(1+$D1018)^3+$T1018/(1+$D1018)^4+$U1018/(1+$D1018)^5+$U1018*(1+$E1018)/($D1018-$E1018)/(1+$D1018)^5)-Assumptions!$C$37)/Assumptions!$C$40/Assumptions!$C$38</f>
        <v>3.66256094</v>
      </c>
    </row>
    <row r="1019" ht="12.0" customHeight="1">
      <c r="B1019" s="139">
        <v>967.0</v>
      </c>
      <c r="C1019" s="140">
        <f t="shared" si="6"/>
        <v>0.8228088886</v>
      </c>
      <c r="D1019" s="141">
        <f t="shared" si="7"/>
        <v>0.1050298338</v>
      </c>
      <c r="E1019" s="141">
        <f t="shared" si="8"/>
        <v>0.01460934622</v>
      </c>
      <c r="F1019" s="140">
        <f t="shared" si="9"/>
        <v>0.511047463</v>
      </c>
      <c r="G1019" s="141">
        <f t="shared" si="10"/>
        <v>0.0603332751</v>
      </c>
      <c r="H1019" s="142">
        <f t="shared" si="11"/>
        <v>1</v>
      </c>
      <c r="I1019" s="142">
        <f t="shared" si="12"/>
        <v>0</v>
      </c>
      <c r="J1019" s="142">
        <f t="shared" si="13"/>
        <v>0</v>
      </c>
      <c r="K1019" s="142">
        <f t="shared" si="14"/>
        <v>0</v>
      </c>
      <c r="L1019" s="139">
        <f>Assumptions!$C$6*Assumptions!$C$7*(1+$G1019-0.05*(1-1))^1+Assumptions!$C$6*Assumptions!$C$8*(1+Assumptions!$C$11)^1+Assumptions!$C$16*1+Assumptions!$C$6*Assumptions!$C$9*(1+Assumptions!$C$12)^1</f>
        <v>746.7761804</v>
      </c>
      <c r="M1019" s="139">
        <f>Assumptions!$C$6*Assumptions!$C$7*(1+$G1019-0.05*(1-$H1019))^2+Assumptions!$C$6*Assumptions!$C$8*(1+Assumptions!$C$11)^2+Assumptions!$C$16*$H1019+Assumptions!$C$6*Assumptions!$C$9*(1+Assumptions!$C$12)^2</f>
        <v>774.9069798</v>
      </c>
      <c r="N1019" s="139">
        <f>Assumptions!$C$6*Assumptions!$C$7*(1+$G1019-0.05*(1-$I1019))^3+Assumptions!$C$6*Assumptions!$C$8*(1+Assumptions!$C$11)^3+Assumptions!$C$16*$I1019+Assumptions!$C$6*Assumptions!$C$9*(1+Assumptions!$C$12)^3</f>
        <v>690.3374028</v>
      </c>
      <c r="O1019" s="139">
        <f>Assumptions!$C$6*Assumptions!$C$7*(1+$G1019-0.05*(1-$J1019))^4+Assumptions!$C$6*Assumptions!$C$8*(1+Assumptions!$C$11)^4+Assumptions!$C$16*$J1019+Assumptions!$C$6*Assumptions!$C$9*(1+Assumptions!$C$12)^4</f>
        <v>700.7884175</v>
      </c>
      <c r="P1019" s="139">
        <f>Assumptions!$C$6*Assumptions!$C$7*(1+$G1019-0.05*(1-$K1019))^5+Assumptions!$C$6*Assumptions!$C$8*(1+Assumptions!$C$11)^5+Assumptions!$C$16*$K1019+Assumptions!$C$6*Assumptions!$C$9*(1+Assumptions!$C$12)^5</f>
        <v>711.4137768</v>
      </c>
      <c r="Q1019" s="139">
        <f>($L1019*(1-(Assumptions!$C$25+0.06*(1-1))-Assumptions!$C$27)-Assumptions!$C$28)-MAX(0,($L1019*(1-(Assumptions!$C$25+0.06*(1-1))-Assumptions!$C$27)-Assumptions!$C$28)*Assumptions!$C$31)+Assumptions!$C$28-Assumptions!$C$29-$L1019*Assumptions!$C$30</f>
        <v>93.05687879</v>
      </c>
      <c r="R1019" s="139">
        <f>($M1019*(1-(Assumptions!$C$25+0.06*(1-$H1019))-Assumptions!$C$27)-Assumptions!$C$28)-MAX(0,($M1019*(1-(Assumptions!$C$25+0.06*(1-$H1019))-Assumptions!$C$27)-Assumptions!$C$28)*Assumptions!$C$31)+Assumptions!$C$28-Assumptions!$C$29-$M1019*Assumptions!$C$30</f>
        <v>99.10500066</v>
      </c>
      <c r="S1019" s="139">
        <f>($N1019*(1-(Assumptions!$C$25+0.06*(1-$I1019))-Assumptions!$C$27)-Assumptions!$C$28)-MAX(0,($N1019*(1-(Assumptions!$C$25+0.06*(1-$I1019))-Assumptions!$C$27)-Assumptions!$C$28)*Assumptions!$C$31)+Assumptions!$C$28-Assumptions!$C$29-$N1019*Assumptions!$C$30</f>
        <v>38.77760264</v>
      </c>
      <c r="T1019" s="139">
        <f>($O1019*(1-(Assumptions!$C$25+0.06*(1-$J1019))-Assumptions!$C$27)-Assumptions!$C$28)-MAX(0,($O1019*(1-(Assumptions!$C$25+0.06*(1-$J1019))-Assumptions!$C$27)-Assumptions!$C$28)*Assumptions!$C$31)+Assumptions!$C$28-Assumptions!$C$29-$O1019*Assumptions!$C$30</f>
        <v>41.18133602</v>
      </c>
      <c r="U1019" s="139">
        <f>($P1019*(1-(Assumptions!$C$25+0.06*(1-$K1019))-Assumptions!$C$27)-Assumptions!$C$28)-MAX(0,($P1019*(1-(Assumptions!$C$25+0.06*(1-$K1019))-Assumptions!$C$27)-Assumptions!$C$28)*Assumptions!$C$31)+Assumptions!$C$28-Assumptions!$C$29-$P1019*Assumptions!$C$30</f>
        <v>43.62516866</v>
      </c>
      <c r="V1019" s="143">
        <f>(($Q1019/(1+$D1019)^1+$R1019/(1+$D1019)^2+$S1019/(1+$D1019)^3+$T1019/(1+$D1019)^4+$U1019/(1+$D1019)^5+$U1019*(1+$E1019)/($D1019-$E1019)/(1+$D1019)^5)-Assumptions!$C$37)/Assumptions!$C$40/Assumptions!$C$38</f>
        <v>-1.142464941</v>
      </c>
    </row>
    <row r="1020" ht="12.0" customHeight="1">
      <c r="B1020" s="139">
        <v>968.0</v>
      </c>
      <c r="C1020" s="140">
        <f t="shared" si="6"/>
        <v>0.9333271379</v>
      </c>
      <c r="D1020" s="141">
        <f t="shared" si="7"/>
        <v>0.1088841619</v>
      </c>
      <c r="E1020" s="141">
        <f t="shared" si="8"/>
        <v>0.02906407818</v>
      </c>
      <c r="F1020" s="140">
        <f t="shared" si="9"/>
        <v>0.4030176752</v>
      </c>
      <c r="G1020" s="141">
        <f t="shared" si="10"/>
        <v>0.05693384145</v>
      </c>
      <c r="H1020" s="142">
        <f t="shared" si="11"/>
        <v>1</v>
      </c>
      <c r="I1020" s="142">
        <f t="shared" si="12"/>
        <v>1</v>
      </c>
      <c r="J1020" s="142">
        <f t="shared" si="13"/>
        <v>0</v>
      </c>
      <c r="K1020" s="142">
        <f t="shared" si="14"/>
        <v>1</v>
      </c>
      <c r="L1020" s="139">
        <f>Assumptions!$C$6*Assumptions!$C$7*(1+$G1020-0.05*(1-1))^1+Assumptions!$C$6*Assumptions!$C$8*(1+Assumptions!$C$11)^1+Assumptions!$C$16*1+Assumptions!$C$6*Assumptions!$C$9*(1+Assumptions!$C$12)^1</f>
        <v>745.631931</v>
      </c>
      <c r="M1020" s="139">
        <f>Assumptions!$C$6*Assumptions!$C$7*(1+$G1020-0.05*(1-$H1020))^2+Assumptions!$C$6*Assumptions!$C$8*(1+Assumptions!$C$11)^2+Assumptions!$C$16*$H1020+Assumptions!$C$6*Assumptions!$C$9*(1+Assumptions!$C$12)^2</f>
        <v>772.4842983</v>
      </c>
      <c r="N1020" s="139">
        <f>Assumptions!$C$6*Assumptions!$C$7*(1+$G1020-0.05*(1-$I1020))^3+Assumptions!$C$6*Assumptions!$C$8*(1+Assumptions!$C$11)^3+Assumptions!$C$16*$I1020+Assumptions!$C$6*Assumptions!$C$9*(1+Assumptions!$C$12)^3</f>
        <v>800.6218081</v>
      </c>
      <c r="O1020" s="139">
        <f>Assumptions!$C$6*Assumptions!$C$7*(1+$G1020-0.05*(1-$J1020))^4+Assumptions!$C$6*Assumptions!$C$8*(1+Assumptions!$C$11)^4+Assumptions!$C$16*$J1020+Assumptions!$C$6*Assumptions!$C$9*(1+Assumptions!$C$12)^4</f>
        <v>696.0918329</v>
      </c>
      <c r="P1020" s="139">
        <f>Assumptions!$C$6*Assumptions!$C$7*(1+$G1020-0.05*(1-$K1020))^5+Assumptions!$C$6*Assumptions!$C$8*(1+Assumptions!$C$11)^5+Assumptions!$C$16*$K1020+Assumptions!$C$6*Assumptions!$C$9*(1+Assumptions!$C$12)^5</f>
        <v>861.0292254</v>
      </c>
      <c r="Q1020" s="139">
        <f>($L1020*(1-(Assumptions!$C$25+0.06*(1-1))-Assumptions!$C$27)-Assumptions!$C$28)-MAX(0,($L1020*(1-(Assumptions!$C$25+0.06*(1-1))-Assumptions!$C$27)-Assumptions!$C$28)*Assumptions!$C$31)+Assumptions!$C$28-Assumptions!$C$29-$L1020*Assumptions!$C$30</f>
        <v>92.81086517</v>
      </c>
      <c r="R1020" s="139">
        <f>($M1020*(1-(Assumptions!$C$25+0.06*(1-$H1020))-Assumptions!$C$27)-Assumptions!$C$28)-MAX(0,($M1020*(1-(Assumptions!$C$25+0.06*(1-$H1020))-Assumptions!$C$27)-Assumptions!$C$28)*Assumptions!$C$31)+Assumptions!$C$28-Assumptions!$C$29-$M1020*Assumptions!$C$30</f>
        <v>98.58412413</v>
      </c>
      <c r="S1020" s="139">
        <f>($N1020*(1-(Assumptions!$C$25+0.06*(1-$I1020))-Assumptions!$C$27)-Assumptions!$C$28)-MAX(0,($N1020*(1-(Assumptions!$C$25+0.06*(1-$I1020))-Assumptions!$C$27)-Assumptions!$C$28)*Assumptions!$C$31)+Assumptions!$C$28-Assumptions!$C$29-$N1020*Assumptions!$C$30</f>
        <v>104.6336887</v>
      </c>
      <c r="T1020" s="139">
        <f>($O1020*(1-(Assumptions!$C$25+0.06*(1-$J1020))-Assumptions!$C$27)-Assumptions!$C$28)-MAX(0,($O1020*(1-(Assumptions!$C$25+0.06*(1-$J1020))-Assumptions!$C$27)-Assumptions!$C$28)*Assumptions!$C$31)+Assumptions!$C$28-Assumptions!$C$29-$O1020*Assumptions!$C$30</f>
        <v>40.10112158</v>
      </c>
      <c r="U1020" s="139">
        <f>($P1020*(1-(Assumptions!$C$25+0.06*(1-$K1020))-Assumptions!$C$27)-Assumptions!$C$28)-MAX(0,($P1020*(1-(Assumptions!$C$25+0.06*(1-$K1020))-Assumptions!$C$27)-Assumptions!$C$28)*Assumptions!$C$31)+Assumptions!$C$28-Assumptions!$C$29-$P1020*Assumptions!$C$30</f>
        <v>117.6212835</v>
      </c>
      <c r="V1020" s="143">
        <f>(($Q1020/(1+$D1020)^1+$R1020/(1+$D1020)^2+$S1020/(1+$D1020)^3+$T1020/(1+$D1020)^4+$U1020/(1+$D1020)^5+$U1020*(1+$E1020)/($D1020-$E1020)/(1+$D1020)^5)-Assumptions!$C$37)/Assumptions!$C$40/Assumptions!$C$38</f>
        <v>4.29247977</v>
      </c>
    </row>
    <row r="1021" ht="12.0" customHeight="1">
      <c r="B1021" s="139">
        <v>969.0</v>
      </c>
      <c r="C1021" s="140">
        <f t="shared" si="6"/>
        <v>0.1785693079</v>
      </c>
      <c r="D1021" s="141">
        <f t="shared" si="7"/>
        <v>0.09278042386</v>
      </c>
      <c r="E1021" s="141">
        <f t="shared" si="8"/>
        <v>0.01926420785</v>
      </c>
      <c r="F1021" s="140">
        <f t="shared" si="9"/>
        <v>0.9466943579</v>
      </c>
      <c r="G1021" s="141">
        <f t="shared" si="10"/>
        <v>0.08020458497</v>
      </c>
      <c r="H1021" s="142">
        <f t="shared" si="11"/>
        <v>1</v>
      </c>
      <c r="I1021" s="142">
        <f t="shared" si="12"/>
        <v>1</v>
      </c>
      <c r="J1021" s="142">
        <f t="shared" si="13"/>
        <v>1</v>
      </c>
      <c r="K1021" s="142">
        <f t="shared" si="14"/>
        <v>0</v>
      </c>
      <c r="L1021" s="139">
        <f>Assumptions!$C$6*Assumptions!$C$7*(1+$G1021-0.05*(1-1))^1+Assumptions!$C$6*Assumptions!$C$8*(1+Assumptions!$C$11)^1+Assumptions!$C$16*1+Assumptions!$C$6*Assumptions!$C$9*(1+Assumptions!$C$12)^1</f>
        <v>753.4648633</v>
      </c>
      <c r="M1021" s="139">
        <f>Assumptions!$C$6*Assumptions!$C$7*(1+$G1021-0.05*(1-$H1021))^2+Assumptions!$C$6*Assumptions!$C$8*(1+Assumptions!$C$11)^2+Assumptions!$C$16*$H1021+Assumptions!$C$6*Assumptions!$C$9*(1+Assumptions!$C$12)^2</f>
        <v>789.2243588</v>
      </c>
      <c r="N1021" s="139">
        <f>Assumptions!$C$6*Assumptions!$C$7*(1+$G1021-0.05*(1-$I1021))^3+Assumptions!$C$6*Assumptions!$C$8*(1+Assumptions!$C$11)^3+Assumptions!$C$16*$I1021+Assumptions!$C$6*Assumptions!$C$9*(1+Assumptions!$C$12)^3</f>
        <v>827.4547385</v>
      </c>
      <c r="O1021" s="139">
        <f>Assumptions!$C$6*Assumptions!$C$7*(1+$G1021-0.05*(1-$J1021))^4+Assumptions!$C$6*Assumptions!$C$8*(1+Assumptions!$C$11)^4+Assumptions!$C$16*$J1021+Assumptions!$C$6*Assumptions!$C$9*(1+Assumptions!$C$12)^4</f>
        <v>868.3462348</v>
      </c>
      <c r="P1021" s="139">
        <f>Assumptions!$C$6*Assumptions!$C$7*(1+$G1021-0.05*(1-$K1021))^5+Assumptions!$C$6*Assumptions!$C$8*(1+Assumptions!$C$11)^5+Assumptions!$C$16*$K1021+Assumptions!$C$6*Assumptions!$C$9*(1+Assumptions!$C$12)^5</f>
        <v>747.6590704</v>
      </c>
      <c r="Q1021" s="139">
        <f>($L1021*(1-(Assumptions!$C$25+0.06*(1-1))-Assumptions!$C$27)-Assumptions!$C$28)-MAX(0,($L1021*(1-(Assumptions!$C$25+0.06*(1-1))-Assumptions!$C$27)-Assumptions!$C$28)*Assumptions!$C$31)+Assumptions!$C$28-Assumptions!$C$29-$L1021*Assumptions!$C$30</f>
        <v>94.49494561</v>
      </c>
      <c r="R1021" s="139">
        <f>($M1021*(1-(Assumptions!$C$25+0.06*(1-$H1021))-Assumptions!$C$27)-Assumptions!$C$28)-MAX(0,($M1021*(1-(Assumptions!$C$25+0.06*(1-$H1021))-Assumptions!$C$27)-Assumptions!$C$28)*Assumptions!$C$31)+Assumptions!$C$28-Assumptions!$C$29-$M1021*Assumptions!$C$30</f>
        <v>102.1832371</v>
      </c>
      <c r="S1021" s="139">
        <f>($N1021*(1-(Assumptions!$C$25+0.06*(1-$I1021))-Assumptions!$C$27)-Assumptions!$C$28)-MAX(0,($N1021*(1-(Assumptions!$C$25+0.06*(1-$I1021))-Assumptions!$C$27)-Assumptions!$C$28)*Assumptions!$C$31)+Assumptions!$C$28-Assumptions!$C$29-$N1021*Assumptions!$C$30</f>
        <v>110.4027688</v>
      </c>
      <c r="T1021" s="139">
        <f>($O1021*(1-(Assumptions!$C$25+0.06*(1-$J1021))-Assumptions!$C$27)-Assumptions!$C$28)-MAX(0,($O1021*(1-(Assumptions!$C$25+0.06*(1-$J1021))-Assumptions!$C$27)-Assumptions!$C$28)*Assumptions!$C$31)+Assumptions!$C$28-Assumptions!$C$29-$O1021*Assumptions!$C$30</f>
        <v>119.1944405</v>
      </c>
      <c r="U1021" s="139">
        <f>($P1021*(1-(Assumptions!$C$25+0.06*(1-$K1021))-Assumptions!$C$27)-Assumptions!$C$28)-MAX(0,($P1021*(1-(Assumptions!$C$25+0.06*(1-$K1021))-Assumptions!$C$27)-Assumptions!$C$28)*Assumptions!$C$31)+Assumptions!$C$28-Assumptions!$C$29-$P1021*Assumptions!$C$30</f>
        <v>51.96158619</v>
      </c>
      <c r="V1021" s="143">
        <f>(($Q1021/(1+$D1021)^1+$R1021/(1+$D1021)^2+$S1021/(1+$D1021)^3+$T1021/(1+$D1021)^4+$U1021/(1+$D1021)^5+$U1021*(1+$E1021)/($D1021-$E1021)/(1+$D1021)^5)-Assumptions!$C$37)/Assumptions!$C$40/Assumptions!$C$38</f>
        <v>1.125084563</v>
      </c>
    </row>
    <row r="1022" ht="12.0" customHeight="1">
      <c r="B1022" s="139">
        <v>970.0</v>
      </c>
      <c r="C1022" s="140">
        <f t="shared" si="6"/>
        <v>0.4587989428</v>
      </c>
      <c r="D1022" s="141">
        <f t="shared" si="7"/>
        <v>0.09757548299</v>
      </c>
      <c r="E1022" s="141">
        <f t="shared" si="8"/>
        <v>0.02050940034</v>
      </c>
      <c r="F1022" s="140">
        <f t="shared" si="9"/>
        <v>0.2028713354</v>
      </c>
      <c r="G1022" s="141">
        <f t="shared" si="10"/>
        <v>0.04910937999</v>
      </c>
      <c r="H1022" s="142">
        <f t="shared" si="11"/>
        <v>0</v>
      </c>
      <c r="I1022" s="142">
        <f t="shared" si="12"/>
        <v>0</v>
      </c>
      <c r="J1022" s="142">
        <f t="shared" si="13"/>
        <v>1</v>
      </c>
      <c r="K1022" s="142">
        <f t="shared" si="14"/>
        <v>0</v>
      </c>
      <c r="L1022" s="139">
        <f>Assumptions!$C$6*Assumptions!$C$7*(1+$G1022-0.05*(1-1))^1+Assumptions!$C$6*Assumptions!$C$8*(1+Assumptions!$C$11)^1+Assumptions!$C$16*1+Assumptions!$C$6*Assumptions!$C$9*(1+Assumptions!$C$12)^1</f>
        <v>742.9982173</v>
      </c>
      <c r="M1022" s="139">
        <f>Assumptions!$C$6*Assumptions!$C$7*(1+$G1022-0.05*(1-$H1022))^2+Assumptions!$C$6*Assumptions!$C$8*(1+Assumptions!$C$11)^2+Assumptions!$C$16*$H1022+Assumptions!$C$6*Assumptions!$C$9*(1+Assumptions!$C$12)^2</f>
        <v>672.4660616</v>
      </c>
      <c r="N1022" s="139">
        <f>Assumptions!$C$6*Assumptions!$C$7*(1+$G1022-0.05*(1-$I1022))^3+Assumptions!$C$6*Assumptions!$C$8*(1+Assumptions!$C$11)^3+Assumptions!$C$16*$I1022+Assumptions!$C$6*Assumptions!$C$9*(1+Assumptions!$C$12)^3</f>
        <v>678.8961199</v>
      </c>
      <c r="O1022" s="139">
        <f>Assumptions!$C$6*Assumptions!$C$7*(1+$G1022-0.05*(1-$J1022))^4+Assumptions!$C$6*Assumptions!$C$8*(1+Assumptions!$C$11)^4+Assumptions!$C$16*$J1022+Assumptions!$C$6*Assumptions!$C$9*(1+Assumptions!$C$12)^4</f>
        <v>817.8115857</v>
      </c>
      <c r="P1022" s="139">
        <f>Assumptions!$C$6*Assumptions!$C$7*(1+$G1022-0.05*(1-$K1022))^5+Assumptions!$C$6*Assumptions!$C$8*(1+Assumptions!$C$11)^5+Assumptions!$C$16*$K1022+Assumptions!$C$6*Assumptions!$C$9*(1+Assumptions!$C$12)^5</f>
        <v>692.1634858</v>
      </c>
      <c r="Q1022" s="139">
        <f>($L1022*(1-(Assumptions!$C$25+0.06*(1-1))-Assumptions!$C$27)-Assumptions!$C$28)-MAX(0,($L1022*(1-(Assumptions!$C$25+0.06*(1-1))-Assumptions!$C$27)-Assumptions!$C$28)*Assumptions!$C$31)+Assumptions!$C$28-Assumptions!$C$29-$L1022*Assumptions!$C$30</f>
        <v>92.24461672</v>
      </c>
      <c r="R1022" s="139">
        <f>($M1022*(1-(Assumptions!$C$25+0.06*(1-$H1022))-Assumptions!$C$27)-Assumptions!$C$28)-MAX(0,($M1022*(1-(Assumptions!$C$25+0.06*(1-$H1022))-Assumptions!$C$27)-Assumptions!$C$28)*Assumptions!$C$31)+Assumptions!$C$28-Assumptions!$C$29-$M1022*Assumptions!$C$30</f>
        <v>34.66719417</v>
      </c>
      <c r="S1022" s="139">
        <f>($N1022*(1-(Assumptions!$C$25+0.06*(1-$I1022))-Assumptions!$C$27)-Assumptions!$C$28)-MAX(0,($N1022*(1-(Assumptions!$C$25+0.06*(1-$I1022))-Assumptions!$C$27)-Assumptions!$C$28)*Assumptions!$C$31)+Assumptions!$C$28-Assumptions!$C$29-$N1022*Assumptions!$C$30</f>
        <v>36.14610757</v>
      </c>
      <c r="T1022" s="139">
        <f>($O1022*(1-(Assumptions!$C$25+0.06*(1-$J1022))-Assumptions!$C$27)-Assumptions!$C$28)-MAX(0,($O1022*(1-(Assumptions!$C$25+0.06*(1-$J1022))-Assumptions!$C$27)-Assumptions!$C$28)*Assumptions!$C$31)+Assumptions!$C$28-Assumptions!$C$29-$O1022*Assumptions!$C$30</f>
        <v>108.3294909</v>
      </c>
      <c r="U1022" s="139">
        <f>($P1022*(1-(Assumptions!$C$25+0.06*(1-$K1022))-Assumptions!$C$27)-Assumptions!$C$28)-MAX(0,($P1022*(1-(Assumptions!$C$25+0.06*(1-$K1022))-Assumptions!$C$27)-Assumptions!$C$28)*Assumptions!$C$31)+Assumptions!$C$28-Assumptions!$C$29-$P1022*Assumptions!$C$30</f>
        <v>39.19760174</v>
      </c>
      <c r="V1022" s="143">
        <f>(($Q1022/(1+$D1022)^1+$R1022/(1+$D1022)^2+$S1022/(1+$D1022)^3+$T1022/(1+$D1022)^4+$U1022/(1+$D1022)^5+$U1022*(1+$E1022)/($D1022-$E1022)/(1+$D1022)^5)-Assumptions!$C$37)/Assumptions!$C$40/Assumptions!$C$38</f>
        <v>-0.9865657744</v>
      </c>
    </row>
    <row r="1023" ht="12.0" customHeight="1">
      <c r="B1023" s="139">
        <v>971.0</v>
      </c>
      <c r="C1023" s="140">
        <f t="shared" si="6"/>
        <v>0.9140799982</v>
      </c>
      <c r="D1023" s="141">
        <f t="shared" si="7"/>
        <v>0.1080572973</v>
      </c>
      <c r="E1023" s="141">
        <f t="shared" si="8"/>
        <v>0.01843441983</v>
      </c>
      <c r="F1023" s="140">
        <f t="shared" si="9"/>
        <v>0.479753831</v>
      </c>
      <c r="G1023" s="141">
        <f t="shared" si="10"/>
        <v>0.05938633859</v>
      </c>
      <c r="H1023" s="142">
        <f t="shared" si="11"/>
        <v>1</v>
      </c>
      <c r="I1023" s="142">
        <f t="shared" si="12"/>
        <v>0</v>
      </c>
      <c r="J1023" s="142">
        <f t="shared" si="13"/>
        <v>0</v>
      </c>
      <c r="K1023" s="142">
        <f t="shared" si="14"/>
        <v>0</v>
      </c>
      <c r="L1023" s="139">
        <f>Assumptions!$C$6*Assumptions!$C$7*(1+$G1023-0.05*(1-1))^1+Assumptions!$C$6*Assumptions!$C$8*(1+Assumptions!$C$11)^1+Assumptions!$C$16*1+Assumptions!$C$6*Assumptions!$C$9*(1+Assumptions!$C$12)^1</f>
        <v>746.4574416</v>
      </c>
      <c r="M1023" s="139">
        <f>Assumptions!$C$6*Assumptions!$C$7*(1+$G1023-0.05*(1-$H1023))^2+Assumptions!$C$6*Assumptions!$C$8*(1+Assumptions!$C$11)^2+Assumptions!$C$16*$H1023+Assumptions!$C$6*Assumptions!$C$9*(1+Assumptions!$C$12)^2</f>
        <v>774.2313429</v>
      </c>
      <c r="N1023" s="139">
        <f>Assumptions!$C$6*Assumptions!$C$7*(1+$G1023-0.05*(1-$I1023))^3+Assumptions!$C$6*Assumptions!$C$8*(1+Assumptions!$C$11)^3+Assumptions!$C$16*$I1023+Assumptions!$C$6*Assumptions!$C$9*(1+Assumptions!$C$12)^3</f>
        <v>689.362237</v>
      </c>
      <c r="O1023" s="139">
        <f>Assumptions!$C$6*Assumptions!$C$7*(1+$G1023-0.05*(1-$J1023))^4+Assumptions!$C$6*Assumptions!$C$8*(1+Assumptions!$C$11)^4+Assumptions!$C$16*$J1023+Assumptions!$C$6*Assumptions!$C$9*(1+Assumptions!$C$12)^4</f>
        <v>699.4753764</v>
      </c>
      <c r="P1023" s="139">
        <f>Assumptions!$C$6*Assumptions!$C$7*(1+$G1023-0.05*(1-$K1023))^5+Assumptions!$C$6*Assumptions!$C$8*(1+Assumptions!$C$11)^5+Assumptions!$C$16*$K1023+Assumptions!$C$6*Assumptions!$C$9*(1+Assumptions!$C$12)^5</f>
        <v>709.7562921</v>
      </c>
      <c r="Q1023" s="139">
        <f>($L1023*(1-(Assumptions!$C$25+0.06*(1-1))-Assumptions!$C$27)-Assumptions!$C$28)-MAX(0,($L1023*(1-(Assumptions!$C$25+0.06*(1-1))-Assumptions!$C$27)-Assumptions!$C$28)*Assumptions!$C$31)+Assumptions!$C$28-Assumptions!$C$29-$L1023*Assumptions!$C$30</f>
        <v>92.98834994</v>
      </c>
      <c r="R1023" s="139">
        <f>($M1023*(1-(Assumptions!$C$25+0.06*(1-$H1023))-Assumptions!$C$27)-Assumptions!$C$28)-MAX(0,($M1023*(1-(Assumptions!$C$25+0.06*(1-$H1023))-Assumptions!$C$27)-Assumptions!$C$28)*Assumptions!$C$31)+Assumptions!$C$28-Assumptions!$C$29-$M1023*Assumptions!$C$30</f>
        <v>98.95973872</v>
      </c>
      <c r="S1023" s="139">
        <f>($N1023*(1-(Assumptions!$C$25+0.06*(1-$I1023))-Assumptions!$C$27)-Assumptions!$C$28)-MAX(0,($N1023*(1-(Assumptions!$C$25+0.06*(1-$I1023))-Assumptions!$C$27)-Assumptions!$C$28)*Assumptions!$C$31)+Assumptions!$C$28-Assumptions!$C$29-$N1023*Assumptions!$C$30</f>
        <v>38.55331452</v>
      </c>
      <c r="T1023" s="139">
        <f>($O1023*(1-(Assumptions!$C$25+0.06*(1-$J1023))-Assumptions!$C$27)-Assumptions!$C$28)-MAX(0,($O1023*(1-(Assumptions!$C$25+0.06*(1-$J1023))-Assumptions!$C$27)-Assumptions!$C$28)*Assumptions!$C$31)+Assumptions!$C$28-Assumptions!$C$29-$O1023*Assumptions!$C$30</f>
        <v>40.87933657</v>
      </c>
      <c r="U1023" s="139">
        <f>($P1023*(1-(Assumptions!$C$25+0.06*(1-$K1023))-Assumptions!$C$27)-Assumptions!$C$28)-MAX(0,($P1023*(1-(Assumptions!$C$25+0.06*(1-$K1023))-Assumptions!$C$27)-Assumptions!$C$28)*Assumptions!$C$31)+Assumptions!$C$28-Assumptions!$C$29-$P1023*Assumptions!$C$30</f>
        <v>43.24394719</v>
      </c>
      <c r="V1023" s="143">
        <f>(($Q1023/(1+$D1023)^1+$R1023/(1+$D1023)^2+$S1023/(1+$D1023)^3+$T1023/(1+$D1023)^4+$U1023/(1+$D1023)^5+$U1023*(1+$E1023)/($D1023-$E1023)/(1+$D1023)^5)-Assumptions!$C$37)/Assumptions!$C$40/Assumptions!$C$38</f>
        <v>-1.183428338</v>
      </c>
    </row>
    <row r="1024" ht="12.0" customHeight="1">
      <c r="B1024" s="139">
        <v>972.0</v>
      </c>
      <c r="C1024" s="140">
        <f t="shared" si="6"/>
        <v>0.8191381322</v>
      </c>
      <c r="D1024" s="141">
        <f t="shared" si="7"/>
        <v>0.1049270904</v>
      </c>
      <c r="E1024" s="141">
        <f t="shared" si="8"/>
        <v>0.02804025653</v>
      </c>
      <c r="F1024" s="140">
        <f t="shared" si="9"/>
        <v>0.8461022765</v>
      </c>
      <c r="G1024" s="141">
        <f t="shared" si="10"/>
        <v>0.07335620529</v>
      </c>
      <c r="H1024" s="142">
        <f t="shared" si="11"/>
        <v>1</v>
      </c>
      <c r="I1024" s="142">
        <f t="shared" si="12"/>
        <v>0</v>
      </c>
      <c r="J1024" s="142">
        <f t="shared" si="13"/>
        <v>1</v>
      </c>
      <c r="K1024" s="142">
        <f t="shared" si="14"/>
        <v>0</v>
      </c>
      <c r="L1024" s="139">
        <f>Assumptions!$C$6*Assumptions!$C$7*(1+$G1024-0.05*(1-1))^1+Assumptions!$C$6*Assumptions!$C$8*(1+Assumptions!$C$11)^1+Assumptions!$C$16*1+Assumptions!$C$6*Assumptions!$C$9*(1+Assumptions!$C$12)^1</f>
        <v>751.1596987</v>
      </c>
      <c r="M1024" s="139">
        <f>Assumptions!$C$6*Assumptions!$C$7*(1+$G1024-0.05*(1-$H1024))^2+Assumptions!$C$6*Assumptions!$C$8*(1+Assumptions!$C$11)^2+Assumptions!$C$16*$H1024+Assumptions!$C$6*Assumptions!$C$9*(1+Assumptions!$C$12)^2</f>
        <v>784.2600467</v>
      </c>
      <c r="N1024" s="139">
        <f>Assumptions!$C$6*Assumptions!$C$7*(1+$G1024-0.05*(1-$I1024))^3+Assumptions!$C$6*Assumptions!$C$8*(1+Assumptions!$C$11)^3+Assumptions!$C$16*$I1024+Assumptions!$C$6*Assumptions!$C$9*(1+Assumptions!$C$12)^3</f>
        <v>703.9349103</v>
      </c>
      <c r="O1024" s="139">
        <f>Assumptions!$C$6*Assumptions!$C$7*(1+$G1024-0.05*(1-$J1024))^4+Assumptions!$C$6*Assumptions!$C$8*(1+Assumptions!$C$11)^4+Assumptions!$C$16*$J1024+Assumptions!$C$6*Assumptions!$C$9*(1+Assumptions!$C$12)^4</f>
        <v>856.8343153</v>
      </c>
      <c r="P1024" s="139">
        <f>Assumptions!$C$6*Assumptions!$C$7*(1+$G1024-0.05*(1-$K1024))^5+Assumptions!$C$6*Assumptions!$C$8*(1+Assumptions!$C$11)^5+Assumptions!$C$16*$K1024+Assumptions!$C$6*Assumptions!$C$9*(1+Assumptions!$C$12)^5</f>
        <v>734.8478095</v>
      </c>
      <c r="Q1024" s="139">
        <f>($L1024*(1-(Assumptions!$C$25+0.06*(1-1))-Assumptions!$C$27)-Assumptions!$C$28)-MAX(0,($L1024*(1-(Assumptions!$C$25+0.06*(1-1))-Assumptions!$C$27)-Assumptions!$C$28)*Assumptions!$C$31)+Assumptions!$C$28-Assumptions!$C$29-$L1024*Assumptions!$C$30</f>
        <v>93.99933522</v>
      </c>
      <c r="R1024" s="139">
        <f>($M1024*(1-(Assumptions!$C$25+0.06*(1-$H1024))-Assumptions!$C$27)-Assumptions!$C$28)-MAX(0,($M1024*(1-(Assumptions!$C$25+0.06*(1-$H1024))-Assumptions!$C$27)-Assumptions!$C$28)*Assumptions!$C$31)+Assumptions!$C$28-Assumptions!$C$29-$M1024*Assumptions!$C$30</f>
        <v>101.11591</v>
      </c>
      <c r="S1024" s="139">
        <f>($N1024*(1-(Assumptions!$C$25+0.06*(1-$I1024))-Assumptions!$C$27)-Assumptions!$C$28)-MAX(0,($N1024*(1-(Assumptions!$C$25+0.06*(1-$I1024))-Assumptions!$C$27)-Assumptions!$C$28)*Assumptions!$C$31)+Assumptions!$C$28-Assumptions!$C$29-$N1024*Assumptions!$C$30</f>
        <v>41.90502937</v>
      </c>
      <c r="T1024" s="139">
        <f>($O1024*(1-(Assumptions!$C$25+0.06*(1-$J1024))-Assumptions!$C$27)-Assumptions!$C$28)-MAX(0,($O1024*(1-(Assumptions!$C$25+0.06*(1-$J1024))-Assumptions!$C$27)-Assumptions!$C$28)*Assumptions!$C$31)+Assumptions!$C$28-Assumptions!$C$29-$O1024*Assumptions!$C$30</f>
        <v>116.7193778</v>
      </c>
      <c r="U1024" s="139">
        <f>($P1024*(1-(Assumptions!$C$25+0.06*(1-$K1024))-Assumptions!$C$27)-Assumptions!$C$28)-MAX(0,($P1024*(1-(Assumptions!$C$25+0.06*(1-$K1024))-Assumptions!$C$27)-Assumptions!$C$28)*Assumptions!$C$31)+Assumptions!$C$28-Assumptions!$C$29-$P1024*Assumptions!$C$30</f>
        <v>49.01499617</v>
      </c>
      <c r="V1024" s="143">
        <f>(($Q1024/(1+$D1024)^1+$R1024/(1+$D1024)^2+$S1024/(1+$D1024)^3+$T1024/(1+$D1024)^4+$U1024/(1+$D1024)^5+$U1024*(1+$E1024)/($D1024-$E1024)/(1+$D1024)^5)-Assumptions!$C$37)/Assumptions!$C$40/Assumptions!$C$38</f>
        <v>0.1035767868</v>
      </c>
    </row>
    <row r="1025" ht="12.0" customHeight="1">
      <c r="B1025" s="139">
        <v>973.0</v>
      </c>
      <c r="C1025" s="140">
        <f t="shared" si="6"/>
        <v>0.6810910977</v>
      </c>
      <c r="D1025" s="141">
        <f t="shared" si="7"/>
        <v>0.1016243544</v>
      </c>
      <c r="E1025" s="141">
        <f t="shared" si="8"/>
        <v>0.01146793325</v>
      </c>
      <c r="F1025" s="140">
        <f t="shared" si="9"/>
        <v>0.1005821879</v>
      </c>
      <c r="G1025" s="141">
        <f t="shared" si="10"/>
        <v>0.04345540554</v>
      </c>
      <c r="H1025" s="142">
        <f t="shared" si="11"/>
        <v>1</v>
      </c>
      <c r="I1025" s="142">
        <f t="shared" si="12"/>
        <v>0</v>
      </c>
      <c r="J1025" s="142">
        <f t="shared" si="13"/>
        <v>0</v>
      </c>
      <c r="K1025" s="142">
        <f t="shared" si="14"/>
        <v>0</v>
      </c>
      <c r="L1025" s="139">
        <f>Assumptions!$C$6*Assumptions!$C$7*(1+$G1025-0.05*(1-1))^1+Assumptions!$C$6*Assumptions!$C$8*(1+Assumptions!$C$11)^1+Assumptions!$C$16*1+Assumptions!$C$6*Assumptions!$C$9*(1+Assumptions!$C$12)^1</f>
        <v>741.0950895</v>
      </c>
      <c r="M1025" s="139">
        <f>Assumptions!$C$6*Assumptions!$C$7*(1+$G1025-0.05*(1-$H1025))^2+Assumptions!$C$6*Assumptions!$C$8*(1+Assumptions!$C$11)^2+Assumptions!$C$16*$H1025+Assumptions!$C$6*Assumptions!$C$9*(1+Assumptions!$C$12)^2</f>
        <v>762.9551651</v>
      </c>
      <c r="N1025" s="139">
        <f>Assumptions!$C$6*Assumptions!$C$7*(1+$G1025-0.05*(1-$I1025))^3+Assumptions!$C$6*Assumptions!$C$8*(1+Assumptions!$C$11)^3+Assumptions!$C$16*$I1025+Assumptions!$C$6*Assumptions!$C$9*(1+Assumptions!$C$12)^3</f>
        <v>673.2290928</v>
      </c>
      <c r="O1025" s="139">
        <f>Assumptions!$C$6*Assumptions!$C$7*(1+$G1025-0.05*(1-$J1025))^4+Assumptions!$C$6*Assumptions!$C$8*(1+Assumptions!$C$11)^4+Assumptions!$C$16*$J1025+Assumptions!$C$6*Assumptions!$C$9*(1+Assumptions!$C$12)^4</f>
        <v>677.9330447</v>
      </c>
      <c r="P1025" s="139">
        <f>Assumptions!$C$6*Assumptions!$C$7*(1+$G1025-0.05*(1-$K1025))^5+Assumptions!$C$6*Assumptions!$C$8*(1+Assumptions!$C$11)^5+Assumptions!$C$16*$K1025+Assumptions!$C$6*Assumptions!$C$9*(1+Assumptions!$C$12)^5</f>
        <v>682.7884104</v>
      </c>
      <c r="Q1025" s="139">
        <f>($L1025*(1-(Assumptions!$C$25+0.06*(1-1))-Assumptions!$C$27)-Assumptions!$C$28)-MAX(0,($L1025*(1-(Assumptions!$C$25+0.06*(1-1))-Assumptions!$C$27)-Assumptions!$C$28)*Assumptions!$C$31)+Assumptions!$C$28-Assumptions!$C$29-$L1025*Assumptions!$C$30</f>
        <v>91.83544424</v>
      </c>
      <c r="R1025" s="139">
        <f>($M1025*(1-(Assumptions!$C$25+0.06*(1-$H1025))-Assumptions!$C$27)-Assumptions!$C$28)-MAX(0,($M1025*(1-(Assumptions!$C$25+0.06*(1-$H1025))-Assumptions!$C$27)-Assumptions!$C$28)*Assumptions!$C$31)+Assumptions!$C$28-Assumptions!$C$29-$M1025*Assumptions!$C$30</f>
        <v>96.5353605</v>
      </c>
      <c r="S1025" s="139">
        <f>($N1025*(1-(Assumptions!$C$25+0.06*(1-$I1025))-Assumptions!$C$27)-Assumptions!$C$28)-MAX(0,($N1025*(1-(Assumptions!$C$25+0.06*(1-$I1025))-Assumptions!$C$27)-Assumptions!$C$28)*Assumptions!$C$31)+Assumptions!$C$28-Assumptions!$C$29-$N1025*Assumptions!$C$30</f>
        <v>34.84269135</v>
      </c>
      <c r="T1025" s="139">
        <f>($O1025*(1-(Assumptions!$C$25+0.06*(1-$J1025))-Assumptions!$C$27)-Assumptions!$C$28)-MAX(0,($O1025*(1-(Assumptions!$C$25+0.06*(1-$J1025))-Assumptions!$C$27)-Assumptions!$C$28)*Assumptions!$C$31)+Assumptions!$C$28-Assumptions!$C$29-$O1025*Assumptions!$C$30</f>
        <v>35.92460028</v>
      </c>
      <c r="U1025" s="139">
        <f>($P1025*(1-(Assumptions!$C$25+0.06*(1-$K1025))-Assumptions!$C$27)-Assumptions!$C$28)-MAX(0,($P1025*(1-(Assumptions!$C$25+0.06*(1-$K1025))-Assumptions!$C$27)-Assumptions!$C$28)*Assumptions!$C$31)+Assumptions!$C$28-Assumptions!$C$29-$P1025*Assumptions!$C$30</f>
        <v>37.04133439</v>
      </c>
      <c r="V1025" s="143">
        <f>(($Q1025/(1+$D1025)^1+$R1025/(1+$D1025)^2+$S1025/(1+$D1025)^3+$T1025/(1+$D1025)^4+$U1025/(1+$D1025)^5+$U1025*(1+$E1025)/($D1025-$E1025)/(1+$D1025)^5)-Assumptions!$C$37)/Assumptions!$C$40/Assumptions!$C$38</f>
        <v>-1.555848486</v>
      </c>
    </row>
    <row r="1026" ht="12.0" customHeight="1">
      <c r="B1026" s="139">
        <v>974.0</v>
      </c>
      <c r="C1026" s="140">
        <f t="shared" si="6"/>
        <v>0.9886638099</v>
      </c>
      <c r="D1026" s="141">
        <f t="shared" si="7"/>
        <v>0.1124781747</v>
      </c>
      <c r="E1026" s="141">
        <f t="shared" si="8"/>
        <v>0.01951658198</v>
      </c>
      <c r="F1026" s="140">
        <f t="shared" si="9"/>
        <v>0.9727160849</v>
      </c>
      <c r="G1026" s="141">
        <f t="shared" si="10"/>
        <v>0.08299207255</v>
      </c>
      <c r="H1026" s="142">
        <f t="shared" si="11"/>
        <v>1</v>
      </c>
      <c r="I1026" s="142">
        <f t="shared" si="12"/>
        <v>1</v>
      </c>
      <c r="J1026" s="142">
        <f t="shared" si="13"/>
        <v>1</v>
      </c>
      <c r="K1026" s="142">
        <f t="shared" si="14"/>
        <v>0</v>
      </c>
      <c r="L1026" s="139">
        <f>Assumptions!$C$6*Assumptions!$C$7*(1+$G1026-0.05*(1-1))^1+Assumptions!$C$6*Assumptions!$C$8*(1+Assumptions!$C$11)^1+Assumptions!$C$16*1+Assumptions!$C$6*Assumptions!$C$9*(1+Assumptions!$C$12)^1</f>
        <v>754.4031316</v>
      </c>
      <c r="M1026" s="139">
        <f>Assumptions!$C$6*Assumptions!$C$7*(1+$G1026-0.05*(1-$H1026))^2+Assumptions!$C$6*Assumptions!$C$8*(1+Assumptions!$C$11)^2+Assumptions!$C$16*$H1026+Assumptions!$C$6*Assumptions!$C$9*(1+Assumptions!$C$12)^2</f>
        <v>791.2540177</v>
      </c>
      <c r="N1026" s="139">
        <f>Assumptions!$C$6*Assumptions!$C$7*(1+$G1026-0.05*(1-$I1026))^3+Assumptions!$C$6*Assumptions!$C$8*(1+Assumptions!$C$11)^3+Assumptions!$C$16*$I1026+Assumptions!$C$6*Assumptions!$C$9*(1+Assumptions!$C$12)^3</f>
        <v>830.7476538</v>
      </c>
      <c r="O1026" s="139">
        <f>Assumptions!$C$6*Assumptions!$C$7*(1+$G1026-0.05*(1-$J1026))^4+Assumptions!$C$6*Assumptions!$C$8*(1+Assumptions!$C$11)^4+Assumptions!$C$16*$J1026+Assumptions!$C$6*Assumptions!$C$9*(1+Assumptions!$C$12)^4</f>
        <v>873.0950557</v>
      </c>
      <c r="P1026" s="139">
        <f>Assumptions!$C$6*Assumptions!$C$7*(1+$G1026-0.05*(1-$K1026))^5+Assumptions!$C$6*Assumptions!$C$8*(1+Assumptions!$C$11)^5+Assumptions!$C$16*$K1026+Assumptions!$C$6*Assumptions!$C$9*(1+Assumptions!$C$12)^5</f>
        <v>752.9720869</v>
      </c>
      <c r="Q1026" s="139">
        <f>($L1026*(1-(Assumptions!$C$25+0.06*(1-1))-Assumptions!$C$27)-Assumptions!$C$28)-MAX(0,($L1026*(1-(Assumptions!$C$25+0.06*(1-1))-Assumptions!$C$27)-Assumptions!$C$28)*Assumptions!$C$31)+Assumptions!$C$28-Assumptions!$C$29-$L1026*Assumptions!$C$30</f>
        <v>94.6966733</v>
      </c>
      <c r="R1026" s="139">
        <f>($M1026*(1-(Assumptions!$C$25+0.06*(1-$H1026))-Assumptions!$C$27)-Assumptions!$C$28)-MAX(0,($M1026*(1-(Assumptions!$C$25+0.06*(1-$H1026))-Assumptions!$C$27)-Assumptions!$C$28)*Assumptions!$C$31)+Assumptions!$C$28-Assumptions!$C$29-$M1026*Assumptions!$C$30</f>
        <v>102.6196138</v>
      </c>
      <c r="S1026" s="139">
        <f>($N1026*(1-(Assumptions!$C$25+0.06*(1-$I1026))-Assumptions!$C$27)-Assumptions!$C$28)-MAX(0,($N1026*(1-(Assumptions!$C$25+0.06*(1-$I1026))-Assumptions!$C$27)-Assumptions!$C$28)*Assumptions!$C$31)+Assumptions!$C$28-Assumptions!$C$29-$N1026*Assumptions!$C$30</f>
        <v>111.1107456</v>
      </c>
      <c r="T1026" s="139">
        <f>($O1026*(1-(Assumptions!$C$25+0.06*(1-$J1026))-Assumptions!$C$27)-Assumptions!$C$28)-MAX(0,($O1026*(1-(Assumptions!$C$25+0.06*(1-$J1026))-Assumptions!$C$27)-Assumptions!$C$28)*Assumptions!$C$31)+Assumptions!$C$28-Assumptions!$C$29-$O1026*Assumptions!$C$30</f>
        <v>120.215437</v>
      </c>
      <c r="U1026" s="139">
        <f>($P1026*(1-(Assumptions!$C$25+0.06*(1-$K1026))-Assumptions!$C$27)-Assumptions!$C$28)-MAX(0,($P1026*(1-(Assumptions!$C$25+0.06*(1-$K1026))-Assumptions!$C$27)-Assumptions!$C$28)*Assumptions!$C$31)+Assumptions!$C$28-Assumptions!$C$29-$P1026*Assumptions!$C$30</f>
        <v>53.18357998</v>
      </c>
      <c r="V1026" s="143">
        <f>(($Q1026/(1+$D1026)^1+$R1026/(1+$D1026)^2+$S1026/(1+$D1026)^3+$T1026/(1+$D1026)^4+$U1026/(1+$D1026)^5+$U1026*(1+$E1026)/($D1026-$E1026)/(1+$D1026)^5)-Assumptions!$C$37)/Assumptions!$C$40/Assumptions!$C$38</f>
        <v>0.07056994458</v>
      </c>
    </row>
    <row r="1027" ht="12.0" customHeight="1">
      <c r="B1027" s="139">
        <v>975.0</v>
      </c>
      <c r="C1027" s="140">
        <f t="shared" si="6"/>
        <v>0.4824270868</v>
      </c>
      <c r="D1027" s="141">
        <f t="shared" si="7"/>
        <v>0.09796009377</v>
      </c>
      <c r="E1027" s="141">
        <f t="shared" si="8"/>
        <v>0.02728759058</v>
      </c>
      <c r="F1027" s="140">
        <f t="shared" si="9"/>
        <v>0.7951623723</v>
      </c>
      <c r="G1027" s="141">
        <f t="shared" si="10"/>
        <v>0.07079823628</v>
      </c>
      <c r="H1027" s="142">
        <f t="shared" si="11"/>
        <v>0</v>
      </c>
      <c r="I1027" s="142">
        <f t="shared" si="12"/>
        <v>1</v>
      </c>
      <c r="J1027" s="142">
        <f t="shared" si="13"/>
        <v>1</v>
      </c>
      <c r="K1027" s="142">
        <f t="shared" si="14"/>
        <v>1</v>
      </c>
      <c r="L1027" s="139">
        <f>Assumptions!$C$6*Assumptions!$C$7*(1+$G1027-0.05*(1-1))^1+Assumptions!$C$6*Assumptions!$C$8*(1+Assumptions!$C$11)^1+Assumptions!$C$16*1+Assumptions!$C$6*Assumptions!$C$9*(1+Assumptions!$C$12)^1</f>
        <v>750.2986863</v>
      </c>
      <c r="M1027" s="139">
        <f>Assumptions!$C$6*Assumptions!$C$7*(1+$G1027-0.05*(1-$H1027))^2+Assumptions!$C$6*Assumptions!$C$8*(1+Assumptions!$C$11)^2+Assumptions!$C$16*$H1027+Assumptions!$C$6*Assumptions!$C$9*(1+Assumptions!$C$12)^2</f>
        <v>687.2123346</v>
      </c>
      <c r="N1027" s="139">
        <f>Assumptions!$C$6*Assumptions!$C$7*(1+$G1027-0.05*(1-$I1027))^3+Assumptions!$C$6*Assumptions!$C$8*(1+Assumptions!$C$11)^3+Assumptions!$C$16*$I1027+Assumptions!$C$6*Assumptions!$C$9*(1+Assumptions!$C$12)^3</f>
        <v>816.4676866</v>
      </c>
      <c r="O1027" s="139">
        <f>Assumptions!$C$6*Assumptions!$C$7*(1+$G1027-0.05*(1-$J1027))^4+Assumptions!$C$6*Assumptions!$C$8*(1+Assumptions!$C$11)^4+Assumptions!$C$16*$J1027+Assumptions!$C$6*Assumptions!$C$9*(1+Assumptions!$C$12)^4</f>
        <v>852.5905808</v>
      </c>
      <c r="P1027" s="139">
        <f>Assumptions!$C$6*Assumptions!$C$7*(1+$G1027-0.05*(1-$K1027))^5+Assumptions!$C$6*Assumptions!$C$8*(1+Assumptions!$C$11)^5+Assumptions!$C$16*$K1027+Assumptions!$C$6*Assumptions!$C$9*(1+Assumptions!$C$12)^5</f>
        <v>890.9222385</v>
      </c>
      <c r="Q1027" s="139">
        <f>($L1027*(1-(Assumptions!$C$25+0.06*(1-1))-Assumptions!$C$27)-Assumptions!$C$28)-MAX(0,($L1027*(1-(Assumptions!$C$25+0.06*(1-1))-Assumptions!$C$27)-Assumptions!$C$28)*Assumptions!$C$31)+Assumptions!$C$28-Assumptions!$C$29-$L1027*Assumptions!$C$30</f>
        <v>93.81421756</v>
      </c>
      <c r="R1027" s="139">
        <f>($M1027*(1-(Assumptions!$C$25+0.06*(1-$H1027))-Assumptions!$C$27)-Assumptions!$C$28)-MAX(0,($M1027*(1-(Assumptions!$C$25+0.06*(1-$H1027))-Assumptions!$C$27)-Assumptions!$C$28)*Assumptions!$C$31)+Assumptions!$C$28-Assumptions!$C$29-$M1027*Assumptions!$C$30</f>
        <v>38.05883696</v>
      </c>
      <c r="S1027" s="139">
        <f>($N1027*(1-(Assumptions!$C$25+0.06*(1-$I1027))-Assumptions!$C$27)-Assumptions!$C$28)-MAX(0,($N1027*(1-(Assumptions!$C$25+0.06*(1-$I1027))-Assumptions!$C$27)-Assumptions!$C$28)*Assumptions!$C$31)+Assumptions!$C$28-Assumptions!$C$29-$N1027*Assumptions!$C$30</f>
        <v>108.0405526</v>
      </c>
      <c r="T1027" s="139">
        <f>($O1027*(1-(Assumptions!$C$25+0.06*(1-$J1027))-Assumptions!$C$27)-Assumptions!$C$28)-MAX(0,($O1027*(1-(Assumptions!$C$25+0.06*(1-$J1027))-Assumptions!$C$27)-Assumptions!$C$28)*Assumptions!$C$31)+Assumptions!$C$28-Assumptions!$C$29-$O1027*Assumptions!$C$30</f>
        <v>115.8069749</v>
      </c>
      <c r="U1027" s="139">
        <f>($P1027*(1-(Assumptions!$C$25+0.06*(1-$K1027))-Assumptions!$C$27)-Assumptions!$C$28)-MAX(0,($P1027*(1-(Assumptions!$C$25+0.06*(1-$K1027))-Assumptions!$C$27)-Assumptions!$C$28)*Assumptions!$C$31)+Assumptions!$C$28-Assumptions!$C$29-$P1027*Assumptions!$C$30</f>
        <v>124.0482813</v>
      </c>
      <c r="V1027" s="143">
        <f>(($Q1027/(1+$D1027)^1+$R1027/(1+$D1027)^2+$S1027/(1+$D1027)^3+$T1027/(1+$D1027)^4+$U1027/(1+$D1027)^5+$U1027*(1+$E1027)/($D1027-$E1027)/(1+$D1027)^5)-Assumptions!$C$37)/Assumptions!$C$40/Assumptions!$C$38</f>
        <v>6.199663656</v>
      </c>
    </row>
    <row r="1028" ht="12.0" customHeight="1">
      <c r="B1028" s="139">
        <v>976.0</v>
      </c>
      <c r="C1028" s="140">
        <f t="shared" si="6"/>
        <v>0.6685327572</v>
      </c>
      <c r="D1028" s="141">
        <f t="shared" si="7"/>
        <v>0.101363537</v>
      </c>
      <c r="E1028" s="141">
        <f t="shared" si="8"/>
        <v>0.0144998081</v>
      </c>
      <c r="F1028" s="140">
        <f t="shared" si="9"/>
        <v>0.4157254508</v>
      </c>
      <c r="G1028" s="141">
        <f t="shared" si="10"/>
        <v>0.05735517888</v>
      </c>
      <c r="H1028" s="142">
        <f t="shared" si="11"/>
        <v>1</v>
      </c>
      <c r="I1028" s="142">
        <f t="shared" si="12"/>
        <v>0</v>
      </c>
      <c r="J1028" s="142">
        <f t="shared" si="13"/>
        <v>0</v>
      </c>
      <c r="K1028" s="142">
        <f t="shared" si="14"/>
        <v>1</v>
      </c>
      <c r="L1028" s="139">
        <f>Assumptions!$C$6*Assumptions!$C$7*(1+$G1028-0.05*(1-1))^1+Assumptions!$C$6*Assumptions!$C$8*(1+Assumptions!$C$11)^1+Assumptions!$C$16*1+Assumptions!$C$6*Assumptions!$C$9*(1+Assumptions!$C$12)^1</f>
        <v>745.7737532</v>
      </c>
      <c r="M1028" s="139">
        <f>Assumptions!$C$6*Assumptions!$C$7*(1+$G1028-0.05*(1-$H1028))^2+Assumptions!$C$6*Assumptions!$C$8*(1+Assumptions!$C$11)^2+Assumptions!$C$16*$H1028+Assumptions!$C$6*Assumptions!$C$9*(1+Assumptions!$C$12)^2</f>
        <v>772.7841513</v>
      </c>
      <c r="N1028" s="139">
        <f>Assumptions!$C$6*Assumptions!$C$7*(1+$G1028-0.05*(1-$I1028))^3+Assumptions!$C$6*Assumptions!$C$8*(1+Assumptions!$C$11)^3+Assumptions!$C$16*$I1028+Assumptions!$C$6*Assumptions!$C$9*(1+Assumptions!$C$12)^3</f>
        <v>687.2766896</v>
      </c>
      <c r="O1028" s="139">
        <f>Assumptions!$C$6*Assumptions!$C$7*(1+$G1028-0.05*(1-$J1028))^4+Assumptions!$C$6*Assumptions!$C$8*(1+Assumptions!$C$11)^4+Assumptions!$C$16*$J1028+Assumptions!$C$6*Assumptions!$C$9*(1+Assumptions!$C$12)^4</f>
        <v>696.6713678</v>
      </c>
      <c r="P1028" s="139">
        <f>Assumptions!$C$6*Assumptions!$C$7*(1+$G1028-0.05*(1-$K1028))^5+Assumptions!$C$6*Assumptions!$C$8*(1+Assumptions!$C$11)^5+Assumptions!$C$16*$K1028+Assumptions!$C$6*Assumptions!$C$9*(1+Assumptions!$C$12)^5</f>
        <v>861.914854</v>
      </c>
      <c r="Q1028" s="139">
        <f>($L1028*(1-(Assumptions!$C$25+0.06*(1-1))-Assumptions!$C$27)-Assumptions!$C$28)-MAX(0,($L1028*(1-(Assumptions!$C$25+0.06*(1-1))-Assumptions!$C$27)-Assumptions!$C$28)*Assumptions!$C$31)+Assumptions!$C$28-Assumptions!$C$29-$L1028*Assumptions!$C$30</f>
        <v>92.84135694</v>
      </c>
      <c r="R1028" s="139">
        <f>($M1028*(1-(Assumptions!$C$25+0.06*(1-$H1028))-Assumptions!$C$27)-Assumptions!$C$28)-MAX(0,($M1028*(1-(Assumptions!$C$25+0.06*(1-$H1028))-Assumptions!$C$27)-Assumptions!$C$28)*Assumptions!$C$31)+Assumptions!$C$28-Assumptions!$C$29-$M1028*Assumptions!$C$30</f>
        <v>98.64859254</v>
      </c>
      <c r="S1028" s="139">
        <f>($N1028*(1-(Assumptions!$C$25+0.06*(1-$I1028))-Assumptions!$C$27)-Assumptions!$C$28)-MAX(0,($N1028*(1-(Assumptions!$C$25+0.06*(1-$I1028))-Assumptions!$C$27)-Assumptions!$C$28)*Assumptions!$C$31)+Assumptions!$C$28-Assumptions!$C$29-$N1028*Assumptions!$C$30</f>
        <v>38.07363861</v>
      </c>
      <c r="T1028" s="139">
        <f>($O1028*(1-(Assumptions!$C$25+0.06*(1-$J1028))-Assumptions!$C$27)-Assumptions!$C$28)-MAX(0,($O1028*(1-(Assumptions!$C$25+0.06*(1-$J1028))-Assumptions!$C$27)-Assumptions!$C$28)*Assumptions!$C$31)+Assumptions!$C$28-Assumptions!$C$29-$O1028*Assumptions!$C$30</f>
        <v>40.23441458</v>
      </c>
      <c r="U1028" s="139">
        <f>($P1028*(1-(Assumptions!$C$25+0.06*(1-$K1028))-Assumptions!$C$27)-Assumptions!$C$28)-MAX(0,($P1028*(1-(Assumptions!$C$25+0.06*(1-$K1028))-Assumptions!$C$27)-Assumptions!$C$28)*Assumptions!$C$31)+Assumptions!$C$28-Assumptions!$C$29-$P1028*Assumptions!$C$30</f>
        <v>117.8116936</v>
      </c>
      <c r="V1028" s="143">
        <f>(($Q1028/(1+$D1028)^1+$R1028/(1+$D1028)^2+$S1028/(1+$D1028)^3+$T1028/(1+$D1028)^4+$U1028/(1+$D1028)^5+$U1028*(1+$E1028)/($D1028-$E1028)/(1+$D1028)^5)-Assumptions!$C$37)/Assumptions!$C$40/Assumptions!$C$38</f>
        <v>3.523852618</v>
      </c>
    </row>
    <row r="1029" ht="12.0" customHeight="1">
      <c r="B1029" s="139">
        <v>977.0</v>
      </c>
      <c r="C1029" s="140">
        <f t="shared" si="6"/>
        <v>0.2138684064</v>
      </c>
      <c r="D1029" s="141">
        <f t="shared" si="7"/>
        <v>0.09351477479</v>
      </c>
      <c r="E1029" s="141">
        <f t="shared" si="8"/>
        <v>0.01281163718</v>
      </c>
      <c r="F1029" s="140">
        <f t="shared" si="9"/>
        <v>0.8934035328</v>
      </c>
      <c r="G1029" s="141">
        <f t="shared" si="10"/>
        <v>0.07614815388</v>
      </c>
      <c r="H1029" s="142">
        <f t="shared" si="11"/>
        <v>0</v>
      </c>
      <c r="I1029" s="142">
        <f t="shared" si="12"/>
        <v>1</v>
      </c>
      <c r="J1029" s="142">
        <f t="shared" si="13"/>
        <v>1</v>
      </c>
      <c r="K1029" s="142">
        <f t="shared" si="14"/>
        <v>1</v>
      </c>
      <c r="L1029" s="139">
        <f>Assumptions!$C$6*Assumptions!$C$7*(1+$G1029-0.05*(1-1))^1+Assumptions!$C$6*Assumptions!$C$8*(1+Assumptions!$C$11)^1+Assumptions!$C$16*1+Assumptions!$C$6*Assumptions!$C$9*(1+Assumptions!$C$12)^1</f>
        <v>752.0994686</v>
      </c>
      <c r="M1029" s="139">
        <f>Assumptions!$C$6*Assumptions!$C$7*(1+$G1029-0.05*(1-$H1029))^2+Assumptions!$C$6*Assumptions!$C$8*(1+Assumptions!$C$11)^2+Assumptions!$C$16*$H1029+Assumptions!$C$6*Assumptions!$C$9*(1+Assumptions!$C$12)^2</f>
        <v>690.8984393</v>
      </c>
      <c r="N1029" s="139">
        <f>Assumptions!$C$6*Assumptions!$C$7*(1+$G1029-0.05*(1-$I1029))^3+Assumptions!$C$6*Assumptions!$C$8*(1+Assumptions!$C$11)^3+Assumptions!$C$16*$I1029+Assumptions!$C$6*Assumptions!$C$9*(1+Assumptions!$C$12)^3</f>
        <v>822.6930652</v>
      </c>
      <c r="O1029" s="139">
        <f>Assumptions!$C$6*Assumptions!$C$7*(1+$G1029-0.05*(1-$J1029))^4+Assumptions!$C$6*Assumptions!$C$8*(1+Assumptions!$C$11)^4+Assumptions!$C$16*$J1029+Assumptions!$C$6*Assumptions!$C$9*(1+Assumptions!$C$12)^4</f>
        <v>861.5009871</v>
      </c>
      <c r="P1029" s="139">
        <f>Assumptions!$C$6*Assumptions!$C$7*(1+$G1029-0.05*(1-$K1029))^5+Assumptions!$C$6*Assumptions!$C$8*(1+Assumptions!$C$11)^5+Assumptions!$C$16*$K1029+Assumptions!$C$6*Assumptions!$C$9*(1+Assumptions!$C$12)^5</f>
        <v>902.8786656</v>
      </c>
      <c r="Q1029" s="139">
        <f>($L1029*(1-(Assumptions!$C$25+0.06*(1-1))-Assumptions!$C$27)-Assumptions!$C$28)-MAX(0,($L1029*(1-(Assumptions!$C$25+0.06*(1-1))-Assumptions!$C$27)-Assumptions!$C$28)*Assumptions!$C$31)+Assumptions!$C$28-Assumptions!$C$29-$L1029*Assumptions!$C$30</f>
        <v>94.20138575</v>
      </c>
      <c r="R1029" s="139">
        <f>($M1029*(1-(Assumptions!$C$25+0.06*(1-$H1029))-Assumptions!$C$27)-Assumptions!$C$28)-MAX(0,($M1029*(1-(Assumptions!$C$25+0.06*(1-$H1029))-Assumptions!$C$27)-Assumptions!$C$28)*Assumptions!$C$31)+Assumptions!$C$28-Assumptions!$C$29-$M1029*Assumptions!$C$30</f>
        <v>38.90664105</v>
      </c>
      <c r="S1029" s="139">
        <f>($N1029*(1-(Assumptions!$C$25+0.06*(1-$I1029))-Assumptions!$C$27)-Assumptions!$C$28)-MAX(0,($N1029*(1-(Assumptions!$C$25+0.06*(1-$I1029))-Assumptions!$C$27)-Assumptions!$C$28)*Assumptions!$C$31)+Assumptions!$C$28-Assumptions!$C$29-$N1029*Assumptions!$C$30</f>
        <v>109.379009</v>
      </c>
      <c r="T1029" s="139">
        <f>($O1029*(1-(Assumptions!$C$25+0.06*(1-$J1029))-Assumptions!$C$27)-Assumptions!$C$28)-MAX(0,($O1029*(1-(Assumptions!$C$25+0.06*(1-$J1029))-Assumptions!$C$27)-Assumptions!$C$28)*Assumptions!$C$31)+Assumptions!$C$28-Assumptions!$C$29-$O1029*Assumptions!$C$30</f>
        <v>117.7227122</v>
      </c>
      <c r="U1029" s="139">
        <f>($P1029*(1-(Assumptions!$C$25+0.06*(1-$K1029))-Assumptions!$C$27)-Assumptions!$C$28)-MAX(0,($P1029*(1-(Assumptions!$C$25+0.06*(1-$K1029))-Assumptions!$C$27)-Assumptions!$C$28)*Assumptions!$C$31)+Assumptions!$C$28-Assumptions!$C$29-$P1029*Assumptions!$C$30</f>
        <v>126.6189131</v>
      </c>
      <c r="V1029" s="143">
        <f>(($Q1029/(1+$D1029)^1+$R1029/(1+$D1029)^2+$S1029/(1+$D1029)^3+$T1029/(1+$D1029)^4+$U1029/(1+$D1029)^5+$U1029*(1+$E1029)/($D1029-$E1029)/(1+$D1029)^5)-Assumptions!$C$37)/Assumptions!$C$40/Assumptions!$C$38</f>
        <v>5.38646625</v>
      </c>
    </row>
    <row r="1030" ht="12.0" customHeight="1">
      <c r="B1030" s="139">
        <v>978.0</v>
      </c>
      <c r="C1030" s="140">
        <f t="shared" si="6"/>
        <v>0.1256724046</v>
      </c>
      <c r="D1030" s="141">
        <f t="shared" si="7"/>
        <v>0.09152709316</v>
      </c>
      <c r="E1030" s="141">
        <f t="shared" si="8"/>
        <v>0.01690741248</v>
      </c>
      <c r="F1030" s="140">
        <f t="shared" si="9"/>
        <v>0.8942164612</v>
      </c>
      <c r="G1030" s="141">
        <f t="shared" si="10"/>
        <v>0.0762010736</v>
      </c>
      <c r="H1030" s="142">
        <f t="shared" si="11"/>
        <v>1</v>
      </c>
      <c r="I1030" s="142">
        <f t="shared" si="12"/>
        <v>0</v>
      </c>
      <c r="J1030" s="142">
        <f t="shared" si="13"/>
        <v>0</v>
      </c>
      <c r="K1030" s="142">
        <f t="shared" si="14"/>
        <v>0</v>
      </c>
      <c r="L1030" s="139">
        <f>Assumptions!$C$6*Assumptions!$C$7*(1+$G1030-0.05*(1-1))^1+Assumptions!$C$6*Assumptions!$C$8*(1+Assumptions!$C$11)^1+Assumptions!$C$16*1+Assumptions!$C$6*Assumptions!$C$9*(1+Assumptions!$C$12)^1</f>
        <v>752.1172814</v>
      </c>
      <c r="M1030" s="139">
        <f>Assumptions!$C$6*Assumptions!$C$7*(1+$G1030-0.05*(1-$H1030))^2+Assumptions!$C$6*Assumptions!$C$8*(1+Assumptions!$C$11)^2+Assumptions!$C$16*$H1030+Assumptions!$C$6*Assumptions!$C$9*(1+Assumptions!$C$12)^2</f>
        <v>786.3184255</v>
      </c>
      <c r="N1030" s="139">
        <f>Assumptions!$C$6*Assumptions!$C$7*(1+$G1030-0.05*(1-$I1030))^3+Assumptions!$C$6*Assumptions!$C$8*(1+Assumptions!$C$11)^3+Assumptions!$C$16*$I1030+Assumptions!$C$6*Assumptions!$C$9*(1+Assumptions!$C$12)^3</f>
        <v>706.9517896</v>
      </c>
      <c r="O1030" s="139">
        <f>Assumptions!$C$6*Assumptions!$C$7*(1+$G1030-0.05*(1-$J1030))^4+Assumptions!$C$6*Assumptions!$C$8*(1+Assumptions!$C$11)^4+Assumptions!$C$16*$J1030+Assumptions!$C$6*Assumptions!$C$9*(1+Assumptions!$C$12)^4</f>
        <v>723.3465101</v>
      </c>
      <c r="P1030" s="139">
        <f>Assumptions!$C$6*Assumptions!$C$7*(1+$G1030-0.05*(1-$K1030))^5+Assumptions!$C$6*Assumptions!$C$8*(1+Assumptions!$C$11)^5+Assumptions!$C$16*$K1030+Assumptions!$C$6*Assumptions!$C$9*(1+Assumptions!$C$12)^5</f>
        <v>740.1282264</v>
      </c>
      <c r="Q1030" s="139">
        <f>($L1030*(1-(Assumptions!$C$25+0.06*(1-1))-Assumptions!$C$27)-Assumptions!$C$28)-MAX(0,($L1030*(1-(Assumptions!$C$25+0.06*(1-1))-Assumptions!$C$27)-Assumptions!$C$28)*Assumptions!$C$31)+Assumptions!$C$28-Assumptions!$C$29-$L1030*Assumptions!$C$30</f>
        <v>94.2052155</v>
      </c>
      <c r="R1030" s="139">
        <f>($M1030*(1-(Assumptions!$C$25+0.06*(1-$H1030))-Assumptions!$C$27)-Assumptions!$C$28)-MAX(0,($M1030*(1-(Assumptions!$C$25+0.06*(1-$H1030))-Assumptions!$C$27)-Assumptions!$C$28)*Assumptions!$C$31)+Assumptions!$C$28-Assumptions!$C$29-$M1030*Assumptions!$C$30</f>
        <v>101.5584615</v>
      </c>
      <c r="S1030" s="139">
        <f>($N1030*(1-(Assumptions!$C$25+0.06*(1-$I1030))-Assumptions!$C$27)-Assumptions!$C$28)-MAX(0,($N1030*(1-(Assumptions!$C$25+0.06*(1-$I1030))-Assumptions!$C$27)-Assumptions!$C$28)*Assumptions!$C$31)+Assumptions!$C$28-Assumptions!$C$29-$N1030*Assumptions!$C$30</f>
        <v>42.59891162</v>
      </c>
      <c r="T1030" s="139">
        <f>($O1030*(1-(Assumptions!$C$25+0.06*(1-$J1030))-Assumptions!$C$27)-Assumptions!$C$28)-MAX(0,($O1030*(1-(Assumptions!$C$25+0.06*(1-$J1030))-Assumptions!$C$27)-Assumptions!$C$28)*Assumptions!$C$31)+Assumptions!$C$28-Assumptions!$C$29-$O1030*Assumptions!$C$30</f>
        <v>46.36969733</v>
      </c>
      <c r="U1030" s="139">
        <f>($P1030*(1-(Assumptions!$C$25+0.06*(1-$K1030))-Assumptions!$C$27)-Assumptions!$C$28)-MAX(0,($P1030*(1-(Assumptions!$C$25+0.06*(1-$K1030))-Assumptions!$C$27)-Assumptions!$C$28)*Assumptions!$C$31)+Assumptions!$C$28-Assumptions!$C$29-$P1030*Assumptions!$C$30</f>
        <v>50.22949207</v>
      </c>
      <c r="V1030" s="143">
        <f>(($Q1030/(1+$D1030)^1+$R1030/(1+$D1030)^2+$S1030/(1+$D1030)^3+$T1030/(1+$D1030)^4+$U1030/(1+$D1030)^5+$U1030*(1+$E1030)/($D1030-$E1030)/(1+$D1030)^5)-Assumptions!$C$37)/Assumptions!$C$40/Assumptions!$C$38</f>
        <v>0.1519839786</v>
      </c>
    </row>
    <row r="1031" ht="12.0" customHeight="1">
      <c r="B1031" s="139">
        <v>979.0</v>
      </c>
      <c r="C1031" s="140">
        <f t="shared" si="6"/>
        <v>0.5044600507</v>
      </c>
      <c r="D1031" s="141">
        <f t="shared" si="7"/>
        <v>0.09832673063</v>
      </c>
      <c r="E1031" s="141">
        <f t="shared" si="8"/>
        <v>0.01650424523</v>
      </c>
      <c r="F1031" s="140">
        <f t="shared" si="9"/>
        <v>0.9245565826</v>
      </c>
      <c r="G1031" s="141">
        <f t="shared" si="10"/>
        <v>0.07834675362</v>
      </c>
      <c r="H1031" s="142">
        <f t="shared" si="11"/>
        <v>0</v>
      </c>
      <c r="I1031" s="142">
        <f t="shared" si="12"/>
        <v>0</v>
      </c>
      <c r="J1031" s="142">
        <f t="shared" si="13"/>
        <v>0</v>
      </c>
      <c r="K1031" s="142">
        <f t="shared" si="14"/>
        <v>0</v>
      </c>
      <c r="L1031" s="139">
        <f>Assumptions!$C$6*Assumptions!$C$7*(1+$G1031-0.05*(1-1))^1+Assumptions!$C$6*Assumptions!$C$8*(1+Assumptions!$C$11)^1+Assumptions!$C$16*1+Assumptions!$C$6*Assumptions!$C$9*(1+Assumptions!$C$12)^1</f>
        <v>752.8395173</v>
      </c>
      <c r="M1031" s="139">
        <f>Assumptions!$C$6*Assumptions!$C$7*(1+$G1031-0.05*(1-$H1031))^2+Assumptions!$C$6*Assumptions!$C$8*(1+Assumptions!$C$11)^2+Assumptions!$C$16*$H1031+Assumptions!$C$6*Assumptions!$C$9*(1+Assumptions!$C$12)^2</f>
        <v>692.4188656</v>
      </c>
      <c r="N1031" s="139">
        <f>Assumptions!$C$6*Assumptions!$C$7*(1+$G1031-0.05*(1-$I1031))^3+Assumptions!$C$6*Assumptions!$C$8*(1+Assumptions!$C$11)^3+Assumptions!$C$16*$I1031+Assumptions!$C$6*Assumptions!$C$9*(1+Assumptions!$C$12)^3</f>
        <v>709.2382991</v>
      </c>
      <c r="O1031" s="139">
        <f>Assumptions!$C$6*Assumptions!$C$7*(1+$G1031-0.05*(1-$J1031))^4+Assumptions!$C$6*Assumptions!$C$8*(1+Assumptions!$C$11)^4+Assumptions!$C$16*$J1031+Assumptions!$C$6*Assumptions!$C$9*(1+Assumptions!$C$12)^4</f>
        <v>726.4783411</v>
      </c>
      <c r="P1031" s="139">
        <f>Assumptions!$C$6*Assumptions!$C$7*(1+$G1031-0.05*(1-$K1031))^5+Assumptions!$C$6*Assumptions!$C$8*(1+Assumptions!$C$11)^5+Assumptions!$C$16*$K1031+Assumptions!$C$6*Assumptions!$C$9*(1+Assumptions!$C$12)^5</f>
        <v>744.1497911</v>
      </c>
      <c r="Q1031" s="139">
        <f>($L1031*(1-(Assumptions!$C$25+0.06*(1-1))-Assumptions!$C$27)-Assumptions!$C$28)-MAX(0,($L1031*(1-(Assumptions!$C$25+0.06*(1-1))-Assumptions!$C$27)-Assumptions!$C$28)*Assumptions!$C$31)+Assumptions!$C$28-Assumptions!$C$29-$L1031*Assumptions!$C$30</f>
        <v>94.36049621</v>
      </c>
      <c r="R1031" s="139">
        <f>($M1031*(1-(Assumptions!$C$25+0.06*(1-$H1031))-Assumptions!$C$27)-Assumptions!$C$28)-MAX(0,($M1031*(1-(Assumptions!$C$25+0.06*(1-$H1031))-Assumptions!$C$27)-Assumptions!$C$28)*Assumptions!$C$31)+Assumptions!$C$28-Assumptions!$C$29-$M1031*Assumptions!$C$30</f>
        <v>39.25633908</v>
      </c>
      <c r="S1031" s="139">
        <f>($N1031*(1-(Assumptions!$C$25+0.06*(1-$I1031))-Assumptions!$C$27)-Assumptions!$C$28)-MAX(0,($N1031*(1-(Assumptions!$C$25+0.06*(1-$I1031))-Assumptions!$C$27)-Assumptions!$C$28)*Assumptions!$C$31)+Assumptions!$C$28-Assumptions!$C$29-$N1031*Assumptions!$C$30</f>
        <v>43.12480879</v>
      </c>
      <c r="T1031" s="139">
        <f>($O1031*(1-(Assumptions!$C$25+0.06*(1-$J1031))-Assumptions!$C$27)-Assumptions!$C$28)-MAX(0,($O1031*(1-(Assumptions!$C$25+0.06*(1-$J1031))-Assumptions!$C$27)-Assumptions!$C$28)*Assumptions!$C$31)+Assumptions!$C$28-Assumptions!$C$29-$O1031*Assumptions!$C$30</f>
        <v>47.09001845</v>
      </c>
      <c r="U1031" s="139">
        <f>($P1031*(1-(Assumptions!$C$25+0.06*(1-$K1031))-Assumptions!$C$27)-Assumptions!$C$28)-MAX(0,($P1031*(1-(Assumptions!$C$25+0.06*(1-$K1031))-Assumptions!$C$27)-Assumptions!$C$28)*Assumptions!$C$31)+Assumptions!$C$28-Assumptions!$C$29-$P1031*Assumptions!$C$30</f>
        <v>51.15445195</v>
      </c>
      <c r="V1031" s="143">
        <f>(($Q1031/(1+$D1031)^1+$R1031/(1+$D1031)^2+$S1031/(1+$D1031)^3+$T1031/(1+$D1031)^4+$U1031/(1+$D1031)^5+$U1031*(1+$E1031)/($D1031-$E1031)/(1+$D1031)^5)-Assumptions!$C$37)/Assumptions!$C$40/Assumptions!$C$38</f>
        <v>-0.6143016863</v>
      </c>
    </row>
    <row r="1032" ht="12.0" customHeight="1">
      <c r="B1032" s="139">
        <v>980.0</v>
      </c>
      <c r="C1032" s="140">
        <f t="shared" si="6"/>
        <v>0.4337381971</v>
      </c>
      <c r="D1032" s="141">
        <f t="shared" si="7"/>
        <v>0.09717662009</v>
      </c>
      <c r="E1032" s="141">
        <f t="shared" si="8"/>
        <v>0.01103169022</v>
      </c>
      <c r="F1032" s="140">
        <f t="shared" si="9"/>
        <v>0.2639204504</v>
      </c>
      <c r="G1032" s="141">
        <f t="shared" si="10"/>
        <v>0.051795798</v>
      </c>
      <c r="H1032" s="142">
        <f t="shared" si="11"/>
        <v>1</v>
      </c>
      <c r="I1032" s="142">
        <f t="shared" si="12"/>
        <v>0</v>
      </c>
      <c r="J1032" s="142">
        <f t="shared" si="13"/>
        <v>0</v>
      </c>
      <c r="K1032" s="142">
        <f t="shared" si="14"/>
        <v>0</v>
      </c>
      <c r="L1032" s="139">
        <f>Assumptions!$C$6*Assumptions!$C$7*(1+$G1032-0.05*(1-1))^1+Assumptions!$C$6*Assumptions!$C$8*(1+Assumptions!$C$11)^1+Assumptions!$C$16*1+Assumptions!$C$6*Assumptions!$C$9*(1+Assumptions!$C$12)^1</f>
        <v>743.9024656</v>
      </c>
      <c r="M1032" s="139">
        <f>Assumptions!$C$6*Assumptions!$C$7*(1+$G1032-0.05*(1-$H1032))^2+Assumptions!$C$6*Assumptions!$C$8*(1+Assumptions!$C$11)^2+Assumptions!$C$16*$H1032+Assumptions!$C$6*Assumptions!$C$9*(1+Assumptions!$C$12)^2</f>
        <v>768.8373233</v>
      </c>
      <c r="N1032" s="139">
        <f>Assumptions!$C$6*Assumptions!$C$7*(1+$G1032-0.05*(1-$I1032))^3+Assumptions!$C$6*Assumptions!$C$8*(1+Assumptions!$C$11)^3+Assumptions!$C$16*$I1032+Assumptions!$C$6*Assumptions!$C$9*(1+Assumptions!$C$12)^3</f>
        <v>681.6113225</v>
      </c>
      <c r="O1032" s="139">
        <f>Assumptions!$C$6*Assumptions!$C$7*(1+$G1032-0.05*(1-$J1032))^4+Assumptions!$C$6*Assumptions!$C$8*(1+Assumptions!$C$11)^4+Assumptions!$C$16*$J1032+Assumptions!$C$6*Assumptions!$C$9*(1+Assumptions!$C$12)^4</f>
        <v>689.0829438</v>
      </c>
      <c r="P1032" s="139">
        <f>Assumptions!$C$6*Assumptions!$C$7*(1+$G1032-0.05*(1-$K1032))^5+Assumptions!$C$6*Assumptions!$C$8*(1+Assumptions!$C$11)^5+Assumptions!$C$16*$K1032+Assumptions!$C$6*Assumptions!$C$9*(1+Assumptions!$C$12)^5</f>
        <v>696.6929343</v>
      </c>
      <c r="Q1032" s="139">
        <f>($L1032*(1-(Assumptions!$C$25+0.06*(1-1))-Assumptions!$C$27)-Assumptions!$C$28)-MAX(0,($L1032*(1-(Assumptions!$C$25+0.06*(1-1))-Assumptions!$C$27)-Assumptions!$C$28)*Assumptions!$C$31)+Assumptions!$C$28-Assumptions!$C$29-$L1032*Assumptions!$C$30</f>
        <v>92.43903011</v>
      </c>
      <c r="R1032" s="139">
        <f>($M1032*(1-(Assumptions!$C$25+0.06*(1-$H1032))-Assumptions!$C$27)-Assumptions!$C$28)-MAX(0,($M1032*(1-(Assumptions!$C$25+0.06*(1-$H1032))-Assumptions!$C$27)-Assumptions!$C$28)*Assumptions!$C$31)+Assumptions!$C$28-Assumptions!$C$29-$M1032*Assumptions!$C$30</f>
        <v>97.8000245</v>
      </c>
      <c r="S1032" s="139">
        <f>($N1032*(1-(Assumptions!$C$25+0.06*(1-$I1032))-Assumptions!$C$27)-Assumptions!$C$28)-MAX(0,($N1032*(1-(Assumptions!$C$25+0.06*(1-$I1032))-Assumptions!$C$27)-Assumptions!$C$28)*Assumptions!$C$31)+Assumptions!$C$28-Assumptions!$C$29-$N1032*Assumptions!$C$30</f>
        <v>36.77060417</v>
      </c>
      <c r="T1032" s="139">
        <f>($O1032*(1-(Assumptions!$C$25+0.06*(1-$J1032))-Assumptions!$C$27)-Assumptions!$C$28)-MAX(0,($O1032*(1-(Assumptions!$C$25+0.06*(1-$J1032))-Assumptions!$C$27)-Assumptions!$C$28)*Assumptions!$C$31)+Assumptions!$C$28-Assumptions!$C$29-$O1032*Assumptions!$C$30</f>
        <v>38.48907707</v>
      </c>
      <c r="U1032" s="139">
        <f>($P1032*(1-(Assumptions!$C$25+0.06*(1-$K1032))-Assumptions!$C$27)-Assumptions!$C$28)-MAX(0,($P1032*(1-(Assumptions!$C$25+0.06*(1-$K1032))-Assumptions!$C$27)-Assumptions!$C$28)*Assumptions!$C$31)+Assumptions!$C$28-Assumptions!$C$29-$P1032*Assumptions!$C$30</f>
        <v>40.23937489</v>
      </c>
      <c r="V1032" s="143">
        <f>(($Q1032/(1+$D1032)^1+$R1032/(1+$D1032)^2+$S1032/(1+$D1032)^3+$T1032/(1+$D1032)^4+$U1032/(1+$D1032)^5+$U1032*(1+$E1032)/($D1032-$E1032)/(1+$D1032)^5)-Assumptions!$C$37)/Assumptions!$C$40/Assumptions!$C$38</f>
        <v>-1.166412739</v>
      </c>
    </row>
    <row r="1033" ht="12.0" customHeight="1">
      <c r="B1033" s="139">
        <v>981.0</v>
      </c>
      <c r="C1033" s="140">
        <f t="shared" si="6"/>
        <v>0.7956048411</v>
      </c>
      <c r="D1033" s="141">
        <f t="shared" si="7"/>
        <v>0.1042917936</v>
      </c>
      <c r="E1033" s="141">
        <f t="shared" si="8"/>
        <v>0.01445359987</v>
      </c>
      <c r="F1033" s="140">
        <f t="shared" si="9"/>
        <v>0.06918122979</v>
      </c>
      <c r="G1033" s="141">
        <f t="shared" si="10"/>
        <v>0.0411591314</v>
      </c>
      <c r="H1033" s="142">
        <f t="shared" si="11"/>
        <v>1</v>
      </c>
      <c r="I1033" s="142">
        <f t="shared" si="12"/>
        <v>1</v>
      </c>
      <c r="J1033" s="142">
        <f t="shared" si="13"/>
        <v>1</v>
      </c>
      <c r="K1033" s="142">
        <f t="shared" si="14"/>
        <v>0</v>
      </c>
      <c r="L1033" s="139">
        <f>Assumptions!$C$6*Assumptions!$C$7*(1+$G1033-0.05*(1-1))^1+Assumptions!$C$6*Assumptions!$C$8*(1+Assumptions!$C$11)^1+Assumptions!$C$16*1+Assumptions!$C$6*Assumptions!$C$9*(1+Assumptions!$C$12)^1</f>
        <v>740.3221636</v>
      </c>
      <c r="M1033" s="139">
        <f>Assumptions!$C$6*Assumptions!$C$7*(1+$G1033-0.05*(1-$H1033))^2+Assumptions!$C$6*Assumptions!$C$8*(1+Assumptions!$C$11)^2+Assumptions!$C$16*$H1033+Assumptions!$C$6*Assumptions!$C$9*(1+Assumptions!$C$12)^2</f>
        <v>761.3439126</v>
      </c>
      <c r="N1033" s="139">
        <f>Assumptions!$C$6*Assumptions!$C$7*(1+$G1033-0.05*(1-$I1033))^3+Assumptions!$C$6*Assumptions!$C$8*(1+Assumptions!$C$11)^3+Assumptions!$C$16*$I1033+Assumptions!$C$6*Assumptions!$C$9*(1+Assumptions!$C$12)^3</f>
        <v>783.0913041</v>
      </c>
      <c r="O1033" s="139">
        <f>Assumptions!$C$6*Assumptions!$C$7*(1+$G1033-0.05*(1-$J1033))^4+Assumptions!$C$6*Assumptions!$C$8*(1+Assumptions!$C$11)^4+Assumptions!$C$16*$J1033+Assumptions!$C$6*Assumptions!$C$9*(1+Assumptions!$C$12)^4</f>
        <v>805.591413</v>
      </c>
      <c r="P1033" s="139">
        <f>Assumptions!$C$6*Assumptions!$C$7*(1+$G1033-0.05*(1-$K1033))^5+Assumptions!$C$6*Assumptions!$C$8*(1+Assumptions!$C$11)^5+Assumptions!$C$16*$K1033+Assumptions!$C$6*Assumptions!$C$9*(1+Assumptions!$C$12)^5</f>
        <v>679.041324</v>
      </c>
      <c r="Q1033" s="139">
        <f>($L1033*(1-(Assumptions!$C$25+0.06*(1-1))-Assumptions!$C$27)-Assumptions!$C$28)-MAX(0,($L1033*(1-(Assumptions!$C$25+0.06*(1-1))-Assumptions!$C$27)-Assumptions!$C$28)*Assumptions!$C$31)+Assumptions!$C$28-Assumptions!$C$29-$L1033*Assumptions!$C$30</f>
        <v>91.66926518</v>
      </c>
      <c r="R1033" s="139">
        <f>($M1033*(1-(Assumptions!$C$25+0.06*(1-$H1033))-Assumptions!$C$27)-Assumptions!$C$28)-MAX(0,($M1033*(1-(Assumptions!$C$25+0.06*(1-$H1033))-Assumptions!$C$27)-Assumptions!$C$28)*Assumptions!$C$31)+Assumptions!$C$28-Assumptions!$C$29-$M1033*Assumptions!$C$30</f>
        <v>96.18894121</v>
      </c>
      <c r="S1033" s="139">
        <f>($N1033*(1-(Assumptions!$C$25+0.06*(1-$I1033))-Assumptions!$C$27)-Assumptions!$C$28)-MAX(0,($N1033*(1-(Assumptions!$C$25+0.06*(1-$I1033))-Assumptions!$C$27)-Assumptions!$C$28)*Assumptions!$C$31)+Assumptions!$C$28-Assumptions!$C$29-$N1033*Assumptions!$C$30</f>
        <v>100.8646304</v>
      </c>
      <c r="T1033" s="139">
        <f>($O1033*(1-(Assumptions!$C$25+0.06*(1-$J1033))-Assumptions!$C$27)-Assumptions!$C$28)-MAX(0,($O1033*(1-(Assumptions!$C$25+0.06*(1-$J1033))-Assumptions!$C$27)-Assumptions!$C$28)*Assumptions!$C$31)+Assumptions!$C$28-Assumptions!$C$29-$O1033*Assumptions!$C$30</f>
        <v>105.7021538</v>
      </c>
      <c r="U1033" s="139">
        <f>($P1033*(1-(Assumptions!$C$25+0.06*(1-$K1033))-Assumptions!$C$27)-Assumptions!$C$28)-MAX(0,($P1033*(1-(Assumptions!$C$25+0.06*(1-$K1033))-Assumptions!$C$27)-Assumptions!$C$28)*Assumptions!$C$31)+Assumptions!$C$28-Assumptions!$C$29-$P1033*Assumptions!$C$30</f>
        <v>36.17950452</v>
      </c>
      <c r="V1033" s="143">
        <f>(($Q1033/(1+$D1033)^1+$R1033/(1+$D1033)^2+$S1033/(1+$D1033)^3+$T1033/(1+$D1033)^4+$U1033/(1+$D1033)^5+$U1033*(1+$E1033)/($D1033-$E1033)/(1+$D1033)^5)-Assumptions!$C$37)/Assumptions!$C$40/Assumptions!$C$38</f>
        <v>-0.8819870643</v>
      </c>
    </row>
    <row r="1034" ht="12.0" customHeight="1">
      <c r="B1034" s="139">
        <v>982.0</v>
      </c>
      <c r="C1034" s="140">
        <f t="shared" si="6"/>
        <v>0.6686907639</v>
      </c>
      <c r="D1034" s="141">
        <f t="shared" si="7"/>
        <v>0.1013667876</v>
      </c>
      <c r="E1034" s="141">
        <f t="shared" si="8"/>
        <v>0.02537217415</v>
      </c>
      <c r="F1034" s="140">
        <f t="shared" si="9"/>
        <v>0.17174095</v>
      </c>
      <c r="G1034" s="141">
        <f t="shared" si="10"/>
        <v>0.04758219867</v>
      </c>
      <c r="H1034" s="142">
        <f t="shared" si="11"/>
        <v>1</v>
      </c>
      <c r="I1034" s="142">
        <f t="shared" si="12"/>
        <v>1</v>
      </c>
      <c r="J1034" s="142">
        <f t="shared" si="13"/>
        <v>1</v>
      </c>
      <c r="K1034" s="142">
        <f t="shared" si="14"/>
        <v>0</v>
      </c>
      <c r="L1034" s="139">
        <f>Assumptions!$C$6*Assumptions!$C$7*(1+$G1034-0.05*(1-1))^1+Assumptions!$C$6*Assumptions!$C$8*(1+Assumptions!$C$11)^1+Assumptions!$C$16*1+Assumptions!$C$6*Assumptions!$C$9*(1+Assumptions!$C$12)^1</f>
        <v>742.4841681</v>
      </c>
      <c r="M1034" s="139">
        <f>Assumptions!$C$6*Assumptions!$C$7*(1+$G1034-0.05*(1-$H1034))^2+Assumptions!$C$6*Assumptions!$C$8*(1+Assumptions!$C$11)^2+Assumptions!$C$16*$H1034+Assumptions!$C$6*Assumptions!$C$9*(1+Assumptions!$C$12)^2</f>
        <v>765.8597806</v>
      </c>
      <c r="N1034" s="139">
        <f>Assumptions!$C$6*Assumptions!$C$7*(1+$G1034-0.05*(1-$I1034))^3+Assumptions!$C$6*Assumptions!$C$8*(1+Assumptions!$C$11)^3+Assumptions!$C$16*$I1034+Assumptions!$C$6*Assumptions!$C$9*(1+Assumptions!$C$12)^3</f>
        <v>790.1656865</v>
      </c>
      <c r="O1034" s="139">
        <f>Assumptions!$C$6*Assumptions!$C$7*(1+$G1034-0.05*(1-$J1034))^4+Assumptions!$C$6*Assumptions!$C$8*(1+Assumptions!$C$11)^4+Assumptions!$C$16*$J1034+Assumptions!$C$6*Assumptions!$C$9*(1+Assumptions!$C$12)^4</f>
        <v>815.4425118</v>
      </c>
      <c r="P1034" s="139">
        <f>Assumptions!$C$6*Assumptions!$C$7*(1+$G1034-0.05*(1-$K1034))^5+Assumptions!$C$6*Assumptions!$C$8*(1+Assumptions!$C$11)^5+Assumptions!$C$16*$K1034+Assumptions!$C$6*Assumptions!$C$9*(1+Assumptions!$C$12)^5</f>
        <v>689.6102014</v>
      </c>
      <c r="Q1034" s="139">
        <f>($L1034*(1-(Assumptions!$C$25+0.06*(1-1))-Assumptions!$C$27)-Assumptions!$C$28)-MAX(0,($L1034*(1-(Assumptions!$C$25+0.06*(1-1))-Assumptions!$C$27)-Assumptions!$C$28)*Assumptions!$C$31)+Assumptions!$C$28-Assumptions!$C$29-$L1034*Assumptions!$C$30</f>
        <v>92.13409614</v>
      </c>
      <c r="R1034" s="139">
        <f>($M1034*(1-(Assumptions!$C$25+0.06*(1-$H1034))-Assumptions!$C$27)-Assumptions!$C$28)-MAX(0,($M1034*(1-(Assumptions!$C$25+0.06*(1-$H1034))-Assumptions!$C$27)-Assumptions!$C$28)*Assumptions!$C$31)+Assumptions!$C$28-Assumptions!$C$29-$M1034*Assumptions!$C$30</f>
        <v>97.15985284</v>
      </c>
      <c r="S1034" s="139">
        <f>($N1034*(1-(Assumptions!$C$25+0.06*(1-$I1034))-Assumptions!$C$27)-Assumptions!$C$28)-MAX(0,($N1034*(1-(Assumptions!$C$25+0.06*(1-$I1034))-Assumptions!$C$27)-Assumptions!$C$28)*Assumptions!$C$31)+Assumptions!$C$28-Assumptions!$C$29-$N1034*Assumptions!$C$30</f>
        <v>102.3856226</v>
      </c>
      <c r="T1034" s="139">
        <f>($O1034*(1-(Assumptions!$C$25+0.06*(1-$J1034))-Assumptions!$C$27)-Assumptions!$C$28)-MAX(0,($O1034*(1-(Assumptions!$C$25+0.06*(1-$J1034))-Assumptions!$C$27)-Assumptions!$C$28)*Assumptions!$C$31)+Assumptions!$C$28-Assumptions!$C$29-$O1034*Assumptions!$C$30</f>
        <v>107.82014</v>
      </c>
      <c r="U1034" s="139">
        <f>($P1034*(1-(Assumptions!$C$25+0.06*(1-$K1034))-Assumptions!$C$27)-Assumptions!$C$28)-MAX(0,($P1034*(1-(Assumptions!$C$25+0.06*(1-$K1034))-Assumptions!$C$27)-Assumptions!$C$28)*Assumptions!$C$31)+Assumptions!$C$28-Assumptions!$C$29-$P1034*Assumptions!$C$30</f>
        <v>38.61034633</v>
      </c>
      <c r="V1034" s="143">
        <f>(($Q1034/(1+$D1034)^1+$R1034/(1+$D1034)^2+$S1034/(1+$D1034)^3+$T1034/(1+$D1034)^4+$U1034/(1+$D1034)^5+$U1034*(1+$E1034)/($D1034-$E1034)/(1+$D1034)^5)-Assumptions!$C$37)/Assumptions!$C$40/Assumptions!$C$38</f>
        <v>-0.2554610305</v>
      </c>
    </row>
    <row r="1035" ht="12.0" customHeight="1">
      <c r="B1035" s="139">
        <v>983.0</v>
      </c>
      <c r="C1035" s="140">
        <f t="shared" si="6"/>
        <v>0.8256208382</v>
      </c>
      <c r="D1035" s="141">
        <f t="shared" si="7"/>
        <v>0.1051092614</v>
      </c>
      <c r="E1035" s="141">
        <f t="shared" si="8"/>
        <v>0.02670718416</v>
      </c>
      <c r="F1035" s="140">
        <f t="shared" si="9"/>
        <v>0.4946142696</v>
      </c>
      <c r="G1035" s="141">
        <f t="shared" si="10"/>
        <v>0.05983799064</v>
      </c>
      <c r="H1035" s="142">
        <f t="shared" si="11"/>
        <v>1</v>
      </c>
      <c r="I1035" s="142">
        <f t="shared" si="12"/>
        <v>0</v>
      </c>
      <c r="J1035" s="142">
        <f t="shared" si="13"/>
        <v>0</v>
      </c>
      <c r="K1035" s="142">
        <f t="shared" si="14"/>
        <v>0</v>
      </c>
      <c r="L1035" s="139">
        <f>Assumptions!$C$6*Assumptions!$C$7*(1+$G1035-0.05*(1-1))^1+Assumptions!$C$6*Assumptions!$C$8*(1+Assumptions!$C$11)^1+Assumptions!$C$16*1+Assumptions!$C$6*Assumptions!$C$9*(1+Assumptions!$C$12)^1</f>
        <v>746.6094676</v>
      </c>
      <c r="M1035" s="139">
        <f>Assumptions!$C$6*Assumptions!$C$7*(1+$G1035-0.05*(1-$H1035))^2+Assumptions!$C$6*Assumptions!$C$8*(1+Assumptions!$C$11)^2+Assumptions!$C$16*$H1035+Assumptions!$C$6*Assumptions!$C$9*(1+Assumptions!$C$12)^2</f>
        <v>774.5535203</v>
      </c>
      <c r="N1035" s="139">
        <f>Assumptions!$C$6*Assumptions!$C$7*(1+$G1035-0.05*(1-$I1035))^3+Assumptions!$C$6*Assumptions!$C$8*(1+Assumptions!$C$11)^3+Assumptions!$C$16*$I1035+Assumptions!$C$6*Assumptions!$C$9*(1+Assumptions!$C$12)^3</f>
        <v>689.8271252</v>
      </c>
      <c r="O1035" s="139">
        <f>Assumptions!$C$6*Assumptions!$C$7*(1+$G1035-0.05*(1-$J1035))^4+Assumptions!$C$6*Assumptions!$C$8*(1+Assumptions!$C$11)^4+Assumptions!$C$16*$J1035+Assumptions!$C$6*Assumptions!$C$9*(1+Assumptions!$C$12)^4</f>
        <v>700.1011854</v>
      </c>
      <c r="P1035" s="139">
        <f>Assumptions!$C$6*Assumptions!$C$7*(1+$G1035-0.05*(1-$K1035))^5+Assumptions!$C$6*Assumptions!$C$8*(1+Assumptions!$C$11)^5+Assumptions!$C$16*$K1035+Assumptions!$C$6*Assumptions!$C$9*(1+Assumptions!$C$12)^5</f>
        <v>710.5460727</v>
      </c>
      <c r="Q1035" s="139">
        <f>($L1035*(1-(Assumptions!$C$25+0.06*(1-1))-Assumptions!$C$27)-Assumptions!$C$28)-MAX(0,($L1035*(1-(Assumptions!$C$25+0.06*(1-1))-Assumptions!$C$27)-Assumptions!$C$28)*Assumptions!$C$31)+Assumptions!$C$28-Assumptions!$C$29-$L1035*Assumptions!$C$30</f>
        <v>93.02103554</v>
      </c>
      <c r="R1035" s="139">
        <f>($M1035*(1-(Assumptions!$C$25+0.06*(1-$H1035))-Assumptions!$C$27)-Assumptions!$C$28)-MAX(0,($M1035*(1-(Assumptions!$C$25+0.06*(1-$H1035))-Assumptions!$C$27)-Assumptions!$C$28)*Assumptions!$C$31)+Assumptions!$C$28-Assumptions!$C$29-$M1035*Assumptions!$C$30</f>
        <v>99.02900685</v>
      </c>
      <c r="S1035" s="139">
        <f>($N1035*(1-(Assumptions!$C$25+0.06*(1-$I1035))-Assumptions!$C$27)-Assumptions!$C$28)-MAX(0,($N1035*(1-(Assumptions!$C$25+0.06*(1-$I1035))-Assumptions!$C$27)-Assumptions!$C$28)*Assumptions!$C$31)+Assumptions!$C$28-Assumptions!$C$29-$N1035*Assumptions!$C$30</f>
        <v>38.6602388</v>
      </c>
      <c r="T1035" s="139">
        <f>($O1035*(1-(Assumptions!$C$25+0.06*(1-$J1035))-Assumptions!$C$27)-Assumptions!$C$28)-MAX(0,($O1035*(1-(Assumptions!$C$25+0.06*(1-$J1035))-Assumptions!$C$27)-Assumptions!$C$28)*Assumptions!$C$31)+Assumptions!$C$28-Assumptions!$C$29-$O1035*Assumptions!$C$30</f>
        <v>41.02327265</v>
      </c>
      <c r="U1035" s="139">
        <f>($P1035*(1-(Assumptions!$C$25+0.06*(1-$K1035))-Assumptions!$C$27)-Assumptions!$C$28)-MAX(0,($P1035*(1-(Assumptions!$C$25+0.06*(1-$K1035))-Assumptions!$C$27)-Assumptions!$C$28)*Assumptions!$C$31)+Assumptions!$C$28-Assumptions!$C$29-$P1035*Assumptions!$C$30</f>
        <v>43.42559672</v>
      </c>
      <c r="V1035" s="143">
        <f>(($Q1035/(1+$D1035)^1+$R1035/(1+$D1035)^2+$S1035/(1+$D1035)^3+$T1035/(1+$D1035)^4+$U1035/(1+$D1035)^5+$U1035*(1+$E1035)/($D1035-$E1035)/(1+$D1035)^5)-Assumptions!$C$37)/Assumptions!$C$40/Assumptions!$C$38</f>
        <v>-0.7720265466</v>
      </c>
    </row>
    <row r="1036" ht="12.0" customHeight="1">
      <c r="B1036" s="139">
        <v>984.0</v>
      </c>
      <c r="C1036" s="140">
        <f t="shared" si="6"/>
        <v>0.7601820452</v>
      </c>
      <c r="D1036" s="141">
        <f t="shared" si="7"/>
        <v>0.1034009538</v>
      </c>
      <c r="E1036" s="141">
        <f t="shared" si="8"/>
        <v>0.01379774544</v>
      </c>
      <c r="F1036" s="140">
        <f t="shared" si="9"/>
        <v>0.3343759745</v>
      </c>
      <c r="G1036" s="141">
        <f t="shared" si="10"/>
        <v>0.0545331766</v>
      </c>
      <c r="H1036" s="142">
        <f t="shared" si="11"/>
        <v>1</v>
      </c>
      <c r="I1036" s="142">
        <f t="shared" si="12"/>
        <v>1</v>
      </c>
      <c r="J1036" s="142">
        <f t="shared" si="13"/>
        <v>0</v>
      </c>
      <c r="K1036" s="142">
        <f t="shared" si="14"/>
        <v>0</v>
      </c>
      <c r="L1036" s="139">
        <f>Assumptions!$C$6*Assumptions!$C$7*(1+$G1036-0.05*(1-1))^1+Assumptions!$C$6*Assumptions!$C$8*(1+Assumptions!$C$11)^1+Assumptions!$C$16*1+Assumptions!$C$6*Assumptions!$C$9*(1+Assumptions!$C$12)^1</f>
        <v>744.8238672</v>
      </c>
      <c r="M1036" s="139">
        <f>Assumptions!$C$6*Assumptions!$C$7*(1+$G1036-0.05*(1-$H1036))^2+Assumptions!$C$6*Assumptions!$C$8*(1+Assumptions!$C$11)^2+Assumptions!$C$16*$H1036+Assumptions!$C$6*Assumptions!$C$9*(1+Assumptions!$C$12)^2</f>
        <v>770.7780982</v>
      </c>
      <c r="N1036" s="139">
        <f>Assumptions!$C$6*Assumptions!$C$7*(1+$G1036-0.05*(1-$I1036))^3+Assumptions!$C$6*Assumptions!$C$8*(1+Assumptions!$C$11)^3+Assumptions!$C$16*$I1036+Assumptions!$C$6*Assumptions!$C$9*(1+Assumptions!$C$12)^3</f>
        <v>797.9198681</v>
      </c>
      <c r="O1036" s="139">
        <f>Assumptions!$C$6*Assumptions!$C$7*(1+$G1036-0.05*(1-$J1036))^4+Assumptions!$C$6*Assumptions!$C$8*(1+Assumptions!$C$11)^4+Assumptions!$C$16*$J1036+Assumptions!$C$6*Assumptions!$C$9*(1+Assumptions!$C$12)^4</f>
        <v>692.8036572</v>
      </c>
      <c r="P1036" s="139">
        <f>Assumptions!$C$6*Assumptions!$C$7*(1+$G1036-0.05*(1-$K1036))^5+Assumptions!$C$6*Assumptions!$C$8*(1+Assumptions!$C$11)^5+Assumptions!$C$16*$K1036+Assumptions!$C$6*Assumptions!$C$9*(1+Assumptions!$C$12)^5</f>
        <v>701.3585525</v>
      </c>
      <c r="Q1036" s="139">
        <f>($L1036*(1-(Assumptions!$C$25+0.06*(1-1))-Assumptions!$C$27)-Assumptions!$C$28)-MAX(0,($L1036*(1-(Assumptions!$C$25+0.06*(1-1))-Assumptions!$C$27)-Assumptions!$C$28)*Assumptions!$C$31)+Assumptions!$C$28-Assumptions!$C$29-$L1036*Assumptions!$C$30</f>
        <v>92.63713146</v>
      </c>
      <c r="R1036" s="139">
        <f>($M1036*(1-(Assumptions!$C$25+0.06*(1-$H1036))-Assumptions!$C$27)-Assumptions!$C$28)-MAX(0,($M1036*(1-(Assumptions!$C$25+0.06*(1-$H1036))-Assumptions!$C$27)-Assumptions!$C$28)*Assumptions!$C$31)+Assumptions!$C$28-Assumptions!$C$29-$M1036*Assumptions!$C$30</f>
        <v>98.21729112</v>
      </c>
      <c r="S1036" s="139">
        <f>($N1036*(1-(Assumptions!$C$25+0.06*(1-$I1036))-Assumptions!$C$27)-Assumptions!$C$28)-MAX(0,($N1036*(1-(Assumptions!$C$25+0.06*(1-$I1036))-Assumptions!$C$27)-Assumptions!$C$28)*Assumptions!$C$31)+Assumptions!$C$28-Assumptions!$C$29-$N1036*Assumptions!$C$30</f>
        <v>104.0527716</v>
      </c>
      <c r="T1036" s="139">
        <f>($O1036*(1-(Assumptions!$C$25+0.06*(1-$J1036))-Assumptions!$C$27)-Assumptions!$C$28)-MAX(0,($O1036*(1-(Assumptions!$C$25+0.06*(1-$J1036))-Assumptions!$C$27)-Assumptions!$C$28)*Assumptions!$C$31)+Assumptions!$C$28-Assumptions!$C$29-$O1036*Assumptions!$C$30</f>
        <v>39.34484116</v>
      </c>
      <c r="U1036" s="139">
        <f>($P1036*(1-(Assumptions!$C$25+0.06*(1-$K1036))-Assumptions!$C$27)-Assumptions!$C$28)-MAX(0,($P1036*(1-(Assumptions!$C$25+0.06*(1-$K1036))-Assumptions!$C$27)-Assumptions!$C$28)*Assumptions!$C$31)+Assumptions!$C$28-Assumptions!$C$29-$P1036*Assumptions!$C$30</f>
        <v>41.31246708</v>
      </c>
      <c r="V1036" s="143">
        <f>(($Q1036/(1+$D1036)^1+$R1036/(1+$D1036)^2+$S1036/(1+$D1036)^3+$T1036/(1+$D1036)^4+$U1036/(1+$D1036)^5+$U1036*(1+$E1036)/($D1036-$E1036)/(1+$D1036)^5)-Assumptions!$C$37)/Assumptions!$C$40/Assumptions!$C$38</f>
        <v>-0.874259611</v>
      </c>
    </row>
    <row r="1037" ht="12.0" customHeight="1">
      <c r="B1037" s="139">
        <v>985.0</v>
      </c>
      <c r="C1037" s="140">
        <f t="shared" si="6"/>
        <v>0.6891929409</v>
      </c>
      <c r="D1037" s="141">
        <f t="shared" si="7"/>
        <v>0.1017953508</v>
      </c>
      <c r="E1037" s="141">
        <f t="shared" si="8"/>
        <v>0.01409522328</v>
      </c>
      <c r="F1037" s="140">
        <f t="shared" si="9"/>
        <v>0.7488924971</v>
      </c>
      <c r="G1037" s="141">
        <f t="shared" si="10"/>
        <v>0.06873986112</v>
      </c>
      <c r="H1037" s="142">
        <f t="shared" si="11"/>
        <v>1</v>
      </c>
      <c r="I1037" s="142">
        <f t="shared" si="12"/>
        <v>0</v>
      </c>
      <c r="J1037" s="142">
        <f t="shared" si="13"/>
        <v>0</v>
      </c>
      <c r="K1037" s="142">
        <f t="shared" si="14"/>
        <v>0</v>
      </c>
      <c r="L1037" s="139">
        <f>Assumptions!$C$6*Assumptions!$C$7*(1+$G1037-0.05*(1-1))^1+Assumptions!$C$6*Assumptions!$C$8*(1+Assumptions!$C$11)^1+Assumptions!$C$16*1+Assumptions!$C$6*Assumptions!$C$9*(1+Assumptions!$C$12)^1</f>
        <v>749.6058373</v>
      </c>
      <c r="M1037" s="139">
        <f>Assumptions!$C$6*Assumptions!$C$7*(1+$G1037-0.05*(1-$H1037))^2+Assumptions!$C$6*Assumptions!$C$8*(1+Assumptions!$C$11)^2+Assumptions!$C$16*$H1037+Assumptions!$C$6*Assumptions!$C$9*(1+Assumptions!$C$12)^2</f>
        <v>780.9315262</v>
      </c>
      <c r="N1037" s="139">
        <f>Assumptions!$C$6*Assumptions!$C$7*(1+$G1037-0.05*(1-$I1037))^3+Assumptions!$C$6*Assumptions!$C$8*(1+Assumptions!$C$11)^3+Assumptions!$C$16*$I1037+Assumptions!$C$6*Assumptions!$C$9*(1+Assumptions!$C$12)^3</f>
        <v>699.0750181</v>
      </c>
      <c r="O1037" s="139">
        <f>Assumptions!$C$6*Assumptions!$C$7*(1+$G1037-0.05*(1-$J1037))^4+Assumptions!$C$6*Assumptions!$C$8*(1+Assumptions!$C$11)^4+Assumptions!$C$16*$J1037+Assumptions!$C$6*Assumptions!$C$9*(1+Assumptions!$C$12)^4</f>
        <v>712.6080598</v>
      </c>
      <c r="P1037" s="139">
        <f>Assumptions!$C$6*Assumptions!$C$7*(1+$G1037-0.05*(1-$K1037))^5+Assumptions!$C$6*Assumptions!$C$8*(1+Assumptions!$C$11)^5+Assumptions!$C$16*$K1037+Assumptions!$C$6*Assumptions!$C$9*(1+Assumptions!$C$12)^5</f>
        <v>726.4033583</v>
      </c>
      <c r="Q1037" s="139">
        <f>($L1037*(1-(Assumptions!$C$25+0.06*(1-1))-Assumptions!$C$27)-Assumptions!$C$28)-MAX(0,($L1037*(1-(Assumptions!$C$25+0.06*(1-1))-Assumptions!$C$27)-Assumptions!$C$28)*Assumptions!$C$31)+Assumptions!$C$28-Assumptions!$C$29-$L1037*Assumptions!$C$30</f>
        <v>93.66525501</v>
      </c>
      <c r="R1037" s="139">
        <f>($M1037*(1-(Assumptions!$C$25+0.06*(1-$H1037))-Assumptions!$C$27)-Assumptions!$C$28)-MAX(0,($M1037*(1-(Assumptions!$C$25+0.06*(1-$H1037))-Assumptions!$C$27)-Assumptions!$C$28)*Assumptions!$C$31)+Assumptions!$C$28-Assumptions!$C$29-$M1037*Assumptions!$C$30</f>
        <v>100.4002781</v>
      </c>
      <c r="S1037" s="139">
        <f>($N1037*(1-(Assumptions!$C$25+0.06*(1-$I1037))-Assumptions!$C$27)-Assumptions!$C$28)-MAX(0,($N1037*(1-(Assumptions!$C$25+0.06*(1-$I1037))-Assumptions!$C$27)-Assumptions!$C$28)*Assumptions!$C$31)+Assumptions!$C$28-Assumptions!$C$29-$N1037*Assumptions!$C$30</f>
        <v>40.78725417</v>
      </c>
      <c r="T1037" s="139">
        <f>($O1037*(1-(Assumptions!$C$25+0.06*(1-$J1037))-Assumptions!$C$27)-Assumptions!$C$28)-MAX(0,($O1037*(1-(Assumptions!$C$25+0.06*(1-$J1037))-Assumptions!$C$27)-Assumptions!$C$28)*Assumptions!$C$31)+Assumptions!$C$28-Assumptions!$C$29-$O1037*Assumptions!$C$30</f>
        <v>43.89985376</v>
      </c>
      <c r="U1037" s="139">
        <f>($P1037*(1-(Assumptions!$C$25+0.06*(1-$K1037))-Assumptions!$C$27)-Assumptions!$C$28)-MAX(0,($P1037*(1-(Assumptions!$C$25+0.06*(1-$K1037))-Assumptions!$C$27)-Assumptions!$C$28)*Assumptions!$C$31)+Assumptions!$C$28-Assumptions!$C$29-$P1037*Assumptions!$C$30</f>
        <v>47.07277241</v>
      </c>
      <c r="V1037" s="143">
        <f>(($Q1037/(1+$D1037)^1+$R1037/(1+$D1037)^2+$S1037/(1+$D1037)^3+$T1037/(1+$D1037)^4+$U1037/(1+$D1037)^5+$U1037*(1+$E1037)/($D1037-$E1037)/(1+$D1037)^5)-Assumptions!$C$37)/Assumptions!$C$40/Assumptions!$C$38</f>
        <v>-0.7763214962</v>
      </c>
    </row>
    <row r="1038" ht="12.0" customHeight="1">
      <c r="B1038" s="139">
        <v>986.0</v>
      </c>
      <c r="C1038" s="140">
        <f t="shared" si="6"/>
        <v>0.02974714427</v>
      </c>
      <c r="D1038" s="141">
        <f t="shared" si="7"/>
        <v>0.08817557584</v>
      </c>
      <c r="E1038" s="141">
        <f t="shared" si="8"/>
        <v>0.0295109579</v>
      </c>
      <c r="F1038" s="140">
        <f t="shared" si="9"/>
        <v>0.1926441747</v>
      </c>
      <c r="G1038" s="141">
        <f t="shared" si="10"/>
        <v>0.04862147992</v>
      </c>
      <c r="H1038" s="142">
        <f t="shared" si="11"/>
        <v>1</v>
      </c>
      <c r="I1038" s="142">
        <f t="shared" si="12"/>
        <v>1</v>
      </c>
      <c r="J1038" s="142">
        <f t="shared" si="13"/>
        <v>1</v>
      </c>
      <c r="K1038" s="142">
        <f t="shared" si="14"/>
        <v>1</v>
      </c>
      <c r="L1038" s="139">
        <f>Assumptions!$C$6*Assumptions!$C$7*(1+$G1038-0.05*(1-1))^1+Assumptions!$C$6*Assumptions!$C$8*(1+Assumptions!$C$11)^1+Assumptions!$C$16*1+Assumptions!$C$6*Assumptions!$C$9*(1+Assumptions!$C$12)^1</f>
        <v>742.8339901</v>
      </c>
      <c r="M1038" s="139">
        <f>Assumptions!$C$6*Assumptions!$C$7*(1+$G1038-0.05*(1-$H1038))^2+Assumptions!$C$6*Assumptions!$C$8*(1+Assumptions!$C$11)^2+Assumptions!$C$16*$H1038+Assumptions!$C$6*Assumptions!$C$9*(1+Assumptions!$C$12)^2</f>
        <v>766.5930789</v>
      </c>
      <c r="N1038" s="139">
        <f>Assumptions!$C$6*Assumptions!$C$7*(1+$G1038-0.05*(1-$I1038))^3+Assumptions!$C$6*Assumptions!$C$8*(1+Assumptions!$C$11)^3+Assumptions!$C$16*$I1038+Assumptions!$C$6*Assumptions!$C$9*(1+Assumptions!$C$12)^3</f>
        <v>791.3185436</v>
      </c>
      <c r="O1038" s="139">
        <f>Assumptions!$C$6*Assumptions!$C$7*(1+$G1038-0.05*(1-$J1038))^4+Assumptions!$C$6*Assumptions!$C$8*(1+Assumptions!$C$11)^4+Assumptions!$C$16*$J1038+Assumptions!$C$6*Assumptions!$C$9*(1+Assumptions!$C$12)^4</f>
        <v>817.0535942</v>
      </c>
      <c r="P1038" s="139">
        <f>Assumptions!$C$6*Assumptions!$C$7*(1+$G1038-0.05*(1-$K1038))^5+Assumptions!$C$6*Assumptions!$C$8*(1+Assumptions!$C$11)^5+Assumptions!$C$16*$K1038+Assumptions!$C$6*Assumptions!$C$9*(1+Assumptions!$C$12)^5</f>
        <v>843.8434663</v>
      </c>
      <c r="Q1038" s="139">
        <f>($L1038*(1-(Assumptions!$C$25+0.06*(1-1))-Assumptions!$C$27)-Assumptions!$C$28)-MAX(0,($L1038*(1-(Assumptions!$C$25+0.06*(1-1))-Assumptions!$C$27)-Assumptions!$C$28)*Assumptions!$C$31)+Assumptions!$C$28-Assumptions!$C$29-$L1038*Assumptions!$C$30</f>
        <v>92.20930788</v>
      </c>
      <c r="R1038" s="139">
        <f>($M1038*(1-(Assumptions!$C$25+0.06*(1-$H1038))-Assumptions!$C$27)-Assumptions!$C$28)-MAX(0,($M1038*(1-(Assumptions!$C$25+0.06*(1-$H1038))-Assumptions!$C$27)-Assumptions!$C$28)*Assumptions!$C$31)+Assumptions!$C$28-Assumptions!$C$29-$M1038*Assumptions!$C$30</f>
        <v>97.31751197</v>
      </c>
      <c r="S1038" s="139">
        <f>($N1038*(1-(Assumptions!$C$25+0.06*(1-$I1038))-Assumptions!$C$27)-Assumptions!$C$28)-MAX(0,($N1038*(1-(Assumptions!$C$25+0.06*(1-$I1038))-Assumptions!$C$27)-Assumptions!$C$28)*Assumptions!$C$31)+Assumptions!$C$28-Assumptions!$C$29-$N1038*Assumptions!$C$30</f>
        <v>102.6334869</v>
      </c>
      <c r="T1038" s="139">
        <f>($O1038*(1-(Assumptions!$C$25+0.06*(1-$J1038))-Assumptions!$C$27)-Assumptions!$C$28)-MAX(0,($O1038*(1-(Assumptions!$C$25+0.06*(1-$J1038))-Assumptions!$C$27)-Assumptions!$C$28)*Assumptions!$C$31)+Assumptions!$C$28-Assumptions!$C$29-$O1038*Assumptions!$C$30</f>
        <v>108.1665228</v>
      </c>
      <c r="U1038" s="139">
        <f>($P1038*(1-(Assumptions!$C$25+0.06*(1-$K1038))-Assumptions!$C$27)-Assumptions!$C$28)-MAX(0,($P1038*(1-(Assumptions!$C$25+0.06*(1-$K1038))-Assumptions!$C$27)-Assumptions!$C$28)*Assumptions!$C$31)+Assumptions!$C$28-Assumptions!$C$29-$P1038*Assumptions!$C$30</f>
        <v>113.9263452</v>
      </c>
      <c r="V1038" s="143">
        <f>(($Q1038/(1+$D1038)^1+$R1038/(1+$D1038)^2+$S1038/(1+$D1038)^3+$T1038/(1+$D1038)^4+$U1038/(1+$D1038)^5+$U1038*(1+$E1038)/($D1038-$E1038)/(1+$D1038)^5)-Assumptions!$C$37)/Assumptions!$C$40/Assumptions!$C$38</f>
        <v>7.936819458</v>
      </c>
    </row>
    <row r="1039" ht="12.0" customHeight="1">
      <c r="B1039" s="139">
        <v>987.0</v>
      </c>
      <c r="C1039" s="140">
        <f t="shared" si="6"/>
        <v>0.5775539892</v>
      </c>
      <c r="D1039" s="141">
        <f t="shared" si="7"/>
        <v>0.09960544862</v>
      </c>
      <c r="E1039" s="141">
        <f t="shared" si="8"/>
        <v>0.01983824292</v>
      </c>
      <c r="F1039" s="140">
        <f t="shared" si="9"/>
        <v>0.7488057437</v>
      </c>
      <c r="G1039" s="141">
        <f t="shared" si="10"/>
        <v>0.06873618893</v>
      </c>
      <c r="H1039" s="142">
        <f t="shared" si="11"/>
        <v>1</v>
      </c>
      <c r="I1039" s="142">
        <f t="shared" si="12"/>
        <v>1</v>
      </c>
      <c r="J1039" s="142">
        <f t="shared" si="13"/>
        <v>0</v>
      </c>
      <c r="K1039" s="142">
        <f t="shared" si="14"/>
        <v>1</v>
      </c>
      <c r="L1039" s="139">
        <f>Assumptions!$C$6*Assumptions!$C$7*(1+$G1039-0.05*(1-1))^1+Assumptions!$C$6*Assumptions!$C$8*(1+Assumptions!$C$11)^1+Assumptions!$C$16*1+Assumptions!$C$6*Assumptions!$C$9*(1+Assumptions!$C$12)^1</f>
        <v>749.6046012</v>
      </c>
      <c r="M1039" s="139">
        <f>Assumptions!$C$6*Assumptions!$C$7*(1+$G1039-0.05*(1-$H1039))^2+Assumptions!$C$6*Assumptions!$C$8*(1+Assumptions!$C$11)^2+Assumptions!$C$16*$H1039+Assumptions!$C$6*Assumptions!$C$9*(1+Assumptions!$C$12)^2</f>
        <v>780.9288842</v>
      </c>
      <c r="N1039" s="139">
        <f>Assumptions!$C$6*Assumptions!$C$7*(1+$G1039-0.05*(1-$I1039))^3+Assumptions!$C$6*Assumptions!$C$8*(1+Assumptions!$C$11)^3+Assumptions!$C$16*$I1039+Assumptions!$C$6*Assumptions!$C$9*(1+Assumptions!$C$12)^3</f>
        <v>814.0847488</v>
      </c>
      <c r="O1039" s="139">
        <f>Assumptions!$C$6*Assumptions!$C$7*(1+$G1039-0.05*(1-$J1039))^4+Assumptions!$C$6*Assumptions!$C$8*(1+Assumptions!$C$11)^4+Assumptions!$C$16*$J1039+Assumptions!$C$6*Assumptions!$C$9*(1+Assumptions!$C$12)^4</f>
        <v>712.6028324</v>
      </c>
      <c r="P1039" s="139">
        <f>Assumptions!$C$6*Assumptions!$C$7*(1+$G1039-0.05*(1-$K1039))^5+Assumptions!$C$6*Assumptions!$C$8*(1+Assumptions!$C$11)^5+Assumptions!$C$16*$K1039+Assumptions!$C$6*Assumptions!$C$9*(1+Assumptions!$C$12)^5</f>
        <v>886.3771674</v>
      </c>
      <c r="Q1039" s="139">
        <f>($L1039*(1-(Assumptions!$C$25+0.06*(1-1))-Assumptions!$C$27)-Assumptions!$C$28)-MAX(0,($L1039*(1-(Assumptions!$C$25+0.06*(1-1))-Assumptions!$C$27)-Assumptions!$C$28)*Assumptions!$C$31)+Assumptions!$C$28-Assumptions!$C$29-$L1039*Assumptions!$C$30</f>
        <v>93.66498926</v>
      </c>
      <c r="R1039" s="139">
        <f>($M1039*(1-(Assumptions!$C$25+0.06*(1-$H1039))-Assumptions!$C$27)-Assumptions!$C$28)-MAX(0,($M1039*(1-(Assumptions!$C$25+0.06*(1-$H1039))-Assumptions!$C$27)-Assumptions!$C$28)*Assumptions!$C$31)+Assumptions!$C$28-Assumptions!$C$29-$M1039*Assumptions!$C$30</f>
        <v>100.3997101</v>
      </c>
      <c r="S1039" s="139">
        <f>($N1039*(1-(Assumptions!$C$25+0.06*(1-$I1039))-Assumptions!$C$27)-Assumptions!$C$28)-MAX(0,($N1039*(1-(Assumptions!$C$25+0.06*(1-$I1039))-Assumptions!$C$27)-Assumptions!$C$28)*Assumptions!$C$31)+Assumptions!$C$28-Assumptions!$C$29-$N1039*Assumptions!$C$30</f>
        <v>107.528221</v>
      </c>
      <c r="T1039" s="139">
        <f>($O1039*(1-(Assumptions!$C$25+0.06*(1-$J1039))-Assumptions!$C$27)-Assumptions!$C$28)-MAX(0,($O1039*(1-(Assumptions!$C$25+0.06*(1-$J1039))-Assumptions!$C$27)-Assumptions!$C$28)*Assumptions!$C$31)+Assumptions!$C$28-Assumptions!$C$29-$O1039*Assumptions!$C$30</f>
        <v>43.89865146</v>
      </c>
      <c r="U1039" s="139">
        <f>($P1039*(1-(Assumptions!$C$25+0.06*(1-$K1039))-Assumptions!$C$27)-Assumptions!$C$28)-MAX(0,($P1039*(1-(Assumptions!$C$25+0.06*(1-$K1039))-Assumptions!$C$27)-Assumptions!$C$28)*Assumptions!$C$31)+Assumptions!$C$28-Assumptions!$C$29-$P1039*Assumptions!$C$30</f>
        <v>123.071091</v>
      </c>
      <c r="V1039" s="143">
        <f>(($Q1039/(1+$D1039)^1+$R1039/(1+$D1039)^2+$S1039/(1+$D1039)^3+$T1039/(1+$D1039)^4+$U1039/(1+$D1039)^5+$U1039*(1+$E1039)/($D1039-$E1039)/(1+$D1039)^5)-Assumptions!$C$37)/Assumptions!$C$40/Assumptions!$C$38</f>
        <v>5.015888542</v>
      </c>
    </row>
    <row r="1040" ht="12.0" customHeight="1">
      <c r="B1040" s="139">
        <v>988.0</v>
      </c>
      <c r="C1040" s="140">
        <f t="shared" si="6"/>
        <v>0.9666081202</v>
      </c>
      <c r="D1040" s="141">
        <f t="shared" si="7"/>
        <v>0.1106718544</v>
      </c>
      <c r="E1040" s="141">
        <f t="shared" si="8"/>
        <v>0.01055928377</v>
      </c>
      <c r="F1040" s="140">
        <f t="shared" si="9"/>
        <v>0.01615512031</v>
      </c>
      <c r="G1040" s="141">
        <f t="shared" si="10"/>
        <v>0.03539251486</v>
      </c>
      <c r="H1040" s="142">
        <f t="shared" si="11"/>
        <v>1</v>
      </c>
      <c r="I1040" s="142">
        <f t="shared" si="12"/>
        <v>0</v>
      </c>
      <c r="J1040" s="142">
        <f t="shared" si="13"/>
        <v>1</v>
      </c>
      <c r="K1040" s="142">
        <f t="shared" si="14"/>
        <v>0</v>
      </c>
      <c r="L1040" s="139">
        <f>Assumptions!$C$6*Assumptions!$C$7*(1+$G1040-0.05*(1-1))^1+Assumptions!$C$6*Assumptions!$C$8*(1+Assumptions!$C$11)^1+Assumptions!$C$16*1+Assumptions!$C$6*Assumptions!$C$9*(1+Assumptions!$C$12)^1</f>
        <v>738.3811205</v>
      </c>
      <c r="M1040" s="139">
        <f>Assumptions!$C$6*Assumptions!$C$7*(1+$G1040-0.05*(1-$H1040))^2+Assumptions!$C$6*Assumptions!$C$8*(1+Assumptions!$C$11)^2+Assumptions!$C$16*$H1040+Assumptions!$C$6*Assumptions!$C$9*(1+Assumptions!$C$12)^2</f>
        <v>757.3132363</v>
      </c>
      <c r="N1040" s="139">
        <f>Assumptions!$C$6*Assumptions!$C$7*(1+$G1040-0.05*(1-$I1040))^3+Assumptions!$C$6*Assumptions!$C$8*(1+Assumptions!$C$11)^3+Assumptions!$C$16*$I1040+Assumptions!$C$6*Assumptions!$C$9*(1+Assumptions!$C$12)^3</f>
        <v>665.2584493</v>
      </c>
      <c r="O1040" s="139">
        <f>Assumptions!$C$6*Assumptions!$C$7*(1+$G1040-0.05*(1-$J1040))^4+Assumptions!$C$6*Assumptions!$C$8*(1+Assumptions!$C$11)^4+Assumptions!$C$16*$J1040+Assumptions!$C$6*Assumptions!$C$9*(1+Assumptions!$C$12)^4</f>
        <v>796.9010734</v>
      </c>
      <c r="P1040" s="139">
        <f>Assumptions!$C$6*Assumptions!$C$7*(1+$G1040-0.05*(1-$K1040))^5+Assumptions!$C$6*Assumptions!$C$8*(1+Assumptions!$C$11)^5+Assumptions!$C$16*$K1040+Assumptions!$C$6*Assumptions!$C$9*(1+Assumptions!$C$12)^5</f>
        <v>669.7831515</v>
      </c>
      <c r="Q1040" s="139">
        <f>($L1040*(1-(Assumptions!$C$25+0.06*(1-1))-Assumptions!$C$27)-Assumptions!$C$28)-MAX(0,($L1040*(1-(Assumptions!$C$25+0.06*(1-1))-Assumptions!$C$27)-Assumptions!$C$28)*Assumptions!$C$31)+Assumptions!$C$28-Assumptions!$C$29-$L1040*Assumptions!$C$30</f>
        <v>91.25194091</v>
      </c>
      <c r="R1040" s="139">
        <f>($M1040*(1-(Assumptions!$C$25+0.06*(1-$H1040))-Assumptions!$C$27)-Assumptions!$C$28)-MAX(0,($M1040*(1-(Assumptions!$C$25+0.06*(1-$H1040))-Assumptions!$C$27)-Assumptions!$C$28)*Assumptions!$C$31)+Assumptions!$C$28-Assumptions!$C$29-$M1040*Assumptions!$C$30</f>
        <v>95.3223458</v>
      </c>
      <c r="S1040" s="139">
        <f>($N1040*(1-(Assumptions!$C$25+0.06*(1-$I1040))-Assumptions!$C$27)-Assumptions!$C$28)-MAX(0,($N1040*(1-(Assumptions!$C$25+0.06*(1-$I1040))-Assumptions!$C$27)-Assumptions!$C$28)*Assumptions!$C$31)+Assumptions!$C$28-Assumptions!$C$29-$N1040*Assumptions!$C$30</f>
        <v>33.00944334</v>
      </c>
      <c r="T1040" s="139">
        <f>($O1040*(1-(Assumptions!$C$25+0.06*(1-$J1040))-Assumptions!$C$27)-Assumptions!$C$28)-MAX(0,($O1040*(1-(Assumptions!$C$25+0.06*(1-$J1040))-Assumptions!$C$27)-Assumptions!$C$28)*Assumptions!$C$31)+Assumptions!$C$28-Assumptions!$C$29-$O1040*Assumptions!$C$30</f>
        <v>103.8337308</v>
      </c>
      <c r="U1040" s="139">
        <f>($P1040*(1-(Assumptions!$C$25+0.06*(1-$K1040))-Assumptions!$C$27)-Assumptions!$C$28)-MAX(0,($P1040*(1-(Assumptions!$C$25+0.06*(1-$K1040))-Assumptions!$C$27)-Assumptions!$C$28)*Assumptions!$C$31)+Assumptions!$C$28-Assumptions!$C$29-$P1040*Assumptions!$C$30</f>
        <v>34.05012486</v>
      </c>
      <c r="V1040" s="143">
        <f>(($Q1040/(1+$D1040)^1+$R1040/(1+$D1040)^2+$S1040/(1+$D1040)^3+$T1040/(1+$D1040)^4+$U1040/(1+$D1040)^5+$U1040*(1+$E1040)/($D1040-$E1040)/(1+$D1040)^5)-Assumptions!$C$37)/Assumptions!$C$40/Assumptions!$C$38</f>
        <v>-1.689075283</v>
      </c>
    </row>
    <row r="1041" ht="12.0" customHeight="1">
      <c r="B1041" s="139">
        <v>989.0</v>
      </c>
      <c r="C1041" s="140">
        <f t="shared" si="6"/>
        <v>0.5981418205</v>
      </c>
      <c r="D1041" s="141">
        <f t="shared" si="7"/>
        <v>0.09998525929</v>
      </c>
      <c r="E1041" s="141">
        <f t="shared" si="8"/>
        <v>0.02057047871</v>
      </c>
      <c r="F1041" s="140">
        <f t="shared" si="9"/>
        <v>0.7790456892</v>
      </c>
      <c r="G1041" s="141">
        <f t="shared" si="10"/>
        <v>0.07005713763</v>
      </c>
      <c r="H1041" s="142">
        <f t="shared" si="11"/>
        <v>1</v>
      </c>
      <c r="I1041" s="142">
        <f t="shared" si="12"/>
        <v>1</v>
      </c>
      <c r="J1041" s="142">
        <f t="shared" si="13"/>
        <v>1</v>
      </c>
      <c r="K1041" s="142">
        <f t="shared" si="14"/>
        <v>0</v>
      </c>
      <c r="L1041" s="139">
        <f>Assumptions!$C$6*Assumptions!$C$7*(1+$G1041-0.05*(1-1))^1+Assumptions!$C$6*Assumptions!$C$8*(1+Assumptions!$C$11)^1+Assumptions!$C$16*1+Assumptions!$C$6*Assumptions!$C$9*(1+Assumptions!$C$12)^1</f>
        <v>750.0492325</v>
      </c>
      <c r="M1041" s="139">
        <f>Assumptions!$C$6*Assumptions!$C$7*(1+$G1041-0.05*(1-$H1041))^2+Assumptions!$C$6*Assumptions!$C$8*(1+Assumptions!$C$11)^2+Assumptions!$C$16*$H1041+Assumptions!$C$6*Assumptions!$C$9*(1+Assumptions!$C$12)^2</f>
        <v>781.8798587</v>
      </c>
      <c r="N1041" s="139">
        <f>Assumptions!$C$6*Assumptions!$C$7*(1+$G1041-0.05*(1-$I1041))^3+Assumptions!$C$6*Assumptions!$C$8*(1+Assumptions!$C$11)^3+Assumptions!$C$16*$I1041+Assumptions!$C$6*Assumptions!$C$9*(1+Assumptions!$C$12)^3</f>
        <v>815.6102025</v>
      </c>
      <c r="O1041" s="139">
        <f>Assumptions!$C$6*Assumptions!$C$7*(1+$G1041-0.05*(1-$J1041))^4+Assumptions!$C$6*Assumptions!$C$8*(1+Assumptions!$C$11)^4+Assumptions!$C$16*$J1041+Assumptions!$C$6*Assumptions!$C$9*(1+Assumptions!$C$12)^4</f>
        <v>851.3667478</v>
      </c>
      <c r="P1041" s="139">
        <f>Assumptions!$C$6*Assumptions!$C$7*(1+$G1041-0.05*(1-$K1041))^5+Assumptions!$C$6*Assumptions!$C$8*(1+Assumptions!$C$11)^5+Assumptions!$C$16*$K1041+Assumptions!$C$6*Assumptions!$C$9*(1+Assumptions!$C$12)^5</f>
        <v>728.7974313</v>
      </c>
      <c r="Q1041" s="139">
        <f>($L1041*(1-(Assumptions!$C$25+0.06*(1-1))-Assumptions!$C$27)-Assumptions!$C$28)-MAX(0,($L1041*(1-(Assumptions!$C$25+0.06*(1-1))-Assumptions!$C$27)-Assumptions!$C$28)*Assumptions!$C$31)+Assumptions!$C$28-Assumptions!$C$29-$L1041*Assumptions!$C$30</f>
        <v>93.76058499</v>
      </c>
      <c r="R1041" s="139">
        <f>($M1041*(1-(Assumptions!$C$25+0.06*(1-$H1041))-Assumptions!$C$27)-Assumptions!$C$28)-MAX(0,($M1041*(1-(Assumptions!$C$25+0.06*(1-$H1041))-Assumptions!$C$27)-Assumptions!$C$28)*Assumptions!$C$31)+Assumptions!$C$28-Assumptions!$C$29-$M1041*Assumptions!$C$30</f>
        <v>100.6041696</v>
      </c>
      <c r="S1041" s="139">
        <f>($N1041*(1-(Assumptions!$C$25+0.06*(1-$I1041))-Assumptions!$C$27)-Assumptions!$C$28)-MAX(0,($N1041*(1-(Assumptions!$C$25+0.06*(1-$I1041))-Assumptions!$C$27)-Assumptions!$C$28)*Assumptions!$C$31)+Assumptions!$C$28-Assumptions!$C$29-$N1041*Assumptions!$C$30</f>
        <v>107.8561935</v>
      </c>
      <c r="T1041" s="139">
        <f>($O1041*(1-(Assumptions!$C$25+0.06*(1-$J1041))-Assumptions!$C$27)-Assumptions!$C$28)-MAX(0,($O1041*(1-(Assumptions!$C$25+0.06*(1-$J1041))-Assumptions!$C$27)-Assumptions!$C$28)*Assumptions!$C$31)+Assumptions!$C$28-Assumptions!$C$29-$O1041*Assumptions!$C$30</f>
        <v>115.5438508</v>
      </c>
      <c r="U1041" s="139">
        <f>($P1041*(1-(Assumptions!$C$25+0.06*(1-$K1041))-Assumptions!$C$27)-Assumptions!$C$28)-MAX(0,($P1041*(1-(Assumptions!$C$25+0.06*(1-$K1041))-Assumptions!$C$27)-Assumptions!$C$28)*Assumptions!$C$31)+Assumptions!$C$28-Assumptions!$C$29-$P1041*Assumptions!$C$30</f>
        <v>47.6234092</v>
      </c>
      <c r="V1041" s="143">
        <f>(($Q1041/(1+$D1041)^1+$R1041/(1+$D1041)^2+$S1041/(1+$D1041)^3+$T1041/(1+$D1041)^4+$U1041/(1+$D1041)^5+$U1041*(1+$E1041)/($D1041-$E1041)/(1+$D1041)^5)-Assumptions!$C$37)/Assumptions!$C$40/Assumptions!$C$38</f>
        <v>0.3609701961</v>
      </c>
    </row>
    <row r="1042" ht="12.0" customHeight="1">
      <c r="B1042" s="139">
        <v>990.0</v>
      </c>
      <c r="C1042" s="140">
        <f t="shared" si="6"/>
        <v>0.4011219878</v>
      </c>
      <c r="D1042" s="141">
        <f t="shared" si="7"/>
        <v>0.09667050015</v>
      </c>
      <c r="E1042" s="141">
        <f t="shared" si="8"/>
        <v>0.01046410614</v>
      </c>
      <c r="F1042" s="140">
        <f t="shared" si="9"/>
        <v>0.1719758284</v>
      </c>
      <c r="G1042" s="141">
        <f t="shared" si="10"/>
        <v>0.04759421755</v>
      </c>
      <c r="H1042" s="142">
        <f t="shared" si="11"/>
        <v>1</v>
      </c>
      <c r="I1042" s="142">
        <f t="shared" si="12"/>
        <v>0</v>
      </c>
      <c r="J1042" s="142">
        <f t="shared" si="13"/>
        <v>1</v>
      </c>
      <c r="K1042" s="142">
        <f t="shared" si="14"/>
        <v>0</v>
      </c>
      <c r="L1042" s="139">
        <f>Assumptions!$C$6*Assumptions!$C$7*(1+$G1042-0.05*(1-1))^1+Assumptions!$C$6*Assumptions!$C$8*(1+Assumptions!$C$11)^1+Assumptions!$C$16*1+Assumptions!$C$6*Assumptions!$C$9*(1+Assumptions!$C$12)^1</f>
        <v>742.4882136</v>
      </c>
      <c r="M1042" s="139">
        <f>Assumptions!$C$6*Assumptions!$C$7*(1+$G1042-0.05*(1-$H1042))^2+Assumptions!$C$6*Assumptions!$C$8*(1+Assumptions!$C$11)^2+Assumptions!$C$16*$H1042+Assumptions!$C$6*Assumptions!$C$9*(1+Assumptions!$C$12)^2</f>
        <v>765.8682568</v>
      </c>
      <c r="N1042" s="139">
        <f>Assumptions!$C$6*Assumptions!$C$7*(1+$G1042-0.05*(1-$I1042))^3+Assumptions!$C$6*Assumptions!$C$8*(1+Assumptions!$C$11)^3+Assumptions!$C$16*$I1042+Assumptions!$C$6*Assumptions!$C$9*(1+Assumptions!$C$12)^3</f>
        <v>677.3711479</v>
      </c>
      <c r="O1042" s="139">
        <f>Assumptions!$C$6*Assumptions!$C$7*(1+$G1042-0.05*(1-$J1042))^4+Assumptions!$C$6*Assumptions!$C$8*(1+Assumptions!$C$11)^4+Assumptions!$C$16*$J1042+Assumptions!$C$6*Assumptions!$C$9*(1+Assumptions!$C$12)^4</f>
        <v>815.461116</v>
      </c>
      <c r="P1042" s="139">
        <f>Assumptions!$C$6*Assumptions!$C$7*(1+$G1042-0.05*(1-$K1042))^5+Assumptions!$C$6*Assumptions!$C$8*(1+Assumptions!$C$11)^5+Assumptions!$C$16*$K1042+Assumptions!$C$6*Assumptions!$C$9*(1+Assumptions!$C$12)^5</f>
        <v>689.6302348</v>
      </c>
      <c r="Q1042" s="139">
        <f>($L1042*(1-(Assumptions!$C$25+0.06*(1-1))-Assumptions!$C$27)-Assumptions!$C$28)-MAX(0,($L1042*(1-(Assumptions!$C$25+0.06*(1-1))-Assumptions!$C$27)-Assumptions!$C$28)*Assumptions!$C$31)+Assumptions!$C$28-Assumptions!$C$29-$L1042*Assumptions!$C$30</f>
        <v>92.13496593</v>
      </c>
      <c r="R1042" s="139">
        <f>($M1042*(1-(Assumptions!$C$25+0.06*(1-$H1042))-Assumptions!$C$27)-Assumptions!$C$28)-MAX(0,($M1042*(1-(Assumptions!$C$25+0.06*(1-$H1042))-Assumptions!$C$27)-Assumptions!$C$28)*Assumptions!$C$31)+Assumptions!$C$28-Assumptions!$C$29-$M1042*Assumptions!$C$30</f>
        <v>97.16167521</v>
      </c>
      <c r="S1042" s="139">
        <f>($N1042*(1-(Assumptions!$C$25+0.06*(1-$I1042))-Assumptions!$C$27)-Assumptions!$C$28)-MAX(0,($N1042*(1-(Assumptions!$C$25+0.06*(1-$I1042))-Assumptions!$C$27)-Assumptions!$C$28)*Assumptions!$C$31)+Assumptions!$C$28-Assumptions!$C$29-$N1042*Assumptions!$C$30</f>
        <v>35.79536402</v>
      </c>
      <c r="T1042" s="139">
        <f>($O1042*(1-(Assumptions!$C$25+0.06*(1-$J1042))-Assumptions!$C$27)-Assumptions!$C$28)-MAX(0,($O1042*(1-(Assumptions!$C$25+0.06*(1-$J1042))-Assumptions!$C$27)-Assumptions!$C$28)*Assumptions!$C$31)+Assumptions!$C$28-Assumptions!$C$29-$O1042*Assumptions!$C$30</f>
        <v>107.8241399</v>
      </c>
      <c r="U1042" s="139">
        <f>($P1042*(1-(Assumptions!$C$25+0.06*(1-$K1042))-Assumptions!$C$27)-Assumptions!$C$28)-MAX(0,($P1042*(1-(Assumptions!$C$25+0.06*(1-$K1042))-Assumptions!$C$27)-Assumptions!$C$28)*Assumptions!$C$31)+Assumptions!$C$28-Assumptions!$C$29-$P1042*Assumptions!$C$30</f>
        <v>38.614954</v>
      </c>
      <c r="V1042" s="143">
        <f>(($Q1042/(1+$D1042)^1+$R1042/(1+$D1042)^2+$S1042/(1+$D1042)^3+$T1042/(1+$D1042)^4+$U1042/(1+$D1042)^5+$U1042*(1+$E1042)/($D1042-$E1042)/(1+$D1042)^5)-Assumptions!$C$37)/Assumptions!$C$40/Assumptions!$C$38</f>
        <v>-0.9016515671</v>
      </c>
    </row>
    <row r="1043" ht="12.0" customHeight="1">
      <c r="B1043" s="139">
        <v>991.0</v>
      </c>
      <c r="C1043" s="140">
        <f t="shared" si="6"/>
        <v>0.6603738472</v>
      </c>
      <c r="D1043" s="141">
        <f t="shared" si="7"/>
        <v>0.1011967297</v>
      </c>
      <c r="E1043" s="141">
        <f t="shared" si="8"/>
        <v>0.02303692247</v>
      </c>
      <c r="F1043" s="140">
        <f t="shared" si="9"/>
        <v>0.8847520353</v>
      </c>
      <c r="G1043" s="141">
        <f t="shared" si="10"/>
        <v>0.07559700252</v>
      </c>
      <c r="H1043" s="142">
        <f t="shared" si="11"/>
        <v>1</v>
      </c>
      <c r="I1043" s="142">
        <f t="shared" si="12"/>
        <v>1</v>
      </c>
      <c r="J1043" s="142">
        <f t="shared" si="13"/>
        <v>1</v>
      </c>
      <c r="K1043" s="142">
        <f t="shared" si="14"/>
        <v>1</v>
      </c>
      <c r="L1043" s="139">
        <f>Assumptions!$C$6*Assumptions!$C$7*(1+$G1043-0.05*(1-1))^1+Assumptions!$C$6*Assumptions!$C$8*(1+Assumptions!$C$11)^1+Assumptions!$C$16*1+Assumptions!$C$6*Assumptions!$C$9*(1+Assumptions!$C$12)^1</f>
        <v>751.913951</v>
      </c>
      <c r="M1043" s="139">
        <f>Assumptions!$C$6*Assumptions!$C$7*(1+$G1043-0.05*(1-$H1043))^2+Assumptions!$C$6*Assumptions!$C$8*(1+Assumptions!$C$11)^2+Assumptions!$C$16*$H1043+Assumptions!$C$6*Assumptions!$C$9*(1+Assumptions!$C$12)^2</f>
        <v>785.8808997</v>
      </c>
      <c r="N1043" s="139">
        <f>Assumptions!$C$6*Assumptions!$C$7*(1+$G1043-0.05*(1-$I1043))^3+Assumptions!$C$6*Assumptions!$C$8*(1+Assumptions!$C$11)^3+Assumptions!$C$16*$I1043+Assumptions!$C$6*Assumptions!$C$9*(1+Assumptions!$C$12)^3</f>
        <v>822.0488545</v>
      </c>
      <c r="O1043" s="139">
        <f>Assumptions!$C$6*Assumptions!$C$7*(1+$G1043-0.05*(1-$J1043))^4+Assumptions!$C$6*Assumptions!$C$8*(1+Assumptions!$C$11)^4+Assumptions!$C$16*$J1043+Assumptions!$C$6*Assumptions!$C$9*(1+Assumptions!$C$12)^4</f>
        <v>860.5768688</v>
      </c>
      <c r="P1043" s="139">
        <f>Assumptions!$C$6*Assumptions!$C$7*(1+$G1043-0.05*(1-$K1043))^5+Assumptions!$C$6*Assumptions!$C$8*(1+Assumptions!$C$11)^5+Assumptions!$C$16*$K1043+Assumptions!$C$6*Assumptions!$C$9*(1+Assumptions!$C$12)^5</f>
        <v>901.6358737</v>
      </c>
      <c r="Q1043" s="139">
        <f>($L1043*(1-(Assumptions!$C$25+0.06*(1-1))-Assumptions!$C$27)-Assumptions!$C$28)-MAX(0,($L1043*(1-(Assumptions!$C$25+0.06*(1-1))-Assumptions!$C$27)-Assumptions!$C$28)*Assumptions!$C$31)+Assumptions!$C$28-Assumptions!$C$29-$L1043*Assumptions!$C$30</f>
        <v>94.16149948</v>
      </c>
      <c r="R1043" s="139">
        <f>($M1043*(1-(Assumptions!$C$25+0.06*(1-$H1043))-Assumptions!$C$27)-Assumptions!$C$28)-MAX(0,($M1043*(1-(Assumptions!$C$25+0.06*(1-$H1043))-Assumptions!$C$27)-Assumptions!$C$28)*Assumptions!$C$31)+Assumptions!$C$28-Assumptions!$C$29-$M1043*Assumptions!$C$30</f>
        <v>101.4643934</v>
      </c>
      <c r="S1043" s="139">
        <f>($N1043*(1-(Assumptions!$C$25+0.06*(1-$I1043))-Assumptions!$C$27)-Assumptions!$C$28)-MAX(0,($N1043*(1-(Assumptions!$C$25+0.06*(1-$I1043))-Assumptions!$C$27)-Assumptions!$C$28)*Assumptions!$C$31)+Assumptions!$C$28-Assumptions!$C$29-$N1043*Assumptions!$C$30</f>
        <v>109.2405037</v>
      </c>
      <c r="T1043" s="139">
        <f>($O1043*(1-(Assumptions!$C$25+0.06*(1-$J1043))-Assumptions!$C$27)-Assumptions!$C$28)-MAX(0,($O1043*(1-(Assumptions!$C$25+0.06*(1-$J1043))-Assumptions!$C$27)-Assumptions!$C$28)*Assumptions!$C$31)+Assumptions!$C$28-Assumptions!$C$29-$O1043*Assumptions!$C$30</f>
        <v>117.5240268</v>
      </c>
      <c r="U1043" s="139">
        <f>($P1043*(1-(Assumptions!$C$25+0.06*(1-$K1043))-Assumptions!$C$27)-Assumptions!$C$28)-MAX(0,($P1043*(1-(Assumptions!$C$25+0.06*(1-$K1043))-Assumptions!$C$27)-Assumptions!$C$28)*Assumptions!$C$31)+Assumptions!$C$28-Assumptions!$C$29-$P1043*Assumptions!$C$30</f>
        <v>126.3517129</v>
      </c>
      <c r="V1043" s="143">
        <f>(($Q1043/(1+$D1043)^1+$R1043/(1+$D1043)^2+$S1043/(1+$D1043)^3+$T1043/(1+$D1043)^4+$U1043/(1+$D1043)^5+$U1043*(1+$E1043)/($D1043-$E1043)/(1+$D1043)^5)-Assumptions!$C$37)/Assumptions!$C$40/Assumptions!$C$38</f>
        <v>5.763734991</v>
      </c>
    </row>
    <row r="1044" ht="12.0" customHeight="1">
      <c r="B1044" s="139">
        <v>992.0</v>
      </c>
      <c r="C1044" s="140">
        <f t="shared" si="6"/>
        <v>0.9745876502</v>
      </c>
      <c r="D1044" s="141">
        <f t="shared" si="7"/>
        <v>0.1112242447</v>
      </c>
      <c r="E1044" s="141">
        <f t="shared" si="8"/>
        <v>0.01096915266</v>
      </c>
      <c r="F1044" s="140">
        <f t="shared" si="9"/>
        <v>0.8909745944</v>
      </c>
      <c r="G1044" s="141">
        <f t="shared" si="10"/>
        <v>0.07599122667</v>
      </c>
      <c r="H1044" s="142">
        <f t="shared" si="11"/>
        <v>0</v>
      </c>
      <c r="I1044" s="142">
        <f t="shared" si="12"/>
        <v>0</v>
      </c>
      <c r="J1044" s="142">
        <f t="shared" si="13"/>
        <v>1</v>
      </c>
      <c r="K1044" s="142">
        <f t="shared" si="14"/>
        <v>1</v>
      </c>
      <c r="L1044" s="139">
        <f>Assumptions!$C$6*Assumptions!$C$7*(1+$G1044-0.05*(1-1))^1+Assumptions!$C$6*Assumptions!$C$8*(1+Assumptions!$C$11)^1+Assumptions!$C$16*1+Assumptions!$C$6*Assumptions!$C$9*(1+Assumptions!$C$12)^1</f>
        <v>752.0466469</v>
      </c>
      <c r="M1044" s="139">
        <f>Assumptions!$C$6*Assumptions!$C$7*(1+$G1044-0.05*(1-$H1044))^2+Assumptions!$C$6*Assumptions!$C$8*(1+Assumptions!$C$11)^2+Assumptions!$C$16*$H1044+Assumptions!$C$6*Assumptions!$C$9*(1+Assumptions!$C$12)^2</f>
        <v>690.7900419</v>
      </c>
      <c r="N1044" s="139">
        <f>Assumptions!$C$6*Assumptions!$C$7*(1+$G1044-0.05*(1-$I1044))^3+Assumptions!$C$6*Assumptions!$C$8*(1+Assumptions!$C$11)^3+Assumptions!$C$16*$I1044+Assumptions!$C$6*Assumptions!$C$9*(1+Assumptions!$C$12)^3</f>
        <v>706.7286822</v>
      </c>
      <c r="O1044" s="139">
        <f>Assumptions!$C$6*Assumptions!$C$7*(1+$G1044-0.05*(1-$J1044))^4+Assumptions!$C$6*Assumptions!$C$8*(1+Assumptions!$C$11)^4+Assumptions!$C$16*$J1044+Assumptions!$C$6*Assumptions!$C$9*(1+Assumptions!$C$12)^4</f>
        <v>861.2377218</v>
      </c>
      <c r="P1044" s="139">
        <f>Assumptions!$C$6*Assumptions!$C$7*(1+$G1044-0.05*(1-$K1044))^5+Assumptions!$C$6*Assumptions!$C$8*(1+Assumptions!$C$11)^5+Assumptions!$C$16*$K1044+Assumptions!$C$6*Assumptions!$C$9*(1+Assumptions!$C$12)^5</f>
        <v>902.5245509</v>
      </c>
      <c r="Q1044" s="139">
        <f>($L1044*(1-(Assumptions!$C$25+0.06*(1-1))-Assumptions!$C$27)-Assumptions!$C$28)-MAX(0,($L1044*(1-(Assumptions!$C$25+0.06*(1-1))-Assumptions!$C$27)-Assumptions!$C$28)*Assumptions!$C$31)+Assumptions!$C$28-Assumptions!$C$29-$L1044*Assumptions!$C$30</f>
        <v>94.19002908</v>
      </c>
      <c r="R1044" s="139">
        <f>($M1044*(1-(Assumptions!$C$25+0.06*(1-$H1044))-Assumptions!$C$27)-Assumptions!$C$28)-MAX(0,($M1044*(1-(Assumptions!$C$25+0.06*(1-$H1044))-Assumptions!$C$27)-Assumptions!$C$28)*Assumptions!$C$31)+Assumptions!$C$28-Assumptions!$C$29-$M1044*Assumptions!$C$30</f>
        <v>38.88170963</v>
      </c>
      <c r="S1044" s="139">
        <f>($N1044*(1-(Assumptions!$C$25+0.06*(1-$I1044))-Assumptions!$C$27)-Assumptions!$C$28)-MAX(0,($N1044*(1-(Assumptions!$C$25+0.06*(1-$I1044))-Assumptions!$C$27)-Assumptions!$C$28)*Assumptions!$C$31)+Assumptions!$C$28-Assumptions!$C$29-$N1044*Assumptions!$C$30</f>
        <v>42.5475969</v>
      </c>
      <c r="T1044" s="139">
        <f>($O1044*(1-(Assumptions!$C$25+0.06*(1-$J1044))-Assumptions!$C$27)-Assumptions!$C$28)-MAX(0,($O1044*(1-(Assumptions!$C$25+0.06*(1-$J1044))-Assumptions!$C$27)-Assumptions!$C$28)*Assumptions!$C$31)+Assumptions!$C$28-Assumptions!$C$29-$O1044*Assumptions!$C$30</f>
        <v>117.6661102</v>
      </c>
      <c r="U1044" s="139">
        <f>($P1044*(1-(Assumptions!$C$25+0.06*(1-$K1044))-Assumptions!$C$27)-Assumptions!$C$28)-MAX(0,($P1044*(1-(Assumptions!$C$25+0.06*(1-$K1044))-Assumptions!$C$27)-Assumptions!$C$28)*Assumptions!$C$31)+Assumptions!$C$28-Assumptions!$C$29-$P1044*Assumptions!$C$30</f>
        <v>126.5427785</v>
      </c>
      <c r="V1044" s="143">
        <f>(($Q1044/(1+$D1044)^1+$R1044/(1+$D1044)^2+$S1044/(1+$D1044)^3+$T1044/(1+$D1044)^4+$U1044/(1+$D1044)^5+$U1044*(1+$E1044)/($D1044-$E1044)/(1+$D1044)^5)-Assumptions!$C$37)/Assumptions!$C$40/Assumptions!$C$38</f>
        <v>2.81352162</v>
      </c>
    </row>
    <row r="1045" ht="12.0" customHeight="1">
      <c r="B1045" s="139">
        <v>993.0</v>
      </c>
      <c r="C1045" s="140">
        <f t="shared" si="6"/>
        <v>0.001158802137</v>
      </c>
      <c r="D1045" s="141">
        <f t="shared" si="7"/>
        <v>0.08562676465</v>
      </c>
      <c r="E1045" s="141">
        <f t="shared" si="8"/>
        <v>0.02597016423</v>
      </c>
      <c r="F1045" s="140">
        <f t="shared" si="9"/>
        <v>0.418240349</v>
      </c>
      <c r="G1045" s="141">
        <f t="shared" si="10"/>
        <v>0.05743779562</v>
      </c>
      <c r="H1045" s="142">
        <f t="shared" si="11"/>
        <v>0</v>
      </c>
      <c r="I1045" s="142">
        <f t="shared" si="12"/>
        <v>1</v>
      </c>
      <c r="J1045" s="142">
        <f t="shared" si="13"/>
        <v>0</v>
      </c>
      <c r="K1045" s="142">
        <f t="shared" si="14"/>
        <v>0</v>
      </c>
      <c r="L1045" s="139">
        <f>Assumptions!$C$6*Assumptions!$C$7*(1+$G1045-0.05*(1-1))^1+Assumptions!$C$6*Assumptions!$C$8*(1+Assumptions!$C$11)^1+Assumptions!$C$16*1+Assumptions!$C$6*Assumptions!$C$9*(1+Assumptions!$C$12)^1</f>
        <v>745.801562</v>
      </c>
      <c r="M1045" s="139">
        <f>Assumptions!$C$6*Assumptions!$C$7*(1+$G1045-0.05*(1-$H1045))^2+Assumptions!$C$6*Assumptions!$C$8*(1+Assumptions!$C$11)^2+Assumptions!$C$16*$H1045+Assumptions!$C$6*Assumptions!$C$9*(1+Assumptions!$C$12)^2</f>
        <v>678.091105</v>
      </c>
      <c r="N1045" s="139">
        <f>Assumptions!$C$6*Assumptions!$C$7*(1+$G1045-0.05*(1-$I1045))^3+Assumptions!$C$6*Assumptions!$C$8*(1+Assumptions!$C$11)^3+Assumptions!$C$16*$I1045+Assumptions!$C$6*Assumptions!$C$9*(1+Assumptions!$C$12)^3</f>
        <v>801.1905681</v>
      </c>
      <c r="O1045" s="139">
        <f>Assumptions!$C$6*Assumptions!$C$7*(1+$G1045-0.05*(1-$J1045))^4+Assumptions!$C$6*Assumptions!$C$8*(1+Assumptions!$C$11)^4+Assumptions!$C$16*$J1045+Assumptions!$C$6*Assumptions!$C$9*(1+Assumptions!$C$12)^4</f>
        <v>696.7850895</v>
      </c>
      <c r="P1045" s="139">
        <f>Assumptions!$C$6*Assumptions!$C$7*(1+$G1045-0.05*(1-$K1045))^5+Assumptions!$C$6*Assumptions!$C$8*(1+Assumptions!$C$11)^5+Assumptions!$C$16*$K1045+Assumptions!$C$6*Assumptions!$C$9*(1+Assumptions!$C$12)^5</f>
        <v>706.3651417</v>
      </c>
      <c r="Q1045" s="139">
        <f>($L1045*(1-(Assumptions!$C$25+0.06*(1-1))-Assumptions!$C$27)-Assumptions!$C$28)-MAX(0,($L1045*(1-(Assumptions!$C$25+0.06*(1-1))-Assumptions!$C$27)-Assumptions!$C$28)*Assumptions!$C$31)+Assumptions!$C$28-Assumptions!$C$29-$L1045*Assumptions!$C$30</f>
        <v>92.84733583</v>
      </c>
      <c r="R1045" s="139">
        <f>($M1045*(1-(Assumptions!$C$25+0.06*(1-$H1045))-Assumptions!$C$27)-Assumptions!$C$28)-MAX(0,($M1045*(1-(Assumptions!$C$25+0.06*(1-$H1045))-Assumptions!$C$27)-Assumptions!$C$28)*Assumptions!$C$31)+Assumptions!$C$28-Assumptions!$C$29-$M1045*Assumptions!$C$30</f>
        <v>35.96095415</v>
      </c>
      <c r="S1045" s="139">
        <f>($N1045*(1-(Assumptions!$C$25+0.06*(1-$I1045))-Assumptions!$C$27)-Assumptions!$C$28)-MAX(0,($N1045*(1-(Assumptions!$C$25+0.06*(1-$I1045))-Assumptions!$C$27)-Assumptions!$C$28)*Assumptions!$C$31)+Assumptions!$C$28-Assumptions!$C$29-$N1045*Assumptions!$C$30</f>
        <v>104.7559721</v>
      </c>
      <c r="T1045" s="139">
        <f>($O1045*(1-(Assumptions!$C$25+0.06*(1-$J1045))-Assumptions!$C$27)-Assumptions!$C$28)-MAX(0,($O1045*(1-(Assumptions!$C$25+0.06*(1-$J1045))-Assumptions!$C$27)-Assumptions!$C$28)*Assumptions!$C$31)+Assumptions!$C$28-Assumptions!$C$29-$O1045*Assumptions!$C$30</f>
        <v>40.26057058</v>
      </c>
      <c r="U1045" s="139">
        <f>($P1045*(1-(Assumptions!$C$25+0.06*(1-$K1045))-Assumptions!$C$27)-Assumptions!$C$28)-MAX(0,($P1045*(1-(Assumptions!$C$25+0.06*(1-$K1045))-Assumptions!$C$27)-Assumptions!$C$28)*Assumptions!$C$31)+Assumptions!$C$28-Assumptions!$C$29-$P1045*Assumptions!$C$30</f>
        <v>42.4639826</v>
      </c>
      <c r="V1045" s="143">
        <f>(($Q1045/(1+$D1045)^1+$R1045/(1+$D1045)^2+$S1045/(1+$D1045)^3+$T1045/(1+$D1045)^4+$U1045/(1+$D1045)^5+$U1045*(1+$E1045)/($D1045-$E1045)/(1+$D1045)^5)-Assumptions!$C$37)/Assumptions!$C$40/Assumptions!$C$38</f>
        <v>0.3716944961</v>
      </c>
    </row>
    <row r="1046" ht="12.0" customHeight="1">
      <c r="B1046" s="139">
        <v>994.0</v>
      </c>
      <c r="C1046" s="140">
        <f t="shared" si="6"/>
        <v>0.1029272888</v>
      </c>
      <c r="D1046" s="141">
        <f t="shared" si="7"/>
        <v>0.09090697477</v>
      </c>
      <c r="E1046" s="141">
        <f t="shared" si="8"/>
        <v>0.01080893765</v>
      </c>
      <c r="F1046" s="140">
        <f t="shared" si="9"/>
        <v>0.5222352353</v>
      </c>
      <c r="G1046" s="141">
        <f t="shared" si="10"/>
        <v>0.06067464277</v>
      </c>
      <c r="H1046" s="142">
        <f t="shared" si="11"/>
        <v>1</v>
      </c>
      <c r="I1046" s="142">
        <f t="shared" si="12"/>
        <v>1</v>
      </c>
      <c r="J1046" s="142">
        <f t="shared" si="13"/>
        <v>1</v>
      </c>
      <c r="K1046" s="142">
        <f t="shared" si="14"/>
        <v>1</v>
      </c>
      <c r="L1046" s="139">
        <f>Assumptions!$C$6*Assumptions!$C$7*(1+$G1046-0.05*(1-1))^1+Assumptions!$C$6*Assumptions!$C$8*(1+Assumptions!$C$11)^1+Assumptions!$C$16*1+Assumptions!$C$6*Assumptions!$C$9*(1+Assumptions!$C$12)^1</f>
        <v>746.8910848</v>
      </c>
      <c r="M1046" s="139">
        <f>Assumptions!$C$6*Assumptions!$C$7*(1+$G1046-0.05*(1-$H1046))^2+Assumptions!$C$6*Assumptions!$C$8*(1+Assumptions!$C$11)^2+Assumptions!$C$16*$H1046+Assumptions!$C$6*Assumptions!$C$9*(1+Assumptions!$C$12)^2</f>
        <v>775.1506929</v>
      </c>
      <c r="N1046" s="139">
        <f>Assumptions!$C$6*Assumptions!$C$7*(1+$G1046-0.05*(1-$I1046))^3+Assumptions!$C$6*Assumptions!$C$8*(1+Assumptions!$C$11)^3+Assumptions!$C$16*$I1046+Assumptions!$C$6*Assumptions!$C$9*(1+Assumptions!$C$12)^3</f>
        <v>804.8565974</v>
      </c>
      <c r="O1046" s="139">
        <f>Assumptions!$C$6*Assumptions!$C$7*(1+$G1046-0.05*(1-$J1046))^4+Assumptions!$C$6*Assumptions!$C$8*(1+Assumptions!$C$11)^4+Assumptions!$C$16*$J1046+Assumptions!$C$6*Assumptions!$C$9*(1+Assumptions!$C$12)^4</f>
        <v>836.0911849</v>
      </c>
      <c r="P1046" s="139">
        <f>Assumptions!$C$6*Assumptions!$C$7*(1+$G1046-0.05*(1-$K1046))^5+Assumptions!$C$6*Assumptions!$C$8*(1+Assumptions!$C$11)^5+Assumptions!$C$16*$K1046+Assumptions!$C$6*Assumptions!$C$9*(1+Assumptions!$C$12)^5</f>
        <v>868.9417334</v>
      </c>
      <c r="Q1046" s="139">
        <f>($L1046*(1-(Assumptions!$C$25+0.06*(1-1))-Assumptions!$C$27)-Assumptions!$C$28)-MAX(0,($L1046*(1-(Assumptions!$C$25+0.06*(1-1))-Assumptions!$C$27)-Assumptions!$C$28)*Assumptions!$C$31)+Assumptions!$C$28-Assumptions!$C$29-$L1046*Assumptions!$C$30</f>
        <v>93.08158322</v>
      </c>
      <c r="R1046" s="139">
        <f>($M1046*(1-(Assumptions!$C$25+0.06*(1-$H1046))-Assumptions!$C$27)-Assumptions!$C$28)-MAX(0,($M1046*(1-(Assumptions!$C$25+0.06*(1-$H1046))-Assumptions!$C$27)-Assumptions!$C$28)*Assumptions!$C$31)+Assumptions!$C$28-Assumptions!$C$29-$M1046*Assumptions!$C$30</f>
        <v>99.15739897</v>
      </c>
      <c r="S1046" s="139">
        <f>($N1046*(1-(Assumptions!$C$25+0.06*(1-$I1046))-Assumptions!$C$27)-Assumptions!$C$28)-MAX(0,($N1046*(1-(Assumptions!$C$25+0.06*(1-$I1046))-Assumptions!$C$27)-Assumptions!$C$28)*Assumptions!$C$31)+Assumptions!$C$28-Assumptions!$C$29-$N1046*Assumptions!$C$30</f>
        <v>105.5441684</v>
      </c>
      <c r="T1046" s="139">
        <f>($O1046*(1-(Assumptions!$C$25+0.06*(1-$J1046))-Assumptions!$C$27)-Assumptions!$C$28)-MAX(0,($O1046*(1-(Assumptions!$C$25+0.06*(1-$J1046))-Assumptions!$C$27)-Assumptions!$C$28)*Assumptions!$C$31)+Assumptions!$C$28-Assumptions!$C$29-$O1046*Assumptions!$C$30</f>
        <v>112.2596047</v>
      </c>
      <c r="U1046" s="139">
        <f>($P1046*(1-(Assumptions!$C$25+0.06*(1-$K1046))-Assumptions!$C$27)-Assumptions!$C$28)-MAX(0,($P1046*(1-(Assumptions!$C$25+0.06*(1-$K1046))-Assumptions!$C$27)-Assumptions!$C$28)*Assumptions!$C$31)+Assumptions!$C$28-Assumptions!$C$29-$P1046*Assumptions!$C$30</f>
        <v>119.3224727</v>
      </c>
      <c r="V1046" s="143">
        <f>(($Q1046/(1+$D1046)^1+$R1046/(1+$D1046)^2+$S1046/(1+$D1046)^3+$T1046/(1+$D1046)^4+$U1046/(1+$D1046)^5+$U1046*(1+$E1046)/($D1046-$E1046)/(1+$D1046)^5)-Assumptions!$C$37)/Assumptions!$C$40/Assumptions!$C$38</f>
        <v>5.37961862</v>
      </c>
    </row>
    <row r="1047" ht="12.0" customHeight="1">
      <c r="B1047" s="139">
        <v>995.0</v>
      </c>
      <c r="C1047" s="140">
        <f t="shared" si="6"/>
        <v>0.2295560566</v>
      </c>
      <c r="D1047" s="141">
        <f t="shared" si="7"/>
        <v>0.09382153633</v>
      </c>
      <c r="E1047" s="141">
        <f t="shared" si="8"/>
        <v>0.02216838654</v>
      </c>
      <c r="F1047" s="140">
        <f t="shared" si="9"/>
        <v>0.6370523941</v>
      </c>
      <c r="G1047" s="141">
        <f t="shared" si="10"/>
        <v>0.06444015472</v>
      </c>
      <c r="H1047" s="142">
        <f t="shared" si="11"/>
        <v>1</v>
      </c>
      <c r="I1047" s="142">
        <f t="shared" si="12"/>
        <v>1</v>
      </c>
      <c r="J1047" s="142">
        <f t="shared" si="13"/>
        <v>0</v>
      </c>
      <c r="K1047" s="142">
        <f t="shared" si="14"/>
        <v>1</v>
      </c>
      <c r="L1047" s="139">
        <f>Assumptions!$C$6*Assumptions!$C$7*(1+$G1047-0.05*(1-1))^1+Assumptions!$C$6*Assumptions!$C$8*(1+Assumptions!$C$11)^1+Assumptions!$C$16*1+Assumptions!$C$6*Assumptions!$C$9*(1+Assumptions!$C$12)^1</f>
        <v>748.1585561</v>
      </c>
      <c r="M1047" s="139">
        <f>Assumptions!$C$6*Assumptions!$C$7*(1+$G1047-0.05*(1-$H1047))^2+Assumptions!$C$6*Assumptions!$C$8*(1+Assumptions!$C$11)^2+Assumptions!$C$16*$H1047+Assumptions!$C$6*Assumptions!$C$9*(1+Assumptions!$C$12)^2</f>
        <v>777.8442149</v>
      </c>
      <c r="N1047" s="139">
        <f>Assumptions!$C$6*Assumptions!$C$7*(1+$G1047-0.05*(1-$I1047))^3+Assumptions!$C$6*Assumptions!$C$8*(1+Assumptions!$C$11)^3+Assumptions!$C$16*$I1047+Assumptions!$C$6*Assumptions!$C$9*(1+Assumptions!$C$12)^3</f>
        <v>809.1496346</v>
      </c>
      <c r="O1047" s="139">
        <f>Assumptions!$C$6*Assumptions!$C$7*(1+$G1047-0.05*(1-$J1047))^4+Assumptions!$C$6*Assumptions!$C$8*(1+Assumptions!$C$11)^4+Assumptions!$C$16*$J1047+Assumptions!$C$6*Assumptions!$C$9*(1+Assumptions!$C$12)^4</f>
        <v>706.5259766</v>
      </c>
      <c r="P1047" s="139">
        <f>Assumptions!$C$6*Assumptions!$C$7*(1+$G1047-0.05*(1-$K1047))^5+Assumptions!$C$6*Assumptions!$C$8*(1+Assumptions!$C$11)^5+Assumptions!$C$16*$K1047+Assumptions!$C$6*Assumptions!$C$9*(1+Assumptions!$C$12)^5</f>
        <v>877.0200426</v>
      </c>
      <c r="Q1047" s="139">
        <f>($L1047*(1-(Assumptions!$C$25+0.06*(1-1))-Assumptions!$C$27)-Assumptions!$C$28)-MAX(0,($L1047*(1-(Assumptions!$C$25+0.06*(1-1))-Assumptions!$C$27)-Assumptions!$C$28)*Assumptions!$C$31)+Assumptions!$C$28-Assumptions!$C$29-$L1047*Assumptions!$C$30</f>
        <v>93.35408956</v>
      </c>
      <c r="R1047" s="139">
        <f>($M1047*(1-(Assumptions!$C$25+0.06*(1-$H1047))-Assumptions!$C$27)-Assumptions!$C$28)-MAX(0,($M1047*(1-(Assumptions!$C$25+0.06*(1-$H1047))-Assumptions!$C$27)-Assumptions!$C$28)*Assumptions!$C$31)+Assumptions!$C$28-Assumptions!$C$29-$M1047*Assumptions!$C$30</f>
        <v>99.73650621</v>
      </c>
      <c r="S1047" s="139">
        <f>($N1047*(1-(Assumptions!$C$25+0.06*(1-$I1047))-Assumptions!$C$27)-Assumptions!$C$28)-MAX(0,($N1047*(1-(Assumptions!$C$25+0.06*(1-$I1047))-Assumptions!$C$27)-Assumptions!$C$28)*Assumptions!$C$31)+Assumptions!$C$28-Assumptions!$C$29-$N1047*Assumptions!$C$30</f>
        <v>106.4671714</v>
      </c>
      <c r="T1047" s="139">
        <f>($O1047*(1-(Assumptions!$C$25+0.06*(1-$J1047))-Assumptions!$C$27)-Assumptions!$C$28)-MAX(0,($O1047*(1-(Assumptions!$C$25+0.06*(1-$J1047))-Assumptions!$C$27)-Assumptions!$C$28)*Assumptions!$C$31)+Assumptions!$C$28-Assumptions!$C$29-$O1047*Assumptions!$C$30</f>
        <v>42.50097463</v>
      </c>
      <c r="U1047" s="139">
        <f>($P1047*(1-(Assumptions!$C$25+0.06*(1-$K1047))-Assumptions!$C$27)-Assumptions!$C$28)-MAX(0,($P1047*(1-(Assumptions!$C$25+0.06*(1-$K1047))-Assumptions!$C$27)-Assumptions!$C$28)*Assumptions!$C$31)+Assumptions!$C$28-Assumptions!$C$29-$P1047*Assumptions!$C$30</f>
        <v>121.0593092</v>
      </c>
      <c r="V1047" s="143">
        <f>(($Q1047/(1+$D1047)^1+$R1047/(1+$D1047)^2+$S1047/(1+$D1047)^3+$T1047/(1+$D1047)^4+$U1047/(1+$D1047)^5+$U1047*(1+$E1047)/($D1047-$E1047)/(1+$D1047)^5)-Assumptions!$C$37)/Assumptions!$C$40/Assumptions!$C$38</f>
        <v>5.995858449</v>
      </c>
    </row>
    <row r="1048" ht="12.0" customHeight="1">
      <c r="B1048" s="139">
        <v>996.0</v>
      </c>
      <c r="C1048" s="140">
        <f t="shared" si="6"/>
        <v>0.5619677764</v>
      </c>
      <c r="D1048" s="141">
        <f t="shared" si="7"/>
        <v>0.09932402866</v>
      </c>
      <c r="E1048" s="141">
        <f t="shared" si="8"/>
        <v>0.01244046204</v>
      </c>
      <c r="F1048" s="140">
        <f t="shared" si="9"/>
        <v>0.6556175801</v>
      </c>
      <c r="G1048" s="141">
        <f t="shared" si="10"/>
        <v>0.06510244277</v>
      </c>
      <c r="H1048" s="142">
        <f t="shared" si="11"/>
        <v>1</v>
      </c>
      <c r="I1048" s="142">
        <f t="shared" si="12"/>
        <v>0</v>
      </c>
      <c r="J1048" s="142">
        <f t="shared" si="13"/>
        <v>0</v>
      </c>
      <c r="K1048" s="142">
        <f t="shared" si="14"/>
        <v>0</v>
      </c>
      <c r="L1048" s="139">
        <f>Assumptions!$C$6*Assumptions!$C$7*(1+$G1048-0.05*(1-1))^1+Assumptions!$C$6*Assumptions!$C$8*(1+Assumptions!$C$11)^1+Assumptions!$C$16*1+Assumptions!$C$6*Assumptions!$C$9*(1+Assumptions!$C$12)^1</f>
        <v>748.3814822</v>
      </c>
      <c r="M1048" s="139">
        <f>Assumptions!$C$6*Assumptions!$C$7*(1+$G1048-0.05*(1-$H1048))^2+Assumptions!$C$6*Assumptions!$C$8*(1+Assumptions!$C$11)^2+Assumptions!$C$16*$H1048+Assumptions!$C$6*Assumptions!$C$9*(1+Assumptions!$C$12)^2</f>
        <v>778.3189457</v>
      </c>
      <c r="N1048" s="139">
        <f>Assumptions!$C$6*Assumptions!$C$7*(1+$G1048-0.05*(1-$I1048))^3+Assumptions!$C$6*Assumptions!$C$8*(1+Assumptions!$C$11)^3+Assumptions!$C$16*$I1048+Assumptions!$C$6*Assumptions!$C$9*(1+Assumptions!$C$12)^3</f>
        <v>695.2765924</v>
      </c>
      <c r="O1048" s="139">
        <f>Assumptions!$C$6*Assumptions!$C$7*(1+$G1048-0.05*(1-$J1048))^4+Assumptions!$C$6*Assumptions!$C$8*(1+Assumptions!$C$11)^4+Assumptions!$C$16*$J1048+Assumptions!$C$6*Assumptions!$C$9*(1+Assumptions!$C$12)^4</f>
        <v>707.4577828</v>
      </c>
      <c r="P1048" s="139">
        <f>Assumptions!$C$6*Assumptions!$C$7*(1+$G1048-0.05*(1-$K1048))^5+Assumptions!$C$6*Assumptions!$C$8*(1+Assumptions!$C$11)^5+Assumptions!$C$16*$K1048+Assumptions!$C$6*Assumptions!$C$9*(1+Assumptions!$C$12)^5</f>
        <v>719.8565554</v>
      </c>
      <c r="Q1048" s="139">
        <f>($L1048*(1-(Assumptions!$C$25+0.06*(1-1))-Assumptions!$C$27)-Assumptions!$C$28)-MAX(0,($L1048*(1-(Assumptions!$C$25+0.06*(1-1))-Assumptions!$C$27)-Assumptions!$C$28)*Assumptions!$C$31)+Assumptions!$C$28-Assumptions!$C$29-$L1048*Assumptions!$C$30</f>
        <v>93.40201868</v>
      </c>
      <c r="R1048" s="139">
        <f>($M1048*(1-(Assumptions!$C$25+0.06*(1-$H1048))-Assumptions!$C$27)-Assumptions!$C$28)-MAX(0,($M1048*(1-(Assumptions!$C$25+0.06*(1-$H1048))-Assumptions!$C$27)-Assumptions!$C$28)*Assumptions!$C$31)+Assumptions!$C$28-Assumptions!$C$29-$M1048*Assumptions!$C$30</f>
        <v>99.83857333</v>
      </c>
      <c r="S1048" s="139">
        <f>($N1048*(1-(Assumptions!$C$25+0.06*(1-$I1048))-Assumptions!$C$27)-Assumptions!$C$28)-MAX(0,($N1048*(1-(Assumptions!$C$25+0.06*(1-$I1048))-Assumptions!$C$27)-Assumptions!$C$28)*Assumptions!$C$31)+Assumptions!$C$28-Assumptions!$C$29-$N1048*Assumptions!$C$30</f>
        <v>39.91361625</v>
      </c>
      <c r="T1048" s="139">
        <f>($O1048*(1-(Assumptions!$C$25+0.06*(1-$J1048))-Assumptions!$C$27)-Assumptions!$C$28)-MAX(0,($O1048*(1-(Assumptions!$C$25+0.06*(1-$J1048))-Assumptions!$C$27)-Assumptions!$C$28)*Assumptions!$C$31)+Assumptions!$C$28-Assumptions!$C$29-$O1048*Assumptions!$C$30</f>
        <v>42.71529005</v>
      </c>
      <c r="U1048" s="139">
        <f>($P1048*(1-(Assumptions!$C$25+0.06*(1-$K1048))-Assumptions!$C$27)-Assumptions!$C$28)-MAX(0,($P1048*(1-(Assumptions!$C$25+0.06*(1-$K1048))-Assumptions!$C$27)-Assumptions!$C$28)*Assumptions!$C$31)+Assumptions!$C$28-Assumptions!$C$29-$P1048*Assumptions!$C$30</f>
        <v>45.56700773</v>
      </c>
      <c r="V1048" s="143">
        <f>(($Q1048/(1+$D1048)^1+$R1048/(1+$D1048)^2+$S1048/(1+$D1048)^3+$T1048/(1+$D1048)^4+$U1048/(1+$D1048)^5+$U1048*(1+$E1048)/($D1048-$E1048)/(1+$D1048)^5)-Assumptions!$C$37)/Assumptions!$C$40/Assumptions!$C$38</f>
        <v>-0.8251805544</v>
      </c>
    </row>
    <row r="1049" ht="12.0" customHeight="1">
      <c r="B1049" s="139">
        <v>997.0</v>
      </c>
      <c r="C1049" s="140">
        <f t="shared" si="6"/>
        <v>0.7799448655</v>
      </c>
      <c r="D1049" s="141">
        <f t="shared" si="7"/>
        <v>0.1038891526</v>
      </c>
      <c r="E1049" s="141">
        <f t="shared" si="8"/>
        <v>0.0295349812</v>
      </c>
      <c r="F1049" s="140">
        <f t="shared" si="9"/>
        <v>0.7550512139</v>
      </c>
      <c r="G1049" s="141">
        <f t="shared" si="10"/>
        <v>0.069002195</v>
      </c>
      <c r="H1049" s="142">
        <f t="shared" si="11"/>
        <v>0</v>
      </c>
      <c r="I1049" s="142">
        <f t="shared" si="12"/>
        <v>1</v>
      </c>
      <c r="J1049" s="142">
        <f t="shared" si="13"/>
        <v>1</v>
      </c>
      <c r="K1049" s="142">
        <f t="shared" si="14"/>
        <v>1</v>
      </c>
      <c r="L1049" s="139">
        <f>Assumptions!$C$6*Assumptions!$C$7*(1+$G1049-0.05*(1-1))^1+Assumptions!$C$6*Assumptions!$C$8*(1+Assumptions!$C$11)^1+Assumptions!$C$16*1+Assumptions!$C$6*Assumptions!$C$9*(1+Assumptions!$C$12)^1</f>
        <v>749.6941388</v>
      </c>
      <c r="M1049" s="139">
        <f>Assumptions!$C$6*Assumptions!$C$7*(1+$G1049-0.05*(1-$H1049))^2+Assumptions!$C$6*Assumptions!$C$8*(1+Assumptions!$C$11)^2+Assumptions!$C$16*$H1049+Assumptions!$C$6*Assumptions!$C$9*(1+Assumptions!$C$12)^2</f>
        <v>685.9791784</v>
      </c>
      <c r="N1049" s="139">
        <f>Assumptions!$C$6*Assumptions!$C$7*(1+$G1049-0.05*(1-$I1049))^3+Assumptions!$C$6*Assumptions!$C$8*(1+Assumptions!$C$11)^3+Assumptions!$C$16*$I1049+Assumptions!$C$6*Assumptions!$C$9*(1+Assumptions!$C$12)^3</f>
        <v>814.3916341</v>
      </c>
      <c r="O1049" s="139">
        <f>Assumptions!$C$6*Assumptions!$C$7*(1+$G1049-0.05*(1-$J1049))^4+Assumptions!$C$6*Assumptions!$C$8*(1+Assumptions!$C$11)^4+Assumptions!$C$16*$J1049+Assumptions!$C$6*Assumptions!$C$9*(1+Assumptions!$C$12)^4</f>
        <v>849.6290207</v>
      </c>
      <c r="P1049" s="139">
        <f>Assumptions!$C$6*Assumptions!$C$7*(1+$G1049-0.05*(1-$K1049))^5+Assumptions!$C$6*Assumptions!$C$8*(1+Assumptions!$C$11)^5+Assumptions!$C$16*$K1049+Assumptions!$C$6*Assumptions!$C$9*(1+Assumptions!$C$12)^5</f>
        <v>886.9615185</v>
      </c>
      <c r="Q1049" s="139">
        <f>($L1049*(1-(Assumptions!$C$25+0.06*(1-1))-Assumptions!$C$27)-Assumptions!$C$28)-MAX(0,($L1049*(1-(Assumptions!$C$25+0.06*(1-1))-Assumptions!$C$27)-Assumptions!$C$28)*Assumptions!$C$31)+Assumptions!$C$28-Assumptions!$C$29-$L1049*Assumptions!$C$30</f>
        <v>93.68423985</v>
      </c>
      <c r="R1049" s="139">
        <f>($M1049*(1-(Assumptions!$C$25+0.06*(1-$H1049))-Assumptions!$C$27)-Assumptions!$C$28)-MAX(0,($M1049*(1-(Assumptions!$C$25+0.06*(1-$H1049))-Assumptions!$C$27)-Assumptions!$C$28)*Assumptions!$C$31)+Assumptions!$C$28-Assumptions!$C$29-$M1049*Assumptions!$C$30</f>
        <v>37.77521102</v>
      </c>
      <c r="S1049" s="139">
        <f>($N1049*(1-(Assumptions!$C$25+0.06*(1-$I1049))-Assumptions!$C$27)-Assumptions!$C$28)-MAX(0,($N1049*(1-(Assumptions!$C$25+0.06*(1-$I1049))-Assumptions!$C$27)-Assumptions!$C$28)*Assumptions!$C$31)+Assumptions!$C$28-Assumptions!$C$29-$N1049*Assumptions!$C$30</f>
        <v>107.5942013</v>
      </c>
      <c r="T1049" s="139">
        <f>($O1049*(1-(Assumptions!$C$25+0.06*(1-$J1049))-Assumptions!$C$27)-Assumptions!$C$28)-MAX(0,($O1049*(1-(Assumptions!$C$25+0.06*(1-$J1049))-Assumptions!$C$27)-Assumptions!$C$28)*Assumptions!$C$31)+Assumptions!$C$28-Assumptions!$C$29-$O1049*Assumptions!$C$30</f>
        <v>115.1702395</v>
      </c>
      <c r="U1049" s="139">
        <f>($P1049*(1-(Assumptions!$C$25+0.06*(1-$K1049))-Assumptions!$C$27)-Assumptions!$C$28)-MAX(0,($P1049*(1-(Assumptions!$C$25+0.06*(1-$K1049))-Assumptions!$C$27)-Assumptions!$C$28)*Assumptions!$C$31)+Assumptions!$C$28-Assumptions!$C$29-$P1049*Assumptions!$C$30</f>
        <v>123.1967265</v>
      </c>
      <c r="V1049" s="143">
        <f>(($Q1049/(1+$D1049)^1+$R1049/(1+$D1049)^2+$S1049/(1+$D1049)^3+$T1049/(1+$D1049)^4+$U1049/(1+$D1049)^5+$U1049*(1+$E1049)/($D1049-$E1049)/(1+$D1049)^5)-Assumptions!$C$37)/Assumptions!$C$40/Assumptions!$C$38</f>
        <v>5.443477984</v>
      </c>
    </row>
    <row r="1050" ht="12.0" customHeight="1">
      <c r="B1050" s="139">
        <v>998.0</v>
      </c>
      <c r="C1050" s="140">
        <f t="shared" si="6"/>
        <v>0.3455814056</v>
      </c>
      <c r="D1050" s="141">
        <f t="shared" si="7"/>
        <v>0.09582368221</v>
      </c>
      <c r="E1050" s="141">
        <f t="shared" si="8"/>
        <v>0.02335618555</v>
      </c>
      <c r="F1050" s="140">
        <f t="shared" si="9"/>
        <v>0.2021075085</v>
      </c>
      <c r="G1050" s="141">
        <f t="shared" si="10"/>
        <v>0.04907337189</v>
      </c>
      <c r="H1050" s="142">
        <f t="shared" si="11"/>
        <v>1</v>
      </c>
      <c r="I1050" s="142">
        <f t="shared" si="12"/>
        <v>1</v>
      </c>
      <c r="J1050" s="142">
        <f t="shared" si="13"/>
        <v>0</v>
      </c>
      <c r="K1050" s="142">
        <f t="shared" si="14"/>
        <v>1</v>
      </c>
      <c r="L1050" s="139">
        <f>Assumptions!$C$6*Assumptions!$C$7*(1+$G1050-0.05*(1-1))^1+Assumptions!$C$6*Assumptions!$C$8*(1+Assumptions!$C$11)^1+Assumptions!$C$16*1+Assumptions!$C$6*Assumptions!$C$9*(1+Assumptions!$C$12)^1</f>
        <v>742.986097</v>
      </c>
      <c r="M1050" s="139">
        <f>Assumptions!$C$6*Assumptions!$C$7*(1+$G1050-0.05*(1-$H1050))^2+Assumptions!$C$6*Assumptions!$C$8*(1+Assumptions!$C$11)^2+Assumptions!$C$16*$H1050+Assumptions!$C$6*Assumptions!$C$9*(1+Assumptions!$C$12)^2</f>
        <v>766.9121527</v>
      </c>
      <c r="N1050" s="139">
        <f>Assumptions!$C$6*Assumptions!$C$7*(1+$G1050-0.05*(1-$I1050))^3+Assumptions!$C$6*Assumptions!$C$8*(1+Assumptions!$C$11)^3+Assumptions!$C$16*$I1050+Assumptions!$C$6*Assumptions!$C$9*(1+Assumptions!$C$12)^3</f>
        <v>791.8205331</v>
      </c>
      <c r="O1050" s="139">
        <f>Assumptions!$C$6*Assumptions!$C$7*(1+$G1050-0.05*(1-$J1050))^4+Assumptions!$C$6*Assumptions!$C$8*(1+Assumptions!$C$11)^4+Assumptions!$C$16*$J1050+Assumptions!$C$6*Assumptions!$C$9*(1+Assumptions!$C$12)^4</f>
        <v>685.4126815</v>
      </c>
      <c r="P1050" s="139">
        <f>Assumptions!$C$6*Assumptions!$C$7*(1+$G1050-0.05*(1-$K1050))^5+Assumptions!$C$6*Assumptions!$C$8*(1+Assumptions!$C$11)^5+Assumptions!$C$16*$K1050+Assumptions!$C$6*Assumptions!$C$9*(1+Assumptions!$C$12)^5</f>
        <v>844.7638481</v>
      </c>
      <c r="Q1050" s="139">
        <f>($L1050*(1-(Assumptions!$C$25+0.06*(1-1))-Assumptions!$C$27)-Assumptions!$C$28)-MAX(0,($L1050*(1-(Assumptions!$C$25+0.06*(1-1))-Assumptions!$C$27)-Assumptions!$C$28)*Assumptions!$C$31)+Assumptions!$C$28-Assumptions!$C$29-$L1050*Assumptions!$C$30</f>
        <v>92.24201085</v>
      </c>
      <c r="R1050" s="139">
        <f>($M1050*(1-(Assumptions!$C$25+0.06*(1-$H1050))-Assumptions!$C$27)-Assumptions!$C$28)-MAX(0,($M1050*(1-(Assumptions!$C$25+0.06*(1-$H1050))-Assumptions!$C$27)-Assumptions!$C$28)*Assumptions!$C$31)+Assumptions!$C$28-Assumptions!$C$29-$M1050*Assumptions!$C$30</f>
        <v>97.38611282</v>
      </c>
      <c r="S1050" s="139">
        <f>($N1050*(1-(Assumptions!$C$25+0.06*(1-$I1050))-Assumptions!$C$27)-Assumptions!$C$28)-MAX(0,($N1050*(1-(Assumptions!$C$25+0.06*(1-$I1050))-Assumptions!$C$27)-Assumptions!$C$28)*Assumptions!$C$31)+Assumptions!$C$28-Assumptions!$C$29-$N1050*Assumptions!$C$30</f>
        <v>102.7414146</v>
      </c>
      <c r="T1050" s="139">
        <f>($O1050*(1-(Assumptions!$C$25+0.06*(1-$J1050))-Assumptions!$C$27)-Assumptions!$C$28)-MAX(0,($O1050*(1-(Assumptions!$C$25+0.06*(1-$J1050))-Assumptions!$C$27)-Assumptions!$C$28)*Assumptions!$C$31)+Assumptions!$C$28-Assumptions!$C$29-$O1050*Assumptions!$C$30</f>
        <v>37.64491674</v>
      </c>
      <c r="U1050" s="139">
        <f>($P1050*(1-(Assumptions!$C$25+0.06*(1-$K1050))-Assumptions!$C$27)-Assumptions!$C$28)-MAX(0,($P1050*(1-(Assumptions!$C$25+0.06*(1-$K1050))-Assumptions!$C$27)-Assumptions!$C$28)*Assumptions!$C$31)+Assumptions!$C$28-Assumptions!$C$29-$P1050*Assumptions!$C$30</f>
        <v>114.1242273</v>
      </c>
      <c r="V1050" s="143">
        <f>(($Q1050/(1+$D1050)^1+$R1050/(1+$D1050)^2+$S1050/(1+$D1050)^3+$T1050/(1+$D1050)^4+$U1050/(1+$D1050)^5+$U1050*(1+$E1050)/($D1050-$E1050)/(1+$D1050)^5)-Assumptions!$C$37)/Assumptions!$C$40/Assumptions!$C$38</f>
        <v>5.227735578</v>
      </c>
    </row>
    <row r="1051" ht="12.0" customHeight="1">
      <c r="B1051" s="139">
        <v>999.0</v>
      </c>
      <c r="C1051" s="140">
        <f t="shared" si="6"/>
        <v>0.8781578389</v>
      </c>
      <c r="D1051" s="141">
        <f t="shared" si="7"/>
        <v>0.1067323853</v>
      </c>
      <c r="E1051" s="141">
        <f t="shared" si="8"/>
        <v>0.02807273275</v>
      </c>
      <c r="F1051" s="140">
        <f t="shared" si="9"/>
        <v>0.8470661395</v>
      </c>
      <c r="G1051" s="141">
        <f t="shared" si="10"/>
        <v>0.07340840728</v>
      </c>
      <c r="H1051" s="142">
        <f t="shared" si="11"/>
        <v>0</v>
      </c>
      <c r="I1051" s="142">
        <f t="shared" si="12"/>
        <v>0</v>
      </c>
      <c r="J1051" s="142">
        <f t="shared" si="13"/>
        <v>0</v>
      </c>
      <c r="K1051" s="142">
        <f t="shared" si="14"/>
        <v>0</v>
      </c>
      <c r="L1051" s="139">
        <f>Assumptions!$C$6*Assumptions!$C$7*(1+$G1051-0.05*(1-1))^1+Assumptions!$C$6*Assumptions!$C$8*(1+Assumptions!$C$11)^1+Assumptions!$C$16*1+Assumptions!$C$6*Assumptions!$C$9*(1+Assumptions!$C$12)^1</f>
        <v>751.1772699</v>
      </c>
      <c r="M1051" s="139">
        <f>Assumptions!$C$6*Assumptions!$C$7*(1+$G1051-0.05*(1-$H1051))^2+Assumptions!$C$6*Assumptions!$C$8*(1+Assumptions!$C$11)^2+Assumptions!$C$16*$H1051+Assumptions!$C$6*Assumptions!$C$9*(1+Assumptions!$C$12)^2</f>
        <v>689.0083409</v>
      </c>
      <c r="N1051" s="139">
        <f>Assumptions!$C$6*Assumptions!$C$7*(1+$G1051-0.05*(1-$I1051))^3+Assumptions!$C$6*Assumptions!$C$8*(1+Assumptions!$C$11)^3+Assumptions!$C$16*$I1051+Assumptions!$C$6*Assumptions!$C$9*(1+Assumptions!$C$12)^3</f>
        <v>703.9901178</v>
      </c>
      <c r="O1051" s="139">
        <f>Assumptions!$C$6*Assumptions!$C$7*(1+$G1051-0.05*(1-$J1051))^4+Assumptions!$C$6*Assumptions!$C$8*(1+Assumptions!$C$11)^4+Assumptions!$C$16*$J1051+Assumptions!$C$6*Assumptions!$C$9*(1+Assumptions!$C$12)^4</f>
        <v>719.299658</v>
      </c>
      <c r="P1051" s="139">
        <f>Assumptions!$C$6*Assumptions!$C$7*(1+$G1051-0.05*(1-$K1051))^5+Assumptions!$C$6*Assumptions!$C$8*(1+Assumptions!$C$11)^5+Assumptions!$C$16*$K1051+Assumptions!$C$6*Assumptions!$C$9*(1+Assumptions!$C$12)^5</f>
        <v>734.9441752</v>
      </c>
      <c r="Q1051" s="139">
        <f>($L1051*(1-(Assumptions!$C$25+0.06*(1-1))-Assumptions!$C$27)-Assumptions!$C$28)-MAX(0,($L1051*(1-(Assumptions!$C$25+0.06*(1-1))-Assumptions!$C$27)-Assumptions!$C$28)*Assumptions!$C$31)+Assumptions!$C$28-Assumptions!$C$29-$L1051*Assumptions!$C$30</f>
        <v>94.00311303</v>
      </c>
      <c r="R1051" s="139">
        <f>($M1051*(1-(Assumptions!$C$25+0.06*(1-$H1051))-Assumptions!$C$27)-Assumptions!$C$28)-MAX(0,($M1051*(1-(Assumptions!$C$25+0.06*(1-$H1051))-Assumptions!$C$27)-Assumptions!$C$28)*Assumptions!$C$31)+Assumptions!$C$28-Assumptions!$C$29-$M1051*Assumptions!$C$30</f>
        <v>38.47191842</v>
      </c>
      <c r="S1051" s="139">
        <f>($N1051*(1-(Assumptions!$C$25+0.06*(1-$I1051))-Assumptions!$C$27)-Assumptions!$C$28)-MAX(0,($N1051*(1-(Assumptions!$C$25+0.06*(1-$I1051))-Assumptions!$C$27)-Assumptions!$C$28)*Assumptions!$C$31)+Assumptions!$C$28-Assumptions!$C$29-$N1051*Assumptions!$C$30</f>
        <v>41.9177271</v>
      </c>
      <c r="T1051" s="139">
        <f>($O1051*(1-(Assumptions!$C$25+0.06*(1-$J1051))-Assumptions!$C$27)-Assumptions!$C$28)-MAX(0,($O1051*(1-(Assumptions!$C$25+0.06*(1-$J1051))-Assumptions!$C$27)-Assumptions!$C$28)*Assumptions!$C$31)+Assumptions!$C$28-Assumptions!$C$29-$O1051*Assumptions!$C$30</f>
        <v>45.43892135</v>
      </c>
      <c r="U1051" s="139">
        <f>($P1051*(1-(Assumptions!$C$25+0.06*(1-$K1051))-Assumptions!$C$27)-Assumptions!$C$28)-MAX(0,($P1051*(1-(Assumptions!$C$25+0.06*(1-$K1051))-Assumptions!$C$27)-Assumptions!$C$28)*Assumptions!$C$31)+Assumptions!$C$28-Assumptions!$C$29-$P1051*Assumptions!$C$30</f>
        <v>49.0371603</v>
      </c>
      <c r="V1051" s="143">
        <f>(($Q1051/(1+$D1051)^1+$R1051/(1+$D1051)^2+$S1051/(1+$D1051)^3+$T1051/(1+$D1051)^4+$U1051/(1+$D1051)^5+$U1051*(1+$E1051)/($D1051-$E1051)/(1+$D1051)^5)-Assumptions!$C$37)/Assumptions!$C$40/Assumptions!$C$38</f>
        <v>-0.7695761033</v>
      </c>
    </row>
    <row r="1052" ht="12.0" customHeight="1">
      <c r="B1052" s="139">
        <v>1000.0</v>
      </c>
      <c r="C1052" s="140">
        <f t="shared" si="6"/>
        <v>0.6673387302</v>
      </c>
      <c r="D1052" s="141">
        <f t="shared" si="7"/>
        <v>0.1013389981</v>
      </c>
      <c r="E1052" s="141">
        <f t="shared" si="8"/>
        <v>0.02820389079</v>
      </c>
      <c r="F1052" s="140">
        <f t="shared" si="9"/>
        <v>0.2785930037</v>
      </c>
      <c r="G1052" s="141">
        <f t="shared" si="10"/>
        <v>0.05239346795</v>
      </c>
      <c r="H1052" s="142">
        <f t="shared" si="11"/>
        <v>1</v>
      </c>
      <c r="I1052" s="142">
        <f t="shared" si="12"/>
        <v>1</v>
      </c>
      <c r="J1052" s="142">
        <f t="shared" si="13"/>
        <v>0</v>
      </c>
      <c r="K1052" s="142">
        <f t="shared" si="14"/>
        <v>1</v>
      </c>
      <c r="L1052" s="139">
        <f>Assumptions!$C$6*Assumptions!$C$7*(1+$G1052-0.05*(1-1))^1+Assumptions!$C$6*Assumptions!$C$8*(1+Assumptions!$C$11)^1+Assumptions!$C$16*1+Assumptions!$C$6*Assumptions!$C$9*(1+Assumptions!$C$12)^1</f>
        <v>744.1036413</v>
      </c>
      <c r="M1052" s="139">
        <f>Assumptions!$C$6*Assumptions!$C$7*(1+$G1052-0.05*(1-$H1052))^2+Assumptions!$C$6*Assumptions!$C$8*(1+Assumptions!$C$11)^2+Assumptions!$C$16*$H1052+Assumptions!$C$6*Assumptions!$C$9*(1+Assumptions!$C$12)^2</f>
        <v>769.260635</v>
      </c>
      <c r="N1052" s="139">
        <f>Assumptions!$C$6*Assumptions!$C$7*(1+$G1052-0.05*(1-$I1052))^3+Assumptions!$C$6*Assumptions!$C$8*(1+Assumptions!$C$11)^3+Assumptions!$C$16*$I1052+Assumptions!$C$6*Assumptions!$C$9*(1+Assumptions!$C$12)^3</f>
        <v>795.5219795</v>
      </c>
      <c r="O1052" s="139">
        <f>Assumptions!$C$6*Assumptions!$C$7*(1+$G1052-0.05*(1-$J1052))^4+Assumptions!$C$6*Assumptions!$C$8*(1+Assumptions!$C$11)^4+Assumptions!$C$16*$J1052+Assumptions!$C$6*Assumptions!$C$9*(1+Assumptions!$C$12)^4</f>
        <v>689.8927139</v>
      </c>
      <c r="P1052" s="139">
        <f>Assumptions!$C$6*Assumptions!$C$7*(1+$G1052-0.05*(1-$K1052))^5+Assumptions!$C$6*Assumptions!$C$8*(1+Assumptions!$C$11)^5+Assumptions!$C$16*$K1052+Assumptions!$C$6*Assumptions!$C$9*(1+Assumptions!$C$12)^5</f>
        <v>851.5747891</v>
      </c>
      <c r="Q1052" s="139">
        <f>($L1052*(1-(Assumptions!$C$25+0.06*(1-1))-Assumptions!$C$27)-Assumptions!$C$28)-MAX(0,($L1052*(1-(Assumptions!$C$25+0.06*(1-1))-Assumptions!$C$27)-Assumptions!$C$28)*Assumptions!$C$31)+Assumptions!$C$28-Assumptions!$C$29-$L1052*Assumptions!$C$30</f>
        <v>92.48228288</v>
      </c>
      <c r="R1052" s="139">
        <f>($M1052*(1-(Assumptions!$C$25+0.06*(1-$H1052))-Assumptions!$C$27)-Assumptions!$C$28)-MAX(0,($M1052*(1-(Assumptions!$C$25+0.06*(1-$H1052))-Assumptions!$C$27)-Assumptions!$C$28)*Assumptions!$C$31)+Assumptions!$C$28-Assumptions!$C$29-$M1052*Assumptions!$C$30</f>
        <v>97.89103653</v>
      </c>
      <c r="S1052" s="139">
        <f>($N1052*(1-(Assumptions!$C$25+0.06*(1-$I1052))-Assumptions!$C$27)-Assumptions!$C$28)-MAX(0,($N1052*(1-(Assumptions!$C$25+0.06*(1-$I1052))-Assumptions!$C$27)-Assumptions!$C$28)*Assumptions!$C$31)+Assumptions!$C$28-Assumptions!$C$29-$N1052*Assumptions!$C$30</f>
        <v>103.5372256</v>
      </c>
      <c r="T1052" s="139">
        <f>($O1052*(1-(Assumptions!$C$25+0.06*(1-$J1052))-Assumptions!$C$27)-Assumptions!$C$28)-MAX(0,($O1052*(1-(Assumptions!$C$25+0.06*(1-$J1052))-Assumptions!$C$27)-Assumptions!$C$28)*Assumptions!$C$31)+Assumptions!$C$28-Assumptions!$C$29-$O1052*Assumptions!$C$30</f>
        <v>38.6753242</v>
      </c>
      <c r="U1052" s="139">
        <f>($P1052*(1-(Assumptions!$C$25+0.06*(1-$K1052))-Assumptions!$C$27)-Assumptions!$C$28)-MAX(0,($P1052*(1-(Assumptions!$C$25+0.06*(1-$K1052))-Assumptions!$C$27)-Assumptions!$C$28)*Assumptions!$C$31)+Assumptions!$C$28-Assumptions!$C$29-$P1052*Assumptions!$C$30</f>
        <v>115.5885797</v>
      </c>
      <c r="V1052" s="143">
        <f>(($Q1052/(1+$D1052)^1+$R1052/(1+$D1052)^2+$S1052/(1+$D1052)^3+$T1052/(1+$D1052)^4+$U1052/(1+$D1052)^5+$U1052*(1+$E1052)/($D1052-$E1052)/(1+$D1052)^5)-Assumptions!$C$37)/Assumptions!$C$40/Assumptions!$C$38</f>
        <v>5.080535838</v>
      </c>
    </row>
  </sheetData>
  <mergeCells count="9">
    <mergeCell ref="B50:V50"/>
    <mergeCell ref="B51:V51"/>
    <mergeCell ref="B1:L1"/>
    <mergeCell ref="B2:L2"/>
    <mergeCell ref="B4:F4"/>
    <mergeCell ref="B10:H10"/>
    <mergeCell ref="B13:H13"/>
    <mergeCell ref="B20:E20"/>
    <mergeCell ref="B34:D3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2026-05-21T10:05:22Z</dcterms:created>
  <dc:creator>openpyxl</dc:creator>
</cp:coreProperties>
</file>